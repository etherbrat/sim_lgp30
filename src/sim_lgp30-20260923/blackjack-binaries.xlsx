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her\source\repos\sim_lgp30\src\sim_lgp30\"/>
    </mc:Choice>
  </mc:AlternateContent>
  <xr:revisionPtr revIDLastSave="0" documentId="13_ncr:1_{A87766FD-9EFA-403B-BF9D-5FCB050DE60F}" xr6:coauthVersionLast="47" xr6:coauthVersionMax="47" xr10:uidLastSave="{00000000-0000-0000-0000-000000000000}"/>
  <bookViews>
    <workbookView xWindow="-8980" yWindow="-21710" windowWidth="38620" windowHeight="21100" xr2:uid="{2ABDE19F-2FCD-4C88-9C34-2DED7F59D40E}"/>
  </bookViews>
  <sheets>
    <sheet name="stuttgart-bkjck-rawbinary" sheetId="1" r:id="rId1"/>
    <sheet name="Weigt" sheetId="5" r:id="rId2"/>
    <sheet name="Tubetime" sheetId="6" r:id="rId3"/>
    <sheet name="Trace" sheetId="7" r:id="rId4"/>
    <sheet name="WeigtVsStuttgart" sheetId="8" r:id="rId5"/>
    <sheet name="Lookups" sheetId="2" r:id="rId6"/>
    <sheet name="Refs" sheetId="9" r:id="rId7"/>
  </sheets>
  <calcPr calcId="191029"/>
</workbook>
</file>

<file path=xl/calcChain.xml><?xml version="1.0" encoding="utf-8"?>
<calcChain xmlns="http://schemas.openxmlformats.org/spreadsheetml/2006/main">
  <c r="F3" i="8" l="1"/>
  <c r="H3" i="8" s="1"/>
  <c r="G3" i="8"/>
  <c r="I3" i="8"/>
  <c r="K3" i="8" s="1"/>
  <c r="J3" i="8"/>
  <c r="F4" i="8"/>
  <c r="H4" i="8" s="1"/>
  <c r="G4" i="8"/>
  <c r="I4" i="8"/>
  <c r="J4" i="8"/>
  <c r="K4" i="8"/>
  <c r="F5" i="8"/>
  <c r="G5" i="8"/>
  <c r="H5" i="8"/>
  <c r="I5" i="8"/>
  <c r="K5" i="8" s="1"/>
  <c r="J5" i="8"/>
  <c r="F6" i="8"/>
  <c r="G6" i="8"/>
  <c r="H6" i="8" s="1"/>
  <c r="I6" i="8"/>
  <c r="J6" i="8"/>
  <c r="K6" i="8"/>
  <c r="F7" i="8"/>
  <c r="G7" i="8"/>
  <c r="H7" i="8" s="1"/>
  <c r="I7" i="8"/>
  <c r="K7" i="8" s="1"/>
  <c r="J7" i="8"/>
  <c r="F8" i="8"/>
  <c r="H8" i="8" s="1"/>
  <c r="G8" i="8"/>
  <c r="I8" i="8"/>
  <c r="J8" i="8"/>
  <c r="K8" i="8"/>
  <c r="F9" i="8"/>
  <c r="G9" i="8"/>
  <c r="H9" i="8"/>
  <c r="I9" i="8"/>
  <c r="K9" i="8" s="1"/>
  <c r="J9" i="8"/>
  <c r="F10" i="8"/>
  <c r="G10" i="8"/>
  <c r="H10" i="8" s="1"/>
  <c r="I10" i="8"/>
  <c r="J10" i="8"/>
  <c r="K10" i="8" s="1"/>
  <c r="F11" i="8"/>
  <c r="G11" i="8"/>
  <c r="H11" i="8" s="1"/>
  <c r="I11" i="8"/>
  <c r="K11" i="8" s="1"/>
  <c r="J11" i="8"/>
  <c r="F12" i="8"/>
  <c r="H12" i="8" s="1"/>
  <c r="G12" i="8"/>
  <c r="I12" i="8"/>
  <c r="J12" i="8"/>
  <c r="K12" i="8"/>
  <c r="F13" i="8"/>
  <c r="G13" i="8"/>
  <c r="H13" i="8"/>
  <c r="I13" i="8"/>
  <c r="K13" i="8" s="1"/>
  <c r="J13" i="8"/>
  <c r="F14" i="8"/>
  <c r="G14" i="8"/>
  <c r="H14" i="8" s="1"/>
  <c r="I14" i="8"/>
  <c r="J14" i="8"/>
  <c r="K14" i="8" s="1"/>
  <c r="F15" i="8"/>
  <c r="G15" i="8"/>
  <c r="H15" i="8" s="1"/>
  <c r="I15" i="8"/>
  <c r="K15" i="8" s="1"/>
  <c r="J15" i="8"/>
  <c r="F16" i="8"/>
  <c r="G16" i="8"/>
  <c r="I16" i="8"/>
  <c r="J16" i="8"/>
  <c r="K16" i="8"/>
  <c r="F17" i="8"/>
  <c r="G17" i="8"/>
  <c r="H17" i="8"/>
  <c r="I17" i="8"/>
  <c r="K17" i="8" s="1"/>
  <c r="J17" i="8"/>
  <c r="F18" i="8"/>
  <c r="G18" i="8"/>
  <c r="H18" i="8" s="1"/>
  <c r="I18" i="8"/>
  <c r="J18" i="8"/>
  <c r="K18" i="8" s="1"/>
  <c r="F19" i="8"/>
  <c r="G19" i="8"/>
  <c r="H19" i="8" s="1"/>
  <c r="I19" i="8"/>
  <c r="K19" i="8" s="1"/>
  <c r="J19" i="8"/>
  <c r="F20" i="8"/>
  <c r="H20" i="8" s="1"/>
  <c r="G20" i="8"/>
  <c r="I20" i="8"/>
  <c r="J20" i="8"/>
  <c r="K20" i="8"/>
  <c r="F21" i="8"/>
  <c r="G21" i="8"/>
  <c r="H21" i="8"/>
  <c r="I21" i="8"/>
  <c r="K21" i="8" s="1"/>
  <c r="J21" i="8"/>
  <c r="F22" i="8"/>
  <c r="G22" i="8"/>
  <c r="H22" i="8" s="1"/>
  <c r="I22" i="8"/>
  <c r="J22" i="8"/>
  <c r="K22" i="8"/>
  <c r="F23" i="8"/>
  <c r="G23" i="8"/>
  <c r="H23" i="8" s="1"/>
  <c r="I23" i="8"/>
  <c r="K23" i="8" s="1"/>
  <c r="J23" i="8"/>
  <c r="F24" i="8"/>
  <c r="G24" i="8"/>
  <c r="I24" i="8"/>
  <c r="J24" i="8"/>
  <c r="K24" i="8"/>
  <c r="F25" i="8"/>
  <c r="G25" i="8"/>
  <c r="H25" i="8"/>
  <c r="I25" i="8"/>
  <c r="K25" i="8" s="1"/>
  <c r="J25" i="8"/>
  <c r="F26" i="8"/>
  <c r="G26" i="8"/>
  <c r="H26" i="8" s="1"/>
  <c r="I26" i="8"/>
  <c r="J26" i="8"/>
  <c r="K26" i="8" s="1"/>
  <c r="F27" i="8"/>
  <c r="G27" i="8"/>
  <c r="H27" i="8" s="1"/>
  <c r="I27" i="8"/>
  <c r="K27" i="8" s="1"/>
  <c r="J27" i="8"/>
  <c r="F28" i="8"/>
  <c r="G28" i="8"/>
  <c r="I28" i="8"/>
  <c r="J28" i="8"/>
  <c r="K28" i="8"/>
  <c r="F29" i="8"/>
  <c r="G29" i="8"/>
  <c r="H29" i="8"/>
  <c r="I29" i="8"/>
  <c r="K29" i="8" s="1"/>
  <c r="J29" i="8"/>
  <c r="F30" i="8"/>
  <c r="G30" i="8"/>
  <c r="H30" i="8" s="1"/>
  <c r="I30" i="8"/>
  <c r="J30" i="8"/>
  <c r="K30" i="8"/>
  <c r="F31" i="8"/>
  <c r="G31" i="8"/>
  <c r="H31" i="8" s="1"/>
  <c r="I31" i="8"/>
  <c r="K31" i="8" s="1"/>
  <c r="J31" i="8"/>
  <c r="F32" i="8"/>
  <c r="G32" i="8"/>
  <c r="I32" i="8"/>
  <c r="J32" i="8"/>
  <c r="K32" i="8"/>
  <c r="F33" i="8"/>
  <c r="G33" i="8"/>
  <c r="H33" i="8"/>
  <c r="I33" i="8"/>
  <c r="K33" i="8" s="1"/>
  <c r="J33" i="8"/>
  <c r="F34" i="8"/>
  <c r="G34" i="8"/>
  <c r="H34" i="8" s="1"/>
  <c r="I34" i="8"/>
  <c r="J34" i="8"/>
  <c r="K34" i="8"/>
  <c r="F35" i="8"/>
  <c r="G35" i="8"/>
  <c r="H35" i="8" s="1"/>
  <c r="I35" i="8"/>
  <c r="K35" i="8" s="1"/>
  <c r="J35" i="8"/>
  <c r="F36" i="8"/>
  <c r="H36" i="8" s="1"/>
  <c r="G36" i="8"/>
  <c r="I36" i="8"/>
  <c r="J36" i="8"/>
  <c r="K36" i="8"/>
  <c r="F37" i="8"/>
  <c r="G37" i="8"/>
  <c r="H37" i="8"/>
  <c r="I37" i="8"/>
  <c r="K37" i="8" s="1"/>
  <c r="J37" i="8"/>
  <c r="F38" i="8"/>
  <c r="G38" i="8"/>
  <c r="H38" i="8" s="1"/>
  <c r="I38" i="8"/>
  <c r="J38" i="8"/>
  <c r="K38" i="8"/>
  <c r="F39" i="8"/>
  <c r="G39" i="8"/>
  <c r="H39" i="8" s="1"/>
  <c r="I39" i="8"/>
  <c r="K39" i="8" s="1"/>
  <c r="J39" i="8"/>
  <c r="F40" i="8"/>
  <c r="H40" i="8" s="1"/>
  <c r="G40" i="8"/>
  <c r="I40" i="8"/>
  <c r="J40" i="8"/>
  <c r="K40" i="8"/>
  <c r="F41" i="8"/>
  <c r="G41" i="8"/>
  <c r="H41" i="8"/>
  <c r="I41" i="8"/>
  <c r="K41" i="8" s="1"/>
  <c r="J41" i="8"/>
  <c r="F42" i="8"/>
  <c r="G42" i="8"/>
  <c r="H42" i="8" s="1"/>
  <c r="I42" i="8"/>
  <c r="J42" i="8"/>
  <c r="K42" i="8" s="1"/>
  <c r="F43" i="8"/>
  <c r="G43" i="8"/>
  <c r="H43" i="8" s="1"/>
  <c r="I43" i="8"/>
  <c r="K43" i="8" s="1"/>
  <c r="J43" i="8"/>
  <c r="F44" i="8"/>
  <c r="H44" i="8" s="1"/>
  <c r="G44" i="8"/>
  <c r="I44" i="8"/>
  <c r="J44" i="8"/>
  <c r="K44" i="8"/>
  <c r="F45" i="8"/>
  <c r="G45" i="8"/>
  <c r="H45" i="8"/>
  <c r="I45" i="8"/>
  <c r="K45" i="8" s="1"/>
  <c r="J45" i="8"/>
  <c r="F46" i="8"/>
  <c r="G46" i="8"/>
  <c r="H46" i="8" s="1"/>
  <c r="I46" i="8"/>
  <c r="J46" i="8"/>
  <c r="K46" i="8" s="1"/>
  <c r="F47" i="8"/>
  <c r="G47" i="8"/>
  <c r="H47" i="8" s="1"/>
  <c r="I47" i="8"/>
  <c r="K47" i="8" s="1"/>
  <c r="J47" i="8"/>
  <c r="F48" i="8"/>
  <c r="G48" i="8"/>
  <c r="I48" i="8"/>
  <c r="J48" i="8"/>
  <c r="K48" i="8"/>
  <c r="F49" i="8"/>
  <c r="G49" i="8"/>
  <c r="H49" i="8"/>
  <c r="I49" i="8"/>
  <c r="K49" i="8" s="1"/>
  <c r="J49" i="8"/>
  <c r="F50" i="8"/>
  <c r="G50" i="8"/>
  <c r="H50" i="8" s="1"/>
  <c r="I50" i="8"/>
  <c r="J50" i="8"/>
  <c r="K50" i="8" s="1"/>
  <c r="F51" i="8"/>
  <c r="G51" i="8"/>
  <c r="H51" i="8" s="1"/>
  <c r="I51" i="8"/>
  <c r="K51" i="8" s="1"/>
  <c r="J51" i="8"/>
  <c r="F52" i="8"/>
  <c r="H52" i="8" s="1"/>
  <c r="G52" i="8"/>
  <c r="I52" i="8"/>
  <c r="J52" i="8"/>
  <c r="K52" i="8"/>
  <c r="F53" i="8"/>
  <c r="G53" i="8"/>
  <c r="H53" i="8"/>
  <c r="I53" i="8"/>
  <c r="K53" i="8" s="1"/>
  <c r="J53" i="8"/>
  <c r="F54" i="8"/>
  <c r="G54" i="8"/>
  <c r="H54" i="8" s="1"/>
  <c r="I54" i="8"/>
  <c r="J54" i="8"/>
  <c r="K54" i="8"/>
  <c r="F55" i="8"/>
  <c r="G55" i="8"/>
  <c r="H55" i="8" s="1"/>
  <c r="I55" i="8"/>
  <c r="K55" i="8" s="1"/>
  <c r="J55" i="8"/>
  <c r="F56" i="8"/>
  <c r="G56" i="8"/>
  <c r="I56" i="8"/>
  <c r="J56" i="8"/>
  <c r="K56" i="8"/>
  <c r="F57" i="8"/>
  <c r="G57" i="8"/>
  <c r="H57" i="8"/>
  <c r="I57" i="8"/>
  <c r="K57" i="8" s="1"/>
  <c r="J57" i="8"/>
  <c r="F58" i="8"/>
  <c r="G58" i="8"/>
  <c r="H58" i="8" s="1"/>
  <c r="I58" i="8"/>
  <c r="J58" i="8"/>
  <c r="K58" i="8" s="1"/>
  <c r="F59" i="8"/>
  <c r="G59" i="8"/>
  <c r="H59" i="8" s="1"/>
  <c r="I59" i="8"/>
  <c r="K59" i="8" s="1"/>
  <c r="J59" i="8"/>
  <c r="F60" i="8"/>
  <c r="G60" i="8"/>
  <c r="I60" i="8"/>
  <c r="J60" i="8"/>
  <c r="K60" i="8"/>
  <c r="F61" i="8"/>
  <c r="G61" i="8"/>
  <c r="H61" i="8"/>
  <c r="I61" i="8"/>
  <c r="K61" i="8" s="1"/>
  <c r="J61" i="8"/>
  <c r="F62" i="8"/>
  <c r="G62" i="8"/>
  <c r="H62" i="8" s="1"/>
  <c r="I62" i="8"/>
  <c r="J62" i="8"/>
  <c r="K62" i="8"/>
  <c r="F63" i="8"/>
  <c r="G63" i="8"/>
  <c r="H63" i="8" s="1"/>
  <c r="I63" i="8"/>
  <c r="K63" i="8" s="1"/>
  <c r="J63" i="8"/>
  <c r="F64" i="8"/>
  <c r="G64" i="8"/>
  <c r="I64" i="8"/>
  <c r="J64" i="8"/>
  <c r="K64" i="8"/>
  <c r="F65" i="8"/>
  <c r="G65" i="8"/>
  <c r="H65" i="8"/>
  <c r="I65" i="8"/>
  <c r="K65" i="8" s="1"/>
  <c r="J65" i="8"/>
  <c r="F66" i="8"/>
  <c r="G66" i="8"/>
  <c r="H66" i="8" s="1"/>
  <c r="I66" i="8"/>
  <c r="J66" i="8"/>
  <c r="K66" i="8"/>
  <c r="F67" i="8"/>
  <c r="G67" i="8"/>
  <c r="H67" i="8" s="1"/>
  <c r="I67" i="8"/>
  <c r="K67" i="8" s="1"/>
  <c r="J67" i="8"/>
  <c r="F68" i="8"/>
  <c r="H68" i="8" s="1"/>
  <c r="G68" i="8"/>
  <c r="I68" i="8"/>
  <c r="J68" i="8"/>
  <c r="K68" i="8"/>
  <c r="F69" i="8"/>
  <c r="G69" i="8"/>
  <c r="H69" i="8"/>
  <c r="I69" i="8"/>
  <c r="K69" i="8" s="1"/>
  <c r="J69" i="8"/>
  <c r="F70" i="8"/>
  <c r="G70" i="8"/>
  <c r="H70" i="8" s="1"/>
  <c r="I70" i="8"/>
  <c r="J70" i="8"/>
  <c r="K70" i="8"/>
  <c r="F71" i="8"/>
  <c r="G71" i="8"/>
  <c r="H71" i="8" s="1"/>
  <c r="I71" i="8"/>
  <c r="K71" i="8" s="1"/>
  <c r="J71" i="8"/>
  <c r="F72" i="8"/>
  <c r="H72" i="8" s="1"/>
  <c r="G72" i="8"/>
  <c r="I72" i="8"/>
  <c r="J72" i="8"/>
  <c r="K72" i="8"/>
  <c r="F73" i="8"/>
  <c r="G73" i="8"/>
  <c r="H73" i="8"/>
  <c r="I73" i="8"/>
  <c r="K73" i="8" s="1"/>
  <c r="J73" i="8"/>
  <c r="F74" i="8"/>
  <c r="G74" i="8"/>
  <c r="H74" i="8" s="1"/>
  <c r="I74" i="8"/>
  <c r="J74" i="8"/>
  <c r="K74" i="8" s="1"/>
  <c r="F75" i="8"/>
  <c r="G75" i="8"/>
  <c r="H75" i="8" s="1"/>
  <c r="I75" i="8"/>
  <c r="K75" i="8" s="1"/>
  <c r="J75" i="8"/>
  <c r="F76" i="8"/>
  <c r="H76" i="8" s="1"/>
  <c r="G76" i="8"/>
  <c r="I76" i="8"/>
  <c r="J76" i="8"/>
  <c r="K76" i="8"/>
  <c r="F77" i="8"/>
  <c r="G77" i="8"/>
  <c r="H77" i="8"/>
  <c r="I77" i="8"/>
  <c r="K77" i="8" s="1"/>
  <c r="J77" i="8"/>
  <c r="F78" i="8"/>
  <c r="G78" i="8"/>
  <c r="H78" i="8" s="1"/>
  <c r="I78" i="8"/>
  <c r="J78" i="8"/>
  <c r="K78" i="8" s="1"/>
  <c r="F79" i="8"/>
  <c r="G79" i="8"/>
  <c r="H79" i="8" s="1"/>
  <c r="I79" i="8"/>
  <c r="K79" i="8" s="1"/>
  <c r="J79" i="8"/>
  <c r="F80" i="8"/>
  <c r="G80" i="8"/>
  <c r="I80" i="8"/>
  <c r="J80" i="8"/>
  <c r="K80" i="8"/>
  <c r="F81" i="8"/>
  <c r="G81" i="8"/>
  <c r="H81" i="8"/>
  <c r="I81" i="8"/>
  <c r="K81" i="8" s="1"/>
  <c r="J81" i="8"/>
  <c r="F82" i="8"/>
  <c r="G82" i="8"/>
  <c r="H82" i="8" s="1"/>
  <c r="I82" i="8"/>
  <c r="J82" i="8"/>
  <c r="K82" i="8" s="1"/>
  <c r="F83" i="8"/>
  <c r="G83" i="8"/>
  <c r="H83" i="8" s="1"/>
  <c r="I83" i="8"/>
  <c r="K83" i="8" s="1"/>
  <c r="J83" i="8"/>
  <c r="F84" i="8"/>
  <c r="H84" i="8" s="1"/>
  <c r="G84" i="8"/>
  <c r="I84" i="8"/>
  <c r="J84" i="8"/>
  <c r="K84" i="8"/>
  <c r="F85" i="8"/>
  <c r="G85" i="8"/>
  <c r="H85" i="8"/>
  <c r="I85" i="8"/>
  <c r="K85" i="8" s="1"/>
  <c r="J85" i="8"/>
  <c r="F86" i="8"/>
  <c r="G86" i="8"/>
  <c r="H86" i="8" s="1"/>
  <c r="I86" i="8"/>
  <c r="J86" i="8"/>
  <c r="K86" i="8"/>
  <c r="F87" i="8"/>
  <c r="G87" i="8"/>
  <c r="H87" i="8" s="1"/>
  <c r="I87" i="8"/>
  <c r="K87" i="8" s="1"/>
  <c r="J87" i="8"/>
  <c r="F88" i="8"/>
  <c r="G88" i="8"/>
  <c r="I88" i="8"/>
  <c r="J88" i="8"/>
  <c r="K88" i="8"/>
  <c r="F89" i="8"/>
  <c r="G89" i="8"/>
  <c r="H89" i="8"/>
  <c r="I89" i="8"/>
  <c r="K89" i="8" s="1"/>
  <c r="J89" i="8"/>
  <c r="F90" i="8"/>
  <c r="G90" i="8"/>
  <c r="H90" i="8" s="1"/>
  <c r="I90" i="8"/>
  <c r="J90" i="8"/>
  <c r="K90" i="8" s="1"/>
  <c r="F91" i="8"/>
  <c r="G91" i="8"/>
  <c r="H91" i="8" s="1"/>
  <c r="I91" i="8"/>
  <c r="K91" i="8" s="1"/>
  <c r="J91" i="8"/>
  <c r="F92" i="8"/>
  <c r="G92" i="8"/>
  <c r="I92" i="8"/>
  <c r="J92" i="8"/>
  <c r="K92" i="8"/>
  <c r="F93" i="8"/>
  <c r="G93" i="8"/>
  <c r="H93" i="8"/>
  <c r="I93" i="8"/>
  <c r="K93" i="8" s="1"/>
  <c r="J93" i="8"/>
  <c r="F94" i="8"/>
  <c r="G94" i="8"/>
  <c r="H94" i="8" s="1"/>
  <c r="I94" i="8"/>
  <c r="J94" i="8"/>
  <c r="K94" i="8"/>
  <c r="F95" i="8"/>
  <c r="G95" i="8"/>
  <c r="H95" i="8" s="1"/>
  <c r="I95" i="8"/>
  <c r="K95" i="8" s="1"/>
  <c r="J95" i="8"/>
  <c r="F96" i="8"/>
  <c r="G96" i="8"/>
  <c r="I96" i="8"/>
  <c r="J96" i="8"/>
  <c r="K96" i="8"/>
  <c r="F97" i="8"/>
  <c r="G97" i="8"/>
  <c r="H97" i="8"/>
  <c r="I97" i="8"/>
  <c r="K97" i="8" s="1"/>
  <c r="J97" i="8"/>
  <c r="F98" i="8"/>
  <c r="G98" i="8"/>
  <c r="H98" i="8" s="1"/>
  <c r="I98" i="8"/>
  <c r="J98" i="8"/>
  <c r="K98" i="8"/>
  <c r="F99" i="8"/>
  <c r="G99" i="8"/>
  <c r="H99" i="8" s="1"/>
  <c r="I99" i="8"/>
  <c r="K99" i="8" s="1"/>
  <c r="J99" i="8"/>
  <c r="F100" i="8"/>
  <c r="H100" i="8" s="1"/>
  <c r="G100" i="8"/>
  <c r="I100" i="8"/>
  <c r="J100" i="8"/>
  <c r="K100" i="8"/>
  <c r="F101" i="8"/>
  <c r="G101" i="8"/>
  <c r="H101" i="8"/>
  <c r="I101" i="8"/>
  <c r="K101" i="8" s="1"/>
  <c r="J101" i="8"/>
  <c r="F102" i="8"/>
  <c r="G102" i="8"/>
  <c r="H102" i="8" s="1"/>
  <c r="I102" i="8"/>
  <c r="J102" i="8"/>
  <c r="K102" i="8"/>
  <c r="F103" i="8"/>
  <c r="G103" i="8"/>
  <c r="H103" i="8" s="1"/>
  <c r="I103" i="8"/>
  <c r="K103" i="8" s="1"/>
  <c r="J103" i="8"/>
  <c r="F104" i="8"/>
  <c r="H104" i="8" s="1"/>
  <c r="G104" i="8"/>
  <c r="I104" i="8"/>
  <c r="J104" i="8"/>
  <c r="K104" i="8"/>
  <c r="F105" i="8"/>
  <c r="G105" i="8"/>
  <c r="H105" i="8"/>
  <c r="I105" i="8"/>
  <c r="K105" i="8" s="1"/>
  <c r="J105" i="8"/>
  <c r="F106" i="8"/>
  <c r="G106" i="8"/>
  <c r="H106" i="8" s="1"/>
  <c r="I106" i="8"/>
  <c r="J106" i="8"/>
  <c r="K106" i="8" s="1"/>
  <c r="F107" i="8"/>
  <c r="G107" i="8"/>
  <c r="H107" i="8" s="1"/>
  <c r="I107" i="8"/>
  <c r="K107" i="8" s="1"/>
  <c r="J107" i="8"/>
  <c r="F108" i="8"/>
  <c r="H108" i="8" s="1"/>
  <c r="G108" i="8"/>
  <c r="I108" i="8"/>
  <c r="J108" i="8"/>
  <c r="K108" i="8"/>
  <c r="F109" i="8"/>
  <c r="G109" i="8"/>
  <c r="H109" i="8"/>
  <c r="I109" i="8"/>
  <c r="K109" i="8" s="1"/>
  <c r="J109" i="8"/>
  <c r="F110" i="8"/>
  <c r="G110" i="8"/>
  <c r="H110" i="8" s="1"/>
  <c r="I110" i="8"/>
  <c r="J110" i="8"/>
  <c r="K110" i="8" s="1"/>
  <c r="F111" i="8"/>
  <c r="G111" i="8"/>
  <c r="H111" i="8" s="1"/>
  <c r="I111" i="8"/>
  <c r="K111" i="8" s="1"/>
  <c r="J111" i="8"/>
  <c r="F112" i="8"/>
  <c r="G112" i="8"/>
  <c r="I112" i="8"/>
  <c r="J112" i="8"/>
  <c r="K112" i="8"/>
  <c r="F113" i="8"/>
  <c r="G113" i="8"/>
  <c r="H113" i="8"/>
  <c r="I113" i="8"/>
  <c r="K113" i="8" s="1"/>
  <c r="J113" i="8"/>
  <c r="F114" i="8"/>
  <c r="G114" i="8"/>
  <c r="H114" i="8" s="1"/>
  <c r="I114" i="8"/>
  <c r="J114" i="8"/>
  <c r="K114" i="8" s="1"/>
  <c r="F115" i="8"/>
  <c r="G115" i="8"/>
  <c r="H115" i="8" s="1"/>
  <c r="I115" i="8"/>
  <c r="K115" i="8" s="1"/>
  <c r="J115" i="8"/>
  <c r="F116" i="8"/>
  <c r="H116" i="8" s="1"/>
  <c r="G116" i="8"/>
  <c r="I116" i="8"/>
  <c r="J116" i="8"/>
  <c r="K116" i="8"/>
  <c r="F117" i="8"/>
  <c r="G117" i="8"/>
  <c r="H117" i="8"/>
  <c r="I117" i="8"/>
  <c r="K117" i="8" s="1"/>
  <c r="J117" i="8"/>
  <c r="F118" i="8"/>
  <c r="G118" i="8"/>
  <c r="H118" i="8" s="1"/>
  <c r="I118" i="8"/>
  <c r="J118" i="8"/>
  <c r="K118" i="8"/>
  <c r="F119" i="8"/>
  <c r="G119" i="8"/>
  <c r="H119" i="8" s="1"/>
  <c r="I119" i="8"/>
  <c r="K119" i="8" s="1"/>
  <c r="J119" i="8"/>
  <c r="F120" i="8"/>
  <c r="G120" i="8"/>
  <c r="I120" i="8"/>
  <c r="J120" i="8"/>
  <c r="K120" i="8"/>
  <c r="F121" i="8"/>
  <c r="G121" i="8"/>
  <c r="H121" i="8"/>
  <c r="I121" i="8"/>
  <c r="K121" i="8" s="1"/>
  <c r="J121" i="8"/>
  <c r="F122" i="8"/>
  <c r="G122" i="8"/>
  <c r="H122" i="8" s="1"/>
  <c r="I122" i="8"/>
  <c r="J122" i="8"/>
  <c r="K122" i="8" s="1"/>
  <c r="F123" i="8"/>
  <c r="G123" i="8"/>
  <c r="H123" i="8" s="1"/>
  <c r="I123" i="8"/>
  <c r="K123" i="8" s="1"/>
  <c r="J123" i="8"/>
  <c r="F124" i="8"/>
  <c r="G124" i="8"/>
  <c r="I124" i="8"/>
  <c r="J124" i="8"/>
  <c r="K124" i="8"/>
  <c r="F125" i="8"/>
  <c r="G125" i="8"/>
  <c r="H125" i="8"/>
  <c r="I125" i="8"/>
  <c r="K125" i="8" s="1"/>
  <c r="J125" i="8"/>
  <c r="F126" i="8"/>
  <c r="G126" i="8"/>
  <c r="H126" i="8" s="1"/>
  <c r="I126" i="8"/>
  <c r="J126" i="8"/>
  <c r="K126" i="8"/>
  <c r="F127" i="8"/>
  <c r="G127" i="8"/>
  <c r="H127" i="8" s="1"/>
  <c r="I127" i="8"/>
  <c r="K127" i="8" s="1"/>
  <c r="J127" i="8"/>
  <c r="F128" i="8"/>
  <c r="G128" i="8"/>
  <c r="I128" i="8"/>
  <c r="J128" i="8"/>
  <c r="K128" i="8"/>
  <c r="F129" i="8"/>
  <c r="G129" i="8"/>
  <c r="H129" i="8"/>
  <c r="I129" i="8"/>
  <c r="K129" i="8" s="1"/>
  <c r="J129" i="8"/>
  <c r="F130" i="8"/>
  <c r="G130" i="8"/>
  <c r="H130" i="8" s="1"/>
  <c r="I130" i="8"/>
  <c r="J130" i="8"/>
  <c r="K130" i="8"/>
  <c r="F131" i="8"/>
  <c r="G131" i="8"/>
  <c r="H131" i="8" s="1"/>
  <c r="I131" i="8"/>
  <c r="K131" i="8" s="1"/>
  <c r="J131" i="8"/>
  <c r="F132" i="8"/>
  <c r="H132" i="8" s="1"/>
  <c r="G132" i="8"/>
  <c r="I132" i="8"/>
  <c r="J132" i="8"/>
  <c r="K132" i="8"/>
  <c r="F133" i="8"/>
  <c r="G133" i="8"/>
  <c r="H133" i="8"/>
  <c r="I133" i="8"/>
  <c r="K133" i="8" s="1"/>
  <c r="J133" i="8"/>
  <c r="F134" i="8"/>
  <c r="G134" i="8"/>
  <c r="H134" i="8" s="1"/>
  <c r="I134" i="8"/>
  <c r="J134" i="8"/>
  <c r="K134" i="8"/>
  <c r="F135" i="8"/>
  <c r="G135" i="8"/>
  <c r="H135" i="8" s="1"/>
  <c r="I135" i="8"/>
  <c r="K135" i="8" s="1"/>
  <c r="J135" i="8"/>
  <c r="F136" i="8"/>
  <c r="H136" i="8" s="1"/>
  <c r="G136" i="8"/>
  <c r="I136" i="8"/>
  <c r="J136" i="8"/>
  <c r="K136" i="8"/>
  <c r="F137" i="8"/>
  <c r="G137" i="8"/>
  <c r="H137" i="8"/>
  <c r="I137" i="8"/>
  <c r="K137" i="8" s="1"/>
  <c r="J137" i="8"/>
  <c r="F138" i="8"/>
  <c r="G138" i="8"/>
  <c r="H138" i="8" s="1"/>
  <c r="I138" i="8"/>
  <c r="J138" i="8"/>
  <c r="K138" i="8" s="1"/>
  <c r="F139" i="8"/>
  <c r="G139" i="8"/>
  <c r="H139" i="8" s="1"/>
  <c r="I139" i="8"/>
  <c r="K139" i="8" s="1"/>
  <c r="J139" i="8"/>
  <c r="F140" i="8"/>
  <c r="H140" i="8" s="1"/>
  <c r="G140" i="8"/>
  <c r="I140" i="8"/>
  <c r="J140" i="8"/>
  <c r="K140" i="8"/>
  <c r="F141" i="8"/>
  <c r="G141" i="8"/>
  <c r="H141" i="8"/>
  <c r="I141" i="8"/>
  <c r="K141" i="8" s="1"/>
  <c r="J141" i="8"/>
  <c r="F142" i="8"/>
  <c r="G142" i="8"/>
  <c r="H142" i="8" s="1"/>
  <c r="I142" i="8"/>
  <c r="J142" i="8"/>
  <c r="K142" i="8" s="1"/>
  <c r="F143" i="8"/>
  <c r="G143" i="8"/>
  <c r="H143" i="8" s="1"/>
  <c r="I143" i="8"/>
  <c r="K143" i="8" s="1"/>
  <c r="J143" i="8"/>
  <c r="F144" i="8"/>
  <c r="G144" i="8"/>
  <c r="I144" i="8"/>
  <c r="J144" i="8"/>
  <c r="K144" i="8"/>
  <c r="F145" i="8"/>
  <c r="G145" i="8"/>
  <c r="H145" i="8"/>
  <c r="I145" i="8"/>
  <c r="K145" i="8" s="1"/>
  <c r="J145" i="8"/>
  <c r="F146" i="8"/>
  <c r="G146" i="8"/>
  <c r="H146" i="8" s="1"/>
  <c r="I146" i="8"/>
  <c r="J146" i="8"/>
  <c r="K146" i="8" s="1"/>
  <c r="F147" i="8"/>
  <c r="G147" i="8"/>
  <c r="H147" i="8" s="1"/>
  <c r="I147" i="8"/>
  <c r="K147" i="8" s="1"/>
  <c r="J147" i="8"/>
  <c r="F148" i="8"/>
  <c r="H148" i="8" s="1"/>
  <c r="G148" i="8"/>
  <c r="I148" i="8"/>
  <c r="J148" i="8"/>
  <c r="K148" i="8"/>
  <c r="F149" i="8"/>
  <c r="G149" i="8"/>
  <c r="H149" i="8"/>
  <c r="I149" i="8"/>
  <c r="K149" i="8" s="1"/>
  <c r="J149" i="8"/>
  <c r="F150" i="8"/>
  <c r="G150" i="8"/>
  <c r="H150" i="8" s="1"/>
  <c r="I150" i="8"/>
  <c r="J150" i="8"/>
  <c r="K150" i="8"/>
  <c r="F151" i="8"/>
  <c r="G151" i="8"/>
  <c r="H151" i="8" s="1"/>
  <c r="I151" i="8"/>
  <c r="K151" i="8" s="1"/>
  <c r="J151" i="8"/>
  <c r="F152" i="8"/>
  <c r="G152" i="8"/>
  <c r="I152" i="8"/>
  <c r="J152" i="8"/>
  <c r="K152" i="8"/>
  <c r="F153" i="8"/>
  <c r="G153" i="8"/>
  <c r="H153" i="8"/>
  <c r="I153" i="8"/>
  <c r="K153" i="8" s="1"/>
  <c r="J153" i="8"/>
  <c r="F154" i="8"/>
  <c r="G154" i="8"/>
  <c r="H154" i="8" s="1"/>
  <c r="I154" i="8"/>
  <c r="J154" i="8"/>
  <c r="K154" i="8" s="1"/>
  <c r="F155" i="8"/>
  <c r="G155" i="8"/>
  <c r="H155" i="8" s="1"/>
  <c r="I155" i="8"/>
  <c r="K155" i="8" s="1"/>
  <c r="J155" i="8"/>
  <c r="F156" i="8"/>
  <c r="G156" i="8"/>
  <c r="I156" i="8"/>
  <c r="J156" i="8"/>
  <c r="K156" i="8"/>
  <c r="F157" i="8"/>
  <c r="G157" i="8"/>
  <c r="H157" i="8"/>
  <c r="I157" i="8"/>
  <c r="K157" i="8" s="1"/>
  <c r="J157" i="8"/>
  <c r="F158" i="8"/>
  <c r="G158" i="8"/>
  <c r="H158" i="8" s="1"/>
  <c r="I158" i="8"/>
  <c r="J158" i="8"/>
  <c r="K158" i="8"/>
  <c r="F159" i="8"/>
  <c r="G159" i="8"/>
  <c r="H159" i="8" s="1"/>
  <c r="I159" i="8"/>
  <c r="K159" i="8" s="1"/>
  <c r="J159" i="8"/>
  <c r="F160" i="8"/>
  <c r="G160" i="8"/>
  <c r="I160" i="8"/>
  <c r="J160" i="8"/>
  <c r="K160" i="8"/>
  <c r="F161" i="8"/>
  <c r="G161" i="8"/>
  <c r="H161" i="8"/>
  <c r="I161" i="8"/>
  <c r="K161" i="8" s="1"/>
  <c r="J161" i="8"/>
  <c r="F162" i="8"/>
  <c r="G162" i="8"/>
  <c r="H162" i="8" s="1"/>
  <c r="I162" i="8"/>
  <c r="J162" i="8"/>
  <c r="K162" i="8"/>
  <c r="F163" i="8"/>
  <c r="H163" i="8" s="1"/>
  <c r="G163" i="8"/>
  <c r="I163" i="8"/>
  <c r="K163" i="8" s="1"/>
  <c r="J163" i="8"/>
  <c r="F164" i="8"/>
  <c r="H164" i="8" s="1"/>
  <c r="G164" i="8"/>
  <c r="I164" i="8"/>
  <c r="J164" i="8"/>
  <c r="K164" i="8"/>
  <c r="F165" i="8"/>
  <c r="G165" i="8"/>
  <c r="H165" i="8"/>
  <c r="I165" i="8"/>
  <c r="K165" i="8" s="1"/>
  <c r="J165" i="8"/>
  <c r="F166" i="8"/>
  <c r="G166" i="8"/>
  <c r="H166" i="8" s="1"/>
  <c r="I166" i="8"/>
  <c r="J166" i="8"/>
  <c r="K166" i="8"/>
  <c r="F167" i="8"/>
  <c r="G167" i="8"/>
  <c r="H167" i="8" s="1"/>
  <c r="I167" i="8"/>
  <c r="K167" i="8" s="1"/>
  <c r="J167" i="8"/>
  <c r="F168" i="8"/>
  <c r="H168" i="8" s="1"/>
  <c r="G168" i="8"/>
  <c r="I168" i="8"/>
  <c r="J168" i="8"/>
  <c r="K168" i="8"/>
  <c r="F169" i="8"/>
  <c r="G169" i="8"/>
  <c r="H169" i="8"/>
  <c r="I169" i="8"/>
  <c r="K169" i="8" s="1"/>
  <c r="J169" i="8"/>
  <c r="F170" i="8"/>
  <c r="G170" i="8"/>
  <c r="H170" i="8" s="1"/>
  <c r="I170" i="8"/>
  <c r="J170" i="8"/>
  <c r="K170" i="8" s="1"/>
  <c r="F171" i="8"/>
  <c r="G171" i="8"/>
  <c r="H171" i="8" s="1"/>
  <c r="I171" i="8"/>
  <c r="K171" i="8" s="1"/>
  <c r="J171" i="8"/>
  <c r="F172" i="8"/>
  <c r="H172" i="8" s="1"/>
  <c r="G172" i="8"/>
  <c r="I172" i="8"/>
  <c r="J172" i="8"/>
  <c r="K172" i="8"/>
  <c r="F173" i="8"/>
  <c r="G173" i="8"/>
  <c r="H173" i="8"/>
  <c r="I173" i="8"/>
  <c r="K173" i="8" s="1"/>
  <c r="J173" i="8"/>
  <c r="F174" i="8"/>
  <c r="G174" i="8"/>
  <c r="H174" i="8" s="1"/>
  <c r="I174" i="8"/>
  <c r="J174" i="8"/>
  <c r="K174" i="8" s="1"/>
  <c r="F175" i="8"/>
  <c r="G175" i="8"/>
  <c r="H175" i="8" s="1"/>
  <c r="I175" i="8"/>
  <c r="K175" i="8" s="1"/>
  <c r="J175" i="8"/>
  <c r="F176" i="8"/>
  <c r="G176" i="8"/>
  <c r="I176" i="8"/>
  <c r="J176" i="8"/>
  <c r="K176" i="8"/>
  <c r="F177" i="8"/>
  <c r="G177" i="8"/>
  <c r="H177" i="8"/>
  <c r="I177" i="8"/>
  <c r="K177" i="8" s="1"/>
  <c r="J177" i="8"/>
  <c r="F178" i="8"/>
  <c r="G178" i="8"/>
  <c r="H178" i="8" s="1"/>
  <c r="I178" i="8"/>
  <c r="J178" i="8"/>
  <c r="K178" i="8" s="1"/>
  <c r="F179" i="8"/>
  <c r="G179" i="8"/>
  <c r="H179" i="8" s="1"/>
  <c r="I179" i="8"/>
  <c r="K179" i="8" s="1"/>
  <c r="J179" i="8"/>
  <c r="F180" i="8"/>
  <c r="H180" i="8" s="1"/>
  <c r="G180" i="8"/>
  <c r="I180" i="8"/>
  <c r="J180" i="8"/>
  <c r="K180" i="8"/>
  <c r="F181" i="8"/>
  <c r="G181" i="8"/>
  <c r="H181" i="8"/>
  <c r="I181" i="8"/>
  <c r="K181" i="8" s="1"/>
  <c r="J181" i="8"/>
  <c r="F182" i="8"/>
  <c r="G182" i="8"/>
  <c r="H182" i="8" s="1"/>
  <c r="I182" i="8"/>
  <c r="J182" i="8"/>
  <c r="K182" i="8"/>
  <c r="F183" i="8"/>
  <c r="G183" i="8"/>
  <c r="H183" i="8" s="1"/>
  <c r="I183" i="8"/>
  <c r="K183" i="8" s="1"/>
  <c r="J183" i="8"/>
  <c r="F184" i="8"/>
  <c r="G184" i="8"/>
  <c r="I184" i="8"/>
  <c r="J184" i="8"/>
  <c r="K184" i="8"/>
  <c r="F185" i="8"/>
  <c r="G185" i="8"/>
  <c r="H185" i="8"/>
  <c r="I185" i="8"/>
  <c r="K185" i="8" s="1"/>
  <c r="J185" i="8"/>
  <c r="F186" i="8"/>
  <c r="G186" i="8"/>
  <c r="H186" i="8" s="1"/>
  <c r="I186" i="8"/>
  <c r="J186" i="8"/>
  <c r="K186" i="8" s="1"/>
  <c r="F187" i="8"/>
  <c r="G187" i="8"/>
  <c r="H187" i="8" s="1"/>
  <c r="I187" i="8"/>
  <c r="K187" i="8" s="1"/>
  <c r="J187" i="8"/>
  <c r="F188" i="8"/>
  <c r="G188" i="8"/>
  <c r="I188" i="8"/>
  <c r="J188" i="8"/>
  <c r="K188" i="8"/>
  <c r="F189" i="8"/>
  <c r="G189" i="8"/>
  <c r="H189" i="8"/>
  <c r="I189" i="8"/>
  <c r="K189" i="8" s="1"/>
  <c r="J189" i="8"/>
  <c r="F190" i="8"/>
  <c r="G190" i="8"/>
  <c r="H190" i="8" s="1"/>
  <c r="I190" i="8"/>
  <c r="J190" i="8"/>
  <c r="K190" i="8"/>
  <c r="F191" i="8"/>
  <c r="G191" i="8"/>
  <c r="H191" i="8" s="1"/>
  <c r="I191" i="8"/>
  <c r="K191" i="8" s="1"/>
  <c r="J191" i="8"/>
  <c r="F192" i="8"/>
  <c r="G192" i="8"/>
  <c r="I192" i="8"/>
  <c r="J192" i="8"/>
  <c r="K192" i="8"/>
  <c r="F193" i="8"/>
  <c r="G193" i="8"/>
  <c r="H193" i="8"/>
  <c r="I193" i="8"/>
  <c r="K193" i="8" s="1"/>
  <c r="J193" i="8"/>
  <c r="F194" i="8"/>
  <c r="G194" i="8"/>
  <c r="H194" i="8" s="1"/>
  <c r="I194" i="8"/>
  <c r="J194" i="8"/>
  <c r="K194" i="8"/>
  <c r="F195" i="8"/>
  <c r="G195" i="8"/>
  <c r="H195" i="8" s="1"/>
  <c r="I195" i="8"/>
  <c r="K195" i="8" s="1"/>
  <c r="J195" i="8"/>
  <c r="F196" i="8"/>
  <c r="H196" i="8" s="1"/>
  <c r="G196" i="8"/>
  <c r="I196" i="8"/>
  <c r="J196" i="8"/>
  <c r="K196" i="8"/>
  <c r="F197" i="8"/>
  <c r="G197" i="8"/>
  <c r="H197" i="8"/>
  <c r="I197" i="8"/>
  <c r="K197" i="8" s="1"/>
  <c r="J197" i="8"/>
  <c r="F198" i="8"/>
  <c r="G198" i="8"/>
  <c r="H198" i="8" s="1"/>
  <c r="I198" i="8"/>
  <c r="J198" i="8"/>
  <c r="K198" i="8"/>
  <c r="F199" i="8"/>
  <c r="G199" i="8"/>
  <c r="H199" i="8" s="1"/>
  <c r="I199" i="8"/>
  <c r="K199" i="8" s="1"/>
  <c r="J199" i="8"/>
  <c r="F200" i="8"/>
  <c r="H200" i="8" s="1"/>
  <c r="G200" i="8"/>
  <c r="I200" i="8"/>
  <c r="J200" i="8"/>
  <c r="K200" i="8"/>
  <c r="F201" i="8"/>
  <c r="G201" i="8"/>
  <c r="H201" i="8"/>
  <c r="I201" i="8"/>
  <c r="K201" i="8" s="1"/>
  <c r="J201" i="8"/>
  <c r="F202" i="8"/>
  <c r="G202" i="8"/>
  <c r="H202" i="8" s="1"/>
  <c r="I202" i="8"/>
  <c r="J202" i="8"/>
  <c r="K202" i="8" s="1"/>
  <c r="F203" i="8"/>
  <c r="G203" i="8"/>
  <c r="H203" i="8" s="1"/>
  <c r="I203" i="8"/>
  <c r="K203" i="8" s="1"/>
  <c r="J203" i="8"/>
  <c r="F204" i="8"/>
  <c r="H204" i="8" s="1"/>
  <c r="G204" i="8"/>
  <c r="I204" i="8"/>
  <c r="J204" i="8"/>
  <c r="K204" i="8"/>
  <c r="F205" i="8"/>
  <c r="G205" i="8"/>
  <c r="H205" i="8"/>
  <c r="I205" i="8"/>
  <c r="K205" i="8" s="1"/>
  <c r="J205" i="8"/>
  <c r="F206" i="8"/>
  <c r="G206" i="8"/>
  <c r="H206" i="8" s="1"/>
  <c r="I206" i="8"/>
  <c r="J206" i="8"/>
  <c r="K206" i="8" s="1"/>
  <c r="F207" i="8"/>
  <c r="H207" i="8" s="1"/>
  <c r="G207" i="8"/>
  <c r="I207" i="8"/>
  <c r="K207" i="8" s="1"/>
  <c r="J207" i="8"/>
  <c r="F208" i="8"/>
  <c r="G208" i="8"/>
  <c r="I208" i="8"/>
  <c r="J208" i="8"/>
  <c r="K208" i="8"/>
  <c r="F209" i="8"/>
  <c r="G209" i="8"/>
  <c r="H209" i="8"/>
  <c r="I209" i="8"/>
  <c r="K209" i="8" s="1"/>
  <c r="J209" i="8"/>
  <c r="F210" i="8"/>
  <c r="G210" i="8"/>
  <c r="H210" i="8" s="1"/>
  <c r="I210" i="8"/>
  <c r="J210" i="8"/>
  <c r="K210" i="8" s="1"/>
  <c r="F211" i="8"/>
  <c r="G211" i="8"/>
  <c r="H211" i="8" s="1"/>
  <c r="I211" i="8"/>
  <c r="K211" i="8" s="1"/>
  <c r="J211" i="8"/>
  <c r="F212" i="8"/>
  <c r="H212" i="8" s="1"/>
  <c r="G212" i="8"/>
  <c r="I212" i="8"/>
  <c r="J212" i="8"/>
  <c r="K212" i="8"/>
  <c r="F213" i="8"/>
  <c r="G213" i="8"/>
  <c r="H213" i="8"/>
  <c r="I213" i="8"/>
  <c r="K213" i="8" s="1"/>
  <c r="J213" i="8"/>
  <c r="F214" i="8"/>
  <c r="H214" i="8" s="1"/>
  <c r="G214" i="8"/>
  <c r="I214" i="8"/>
  <c r="J214" i="8"/>
  <c r="K214" i="8"/>
  <c r="F215" i="8"/>
  <c r="G215" i="8"/>
  <c r="H215" i="8" s="1"/>
  <c r="I215" i="8"/>
  <c r="K215" i="8" s="1"/>
  <c r="J215" i="8"/>
  <c r="F216" i="8"/>
  <c r="G216" i="8"/>
  <c r="I216" i="8"/>
  <c r="J216" i="8"/>
  <c r="K216" i="8"/>
  <c r="F217" i="8"/>
  <c r="G217" i="8"/>
  <c r="H217" i="8"/>
  <c r="I217" i="8"/>
  <c r="K217" i="8" s="1"/>
  <c r="J217" i="8"/>
  <c r="F218" i="8"/>
  <c r="H218" i="8" s="1"/>
  <c r="G218" i="8"/>
  <c r="I218" i="8"/>
  <c r="J218" i="8"/>
  <c r="K218" i="8" s="1"/>
  <c r="F219" i="8"/>
  <c r="G219" i="8"/>
  <c r="H219" i="8" s="1"/>
  <c r="I219" i="8"/>
  <c r="K219" i="8" s="1"/>
  <c r="J219" i="8"/>
  <c r="F220" i="8"/>
  <c r="G220" i="8"/>
  <c r="I220" i="8"/>
  <c r="J220" i="8"/>
  <c r="K220" i="8"/>
  <c r="F221" i="8"/>
  <c r="G221" i="8"/>
  <c r="H221" i="8"/>
  <c r="I221" i="8"/>
  <c r="K221" i="8" s="1"/>
  <c r="J221" i="8"/>
  <c r="F222" i="8"/>
  <c r="H222" i="8" s="1"/>
  <c r="G222" i="8"/>
  <c r="I222" i="8"/>
  <c r="J222" i="8"/>
  <c r="K222" i="8"/>
  <c r="F223" i="8"/>
  <c r="G223" i="8"/>
  <c r="H223" i="8" s="1"/>
  <c r="I223" i="8"/>
  <c r="K223" i="8" s="1"/>
  <c r="J223" i="8"/>
  <c r="F224" i="8"/>
  <c r="G224" i="8"/>
  <c r="I224" i="8"/>
  <c r="J224" i="8"/>
  <c r="K224" i="8"/>
  <c r="F225" i="8"/>
  <c r="G225" i="8"/>
  <c r="H225" i="8"/>
  <c r="I225" i="8"/>
  <c r="K225" i="8" s="1"/>
  <c r="J225" i="8"/>
  <c r="F226" i="8"/>
  <c r="G226" i="8"/>
  <c r="H226" i="8" s="1"/>
  <c r="I226" i="8"/>
  <c r="J226" i="8"/>
  <c r="K226" i="8"/>
  <c r="F227" i="8"/>
  <c r="G227" i="8"/>
  <c r="H227" i="8" s="1"/>
  <c r="I227" i="8"/>
  <c r="K227" i="8" s="1"/>
  <c r="J227" i="8"/>
  <c r="F228" i="8"/>
  <c r="H228" i="8" s="1"/>
  <c r="G228" i="8"/>
  <c r="I228" i="8"/>
  <c r="J228" i="8"/>
  <c r="K228" i="8"/>
  <c r="F229" i="8"/>
  <c r="G229" i="8"/>
  <c r="H229" i="8"/>
  <c r="I229" i="8"/>
  <c r="K229" i="8" s="1"/>
  <c r="J229" i="8"/>
  <c r="F230" i="8"/>
  <c r="G230" i="8"/>
  <c r="H230" i="8" s="1"/>
  <c r="I230" i="8"/>
  <c r="J230" i="8"/>
  <c r="K230" i="8"/>
  <c r="F231" i="8"/>
  <c r="G231" i="8"/>
  <c r="H231" i="8" s="1"/>
  <c r="I231" i="8"/>
  <c r="K231" i="8" s="1"/>
  <c r="J231" i="8"/>
  <c r="F232" i="8"/>
  <c r="H232" i="8" s="1"/>
  <c r="G232" i="8"/>
  <c r="I232" i="8"/>
  <c r="J232" i="8"/>
  <c r="K232" i="8"/>
  <c r="F233" i="8"/>
  <c r="G233" i="8"/>
  <c r="H233" i="8"/>
  <c r="I233" i="8"/>
  <c r="K233" i="8" s="1"/>
  <c r="J233" i="8"/>
  <c r="F234" i="8"/>
  <c r="G234" i="8"/>
  <c r="H234" i="8" s="1"/>
  <c r="I234" i="8"/>
  <c r="J234" i="8"/>
  <c r="K234" i="8" s="1"/>
  <c r="F235" i="8"/>
  <c r="G235" i="8"/>
  <c r="H235" i="8" s="1"/>
  <c r="I235" i="8"/>
  <c r="K235" i="8" s="1"/>
  <c r="J235" i="8"/>
  <c r="F236" i="8"/>
  <c r="H236" i="8" s="1"/>
  <c r="G236" i="8"/>
  <c r="I236" i="8"/>
  <c r="J236" i="8"/>
  <c r="K236" i="8"/>
  <c r="F237" i="8"/>
  <c r="G237" i="8"/>
  <c r="H237" i="8"/>
  <c r="I237" i="8"/>
  <c r="K237" i="8" s="1"/>
  <c r="J237" i="8"/>
  <c r="F238" i="8"/>
  <c r="G238" i="8"/>
  <c r="H238" i="8" s="1"/>
  <c r="I238" i="8"/>
  <c r="J238" i="8"/>
  <c r="K238" i="8" s="1"/>
  <c r="F239" i="8"/>
  <c r="G239" i="8"/>
  <c r="H239" i="8" s="1"/>
  <c r="I239" i="8"/>
  <c r="K239" i="8" s="1"/>
  <c r="J239" i="8"/>
  <c r="F240" i="8"/>
  <c r="G240" i="8"/>
  <c r="I240" i="8"/>
  <c r="J240" i="8"/>
  <c r="K240" i="8"/>
  <c r="F241" i="8"/>
  <c r="G241" i="8"/>
  <c r="H241" i="8"/>
  <c r="I241" i="8"/>
  <c r="K241" i="8" s="1"/>
  <c r="J241" i="8"/>
  <c r="F242" i="8"/>
  <c r="G242" i="8"/>
  <c r="H242" i="8" s="1"/>
  <c r="I242" i="8"/>
  <c r="J242" i="8"/>
  <c r="K242" i="8" s="1"/>
  <c r="F243" i="8"/>
  <c r="G243" i="8"/>
  <c r="H243" i="8" s="1"/>
  <c r="I243" i="8"/>
  <c r="K243" i="8" s="1"/>
  <c r="J243" i="8"/>
  <c r="F244" i="8"/>
  <c r="H244" i="8" s="1"/>
  <c r="G244" i="8"/>
  <c r="I244" i="8"/>
  <c r="J244" i="8"/>
  <c r="K244" i="8"/>
  <c r="F245" i="8"/>
  <c r="G245" i="8"/>
  <c r="H245" i="8"/>
  <c r="I245" i="8"/>
  <c r="K245" i="8" s="1"/>
  <c r="J245" i="8"/>
  <c r="F246" i="8"/>
  <c r="G246" i="8"/>
  <c r="H246" i="8" s="1"/>
  <c r="I246" i="8"/>
  <c r="J246" i="8"/>
  <c r="K246" i="8"/>
  <c r="F247" i="8"/>
  <c r="G247" i="8"/>
  <c r="H247" i="8" s="1"/>
  <c r="I247" i="8"/>
  <c r="K247" i="8" s="1"/>
  <c r="J247" i="8"/>
  <c r="F248" i="8"/>
  <c r="G248" i="8"/>
  <c r="I248" i="8"/>
  <c r="J248" i="8"/>
  <c r="K248" i="8"/>
  <c r="F249" i="8"/>
  <c r="G249" i="8"/>
  <c r="H249" i="8"/>
  <c r="I249" i="8"/>
  <c r="K249" i="8" s="1"/>
  <c r="J249" i="8"/>
  <c r="F250" i="8"/>
  <c r="G250" i="8"/>
  <c r="H250" i="8" s="1"/>
  <c r="I250" i="8"/>
  <c r="J250" i="8"/>
  <c r="K250" i="8" s="1"/>
  <c r="F251" i="8"/>
  <c r="G251" i="8"/>
  <c r="H251" i="8" s="1"/>
  <c r="I251" i="8"/>
  <c r="K251" i="8" s="1"/>
  <c r="J251" i="8"/>
  <c r="F252" i="8"/>
  <c r="G252" i="8"/>
  <c r="I252" i="8"/>
  <c r="J252" i="8"/>
  <c r="K252" i="8"/>
  <c r="F253" i="8"/>
  <c r="G253" i="8"/>
  <c r="H253" i="8"/>
  <c r="I253" i="8"/>
  <c r="K253" i="8" s="1"/>
  <c r="J253" i="8"/>
  <c r="F254" i="8"/>
  <c r="G254" i="8"/>
  <c r="H254" i="8" s="1"/>
  <c r="I254" i="8"/>
  <c r="J254" i="8"/>
  <c r="K254" i="8"/>
  <c r="F255" i="8"/>
  <c r="G255" i="8"/>
  <c r="H255" i="8" s="1"/>
  <c r="I255" i="8"/>
  <c r="K255" i="8" s="1"/>
  <c r="J255" i="8"/>
  <c r="F256" i="8"/>
  <c r="G256" i="8"/>
  <c r="I256" i="8"/>
  <c r="J256" i="8"/>
  <c r="K256" i="8"/>
  <c r="F257" i="8"/>
  <c r="G257" i="8"/>
  <c r="H257" i="8"/>
  <c r="I257" i="8"/>
  <c r="K257" i="8" s="1"/>
  <c r="J257" i="8"/>
  <c r="F258" i="8"/>
  <c r="G258" i="8"/>
  <c r="H258" i="8" s="1"/>
  <c r="I258" i="8"/>
  <c r="J258" i="8"/>
  <c r="K258" i="8"/>
  <c r="F259" i="8"/>
  <c r="G259" i="8"/>
  <c r="H259" i="8" s="1"/>
  <c r="I259" i="8"/>
  <c r="K259" i="8" s="1"/>
  <c r="J259" i="8"/>
  <c r="F260" i="8"/>
  <c r="H260" i="8" s="1"/>
  <c r="G260" i="8"/>
  <c r="I260" i="8"/>
  <c r="J260" i="8"/>
  <c r="K260" i="8"/>
  <c r="F261" i="8"/>
  <c r="G261" i="8"/>
  <c r="H261" i="8"/>
  <c r="I261" i="8"/>
  <c r="K261" i="8" s="1"/>
  <c r="J261" i="8"/>
  <c r="F262" i="8"/>
  <c r="G262" i="8"/>
  <c r="H262" i="8" s="1"/>
  <c r="I262" i="8"/>
  <c r="J262" i="8"/>
  <c r="K262" i="8"/>
  <c r="F263" i="8"/>
  <c r="G263" i="8"/>
  <c r="H263" i="8" s="1"/>
  <c r="I263" i="8"/>
  <c r="K263" i="8" s="1"/>
  <c r="J263" i="8"/>
  <c r="F264" i="8"/>
  <c r="H264" i="8" s="1"/>
  <c r="G264" i="8"/>
  <c r="I264" i="8"/>
  <c r="J264" i="8"/>
  <c r="K264" i="8"/>
  <c r="F265" i="8"/>
  <c r="G265" i="8"/>
  <c r="H265" i="8"/>
  <c r="I265" i="8"/>
  <c r="K265" i="8" s="1"/>
  <c r="J265" i="8"/>
  <c r="F266" i="8"/>
  <c r="G266" i="8"/>
  <c r="H266" i="8" s="1"/>
  <c r="I266" i="8"/>
  <c r="J266" i="8"/>
  <c r="K266" i="8" s="1"/>
  <c r="F267" i="8"/>
  <c r="G267" i="8"/>
  <c r="H267" i="8" s="1"/>
  <c r="I267" i="8"/>
  <c r="K267" i="8" s="1"/>
  <c r="J267" i="8"/>
  <c r="F268" i="8"/>
  <c r="H268" i="8" s="1"/>
  <c r="G268" i="8"/>
  <c r="I268" i="8"/>
  <c r="J268" i="8"/>
  <c r="K268" i="8"/>
  <c r="F269" i="8"/>
  <c r="G269" i="8"/>
  <c r="H269" i="8"/>
  <c r="I269" i="8"/>
  <c r="K269" i="8" s="1"/>
  <c r="J269" i="8"/>
  <c r="F270" i="8"/>
  <c r="G270" i="8"/>
  <c r="H270" i="8" s="1"/>
  <c r="I270" i="8"/>
  <c r="J270" i="8"/>
  <c r="K270" i="8" s="1"/>
  <c r="F271" i="8"/>
  <c r="G271" i="8"/>
  <c r="H271" i="8" s="1"/>
  <c r="I271" i="8"/>
  <c r="K271" i="8" s="1"/>
  <c r="J271" i="8"/>
  <c r="F272" i="8"/>
  <c r="G272" i="8"/>
  <c r="I272" i="8"/>
  <c r="J272" i="8"/>
  <c r="K272" i="8"/>
  <c r="F273" i="8"/>
  <c r="G273" i="8"/>
  <c r="H273" i="8"/>
  <c r="I273" i="8"/>
  <c r="K273" i="8" s="1"/>
  <c r="J273" i="8"/>
  <c r="F274" i="8"/>
  <c r="G274" i="8"/>
  <c r="H274" i="8" s="1"/>
  <c r="I274" i="8"/>
  <c r="J274" i="8"/>
  <c r="K274" i="8" s="1"/>
  <c r="F275" i="8"/>
  <c r="G275" i="8"/>
  <c r="H275" i="8" s="1"/>
  <c r="I275" i="8"/>
  <c r="K275" i="8" s="1"/>
  <c r="J275" i="8"/>
  <c r="F276" i="8"/>
  <c r="H276" i="8" s="1"/>
  <c r="G276" i="8"/>
  <c r="I276" i="8"/>
  <c r="J276" i="8"/>
  <c r="K276" i="8"/>
  <c r="F277" i="8"/>
  <c r="G277" i="8"/>
  <c r="H277" i="8"/>
  <c r="I277" i="8"/>
  <c r="K277" i="8" s="1"/>
  <c r="J277" i="8"/>
  <c r="F278" i="8"/>
  <c r="G278" i="8"/>
  <c r="H278" i="8" s="1"/>
  <c r="I278" i="8"/>
  <c r="J278" i="8"/>
  <c r="K278" i="8"/>
  <c r="F279" i="8"/>
  <c r="G279" i="8"/>
  <c r="H279" i="8" s="1"/>
  <c r="I279" i="8"/>
  <c r="K279" i="8" s="1"/>
  <c r="J279" i="8"/>
  <c r="F280" i="8"/>
  <c r="G280" i="8"/>
  <c r="I280" i="8"/>
  <c r="J280" i="8"/>
  <c r="K280" i="8"/>
  <c r="F281" i="8"/>
  <c r="G281" i="8"/>
  <c r="H281" i="8"/>
  <c r="I281" i="8"/>
  <c r="K281" i="8" s="1"/>
  <c r="J281" i="8"/>
  <c r="F282" i="8"/>
  <c r="G282" i="8"/>
  <c r="H282" i="8" s="1"/>
  <c r="I282" i="8"/>
  <c r="J282" i="8"/>
  <c r="K282" i="8" s="1"/>
  <c r="F283" i="8"/>
  <c r="H283" i="8" s="1"/>
  <c r="G283" i="8"/>
  <c r="I283" i="8"/>
  <c r="K283" i="8" s="1"/>
  <c r="J283" i="8"/>
  <c r="F284" i="8"/>
  <c r="G284" i="8"/>
  <c r="I284" i="8"/>
  <c r="J284" i="8"/>
  <c r="K284" i="8"/>
  <c r="F285" i="8"/>
  <c r="G285" i="8"/>
  <c r="H285" i="8"/>
  <c r="I285" i="8"/>
  <c r="K285" i="8" s="1"/>
  <c r="J285" i="8"/>
  <c r="F286" i="8"/>
  <c r="G286" i="8"/>
  <c r="H286" i="8" s="1"/>
  <c r="I286" i="8"/>
  <c r="J286" i="8"/>
  <c r="K286" i="8"/>
  <c r="F287" i="8"/>
  <c r="G287" i="8"/>
  <c r="H287" i="8" s="1"/>
  <c r="I287" i="8"/>
  <c r="K287" i="8" s="1"/>
  <c r="J287" i="8"/>
  <c r="F288" i="8"/>
  <c r="G288" i="8"/>
  <c r="I288" i="8"/>
  <c r="J288" i="8"/>
  <c r="K288" i="8"/>
  <c r="F289" i="8"/>
  <c r="G289" i="8"/>
  <c r="H289" i="8"/>
  <c r="I289" i="8"/>
  <c r="K289" i="8" s="1"/>
  <c r="J289" i="8"/>
  <c r="F290" i="8"/>
  <c r="G290" i="8"/>
  <c r="H290" i="8" s="1"/>
  <c r="I290" i="8"/>
  <c r="J290" i="8"/>
  <c r="K290" i="8"/>
  <c r="F291" i="8"/>
  <c r="G291" i="8"/>
  <c r="H291" i="8" s="1"/>
  <c r="I291" i="8"/>
  <c r="K291" i="8" s="1"/>
  <c r="J291" i="8"/>
  <c r="F292" i="8"/>
  <c r="H292" i="8" s="1"/>
  <c r="G292" i="8"/>
  <c r="I292" i="8"/>
  <c r="J292" i="8"/>
  <c r="K292" i="8"/>
  <c r="F293" i="8"/>
  <c r="G293" i="8"/>
  <c r="H293" i="8"/>
  <c r="I293" i="8"/>
  <c r="K293" i="8" s="1"/>
  <c r="J293" i="8"/>
  <c r="F294" i="8"/>
  <c r="G294" i="8"/>
  <c r="H294" i="8" s="1"/>
  <c r="I294" i="8"/>
  <c r="J294" i="8"/>
  <c r="K294" i="8"/>
  <c r="F295" i="8"/>
  <c r="G295" i="8"/>
  <c r="H295" i="8" s="1"/>
  <c r="I295" i="8"/>
  <c r="K295" i="8" s="1"/>
  <c r="J295" i="8"/>
  <c r="F296" i="8"/>
  <c r="H296" i="8" s="1"/>
  <c r="G296" i="8"/>
  <c r="I296" i="8"/>
  <c r="J296" i="8"/>
  <c r="K296" i="8"/>
  <c r="F297" i="8"/>
  <c r="G297" i="8"/>
  <c r="H297" i="8"/>
  <c r="I297" i="8"/>
  <c r="K297" i="8" s="1"/>
  <c r="J297" i="8"/>
  <c r="F298" i="8"/>
  <c r="G298" i="8"/>
  <c r="H298" i="8" s="1"/>
  <c r="I298" i="8"/>
  <c r="J298" i="8"/>
  <c r="K298" i="8" s="1"/>
  <c r="F299" i="8"/>
  <c r="G299" i="8"/>
  <c r="H299" i="8" s="1"/>
  <c r="I299" i="8"/>
  <c r="K299" i="8" s="1"/>
  <c r="J299" i="8"/>
  <c r="F300" i="8"/>
  <c r="H300" i="8" s="1"/>
  <c r="G300" i="8"/>
  <c r="I300" i="8"/>
  <c r="J300" i="8"/>
  <c r="K300" i="8"/>
  <c r="F301" i="8"/>
  <c r="G301" i="8"/>
  <c r="H301" i="8"/>
  <c r="I301" i="8"/>
  <c r="K301" i="8" s="1"/>
  <c r="J301" i="8"/>
  <c r="F302" i="8"/>
  <c r="G302" i="8"/>
  <c r="H302" i="8" s="1"/>
  <c r="I302" i="8"/>
  <c r="J302" i="8"/>
  <c r="K302" i="8" s="1"/>
  <c r="F303" i="8"/>
  <c r="G303" i="8"/>
  <c r="H303" i="8" s="1"/>
  <c r="I303" i="8"/>
  <c r="K303" i="8" s="1"/>
  <c r="J303" i="8"/>
  <c r="F304" i="8"/>
  <c r="G304" i="8"/>
  <c r="I304" i="8"/>
  <c r="J304" i="8"/>
  <c r="K304" i="8"/>
  <c r="F305" i="8"/>
  <c r="G305" i="8"/>
  <c r="H305" i="8"/>
  <c r="I305" i="8"/>
  <c r="K305" i="8" s="1"/>
  <c r="J305" i="8"/>
  <c r="F306" i="8"/>
  <c r="G306" i="8"/>
  <c r="H306" i="8" s="1"/>
  <c r="I306" i="8"/>
  <c r="J306" i="8"/>
  <c r="K306" i="8" s="1"/>
  <c r="F307" i="8"/>
  <c r="G307" i="8"/>
  <c r="H307" i="8" s="1"/>
  <c r="I307" i="8"/>
  <c r="K307" i="8" s="1"/>
  <c r="J307" i="8"/>
  <c r="F308" i="8"/>
  <c r="H308" i="8" s="1"/>
  <c r="G308" i="8"/>
  <c r="I308" i="8"/>
  <c r="J308" i="8"/>
  <c r="K308" i="8"/>
  <c r="F309" i="8"/>
  <c r="G309" i="8"/>
  <c r="H309" i="8"/>
  <c r="I309" i="8"/>
  <c r="K309" i="8" s="1"/>
  <c r="J309" i="8"/>
  <c r="F310" i="8"/>
  <c r="G310" i="8"/>
  <c r="H310" i="8" s="1"/>
  <c r="I310" i="8"/>
  <c r="J310" i="8"/>
  <c r="K310" i="8"/>
  <c r="F311" i="8"/>
  <c r="G311" i="8"/>
  <c r="H311" i="8" s="1"/>
  <c r="I311" i="8"/>
  <c r="K311" i="8" s="1"/>
  <c r="J311" i="8"/>
  <c r="F312" i="8"/>
  <c r="G312" i="8"/>
  <c r="I312" i="8"/>
  <c r="J312" i="8"/>
  <c r="K312" i="8"/>
  <c r="F313" i="8"/>
  <c r="G313" i="8"/>
  <c r="H313" i="8"/>
  <c r="I313" i="8"/>
  <c r="K313" i="8" s="1"/>
  <c r="J313" i="8"/>
  <c r="F314" i="8"/>
  <c r="G314" i="8"/>
  <c r="H314" i="8" s="1"/>
  <c r="I314" i="8"/>
  <c r="J314" i="8"/>
  <c r="K314" i="8" s="1"/>
  <c r="F315" i="8"/>
  <c r="G315" i="8"/>
  <c r="H315" i="8" s="1"/>
  <c r="I315" i="8"/>
  <c r="K315" i="8" s="1"/>
  <c r="J315" i="8"/>
  <c r="F316" i="8"/>
  <c r="G316" i="8"/>
  <c r="I316" i="8"/>
  <c r="J316" i="8"/>
  <c r="K316" i="8"/>
  <c r="F317" i="8"/>
  <c r="G317" i="8"/>
  <c r="H317" i="8"/>
  <c r="I317" i="8"/>
  <c r="K317" i="8" s="1"/>
  <c r="J317" i="8"/>
  <c r="F318" i="8"/>
  <c r="G318" i="8"/>
  <c r="H318" i="8" s="1"/>
  <c r="I318" i="8"/>
  <c r="J318" i="8"/>
  <c r="K318" i="8"/>
  <c r="F319" i="8"/>
  <c r="G319" i="8"/>
  <c r="H319" i="8" s="1"/>
  <c r="I319" i="8"/>
  <c r="K319" i="8" s="1"/>
  <c r="J319" i="8"/>
  <c r="F320" i="8"/>
  <c r="G320" i="8"/>
  <c r="I320" i="8"/>
  <c r="J320" i="8"/>
  <c r="K320" i="8"/>
  <c r="F321" i="8"/>
  <c r="G321" i="8"/>
  <c r="H321" i="8"/>
  <c r="I321" i="8"/>
  <c r="K321" i="8" s="1"/>
  <c r="J321" i="8"/>
  <c r="F322" i="8"/>
  <c r="G322" i="8"/>
  <c r="H322" i="8" s="1"/>
  <c r="I322" i="8"/>
  <c r="J322" i="8"/>
  <c r="K322" i="8"/>
  <c r="F323" i="8"/>
  <c r="G323" i="8"/>
  <c r="H323" i="8" s="1"/>
  <c r="I323" i="8"/>
  <c r="K323" i="8" s="1"/>
  <c r="J323" i="8"/>
  <c r="F324" i="8"/>
  <c r="H324" i="8" s="1"/>
  <c r="G324" i="8"/>
  <c r="I324" i="8"/>
  <c r="J324" i="8"/>
  <c r="K324" i="8"/>
  <c r="F325" i="8"/>
  <c r="G325" i="8"/>
  <c r="H325" i="8"/>
  <c r="I325" i="8"/>
  <c r="K325" i="8" s="1"/>
  <c r="J325" i="8"/>
  <c r="F326" i="8"/>
  <c r="G326" i="8"/>
  <c r="H326" i="8" s="1"/>
  <c r="I326" i="8"/>
  <c r="J326" i="8"/>
  <c r="K326" i="8"/>
  <c r="F327" i="8"/>
  <c r="G327" i="8"/>
  <c r="H327" i="8" s="1"/>
  <c r="I327" i="8"/>
  <c r="K327" i="8" s="1"/>
  <c r="J327" i="8"/>
  <c r="F328" i="8"/>
  <c r="H328" i="8" s="1"/>
  <c r="G328" i="8"/>
  <c r="I328" i="8"/>
  <c r="J328" i="8"/>
  <c r="K328" i="8"/>
  <c r="F329" i="8"/>
  <c r="G329" i="8"/>
  <c r="H329" i="8"/>
  <c r="I329" i="8"/>
  <c r="K329" i="8" s="1"/>
  <c r="J329" i="8"/>
  <c r="F330" i="8"/>
  <c r="G330" i="8"/>
  <c r="H330" i="8" s="1"/>
  <c r="I330" i="8"/>
  <c r="J330" i="8"/>
  <c r="K330" i="8" s="1"/>
  <c r="F331" i="8"/>
  <c r="G331" i="8"/>
  <c r="H331" i="8" s="1"/>
  <c r="I331" i="8"/>
  <c r="K331" i="8" s="1"/>
  <c r="J331" i="8"/>
  <c r="F332" i="8"/>
  <c r="H332" i="8" s="1"/>
  <c r="G332" i="8"/>
  <c r="I332" i="8"/>
  <c r="J332" i="8"/>
  <c r="K332" i="8"/>
  <c r="F333" i="8"/>
  <c r="G333" i="8"/>
  <c r="H333" i="8"/>
  <c r="I333" i="8"/>
  <c r="K333" i="8" s="1"/>
  <c r="J333" i="8"/>
  <c r="F334" i="8"/>
  <c r="G334" i="8"/>
  <c r="H334" i="8" s="1"/>
  <c r="I334" i="8"/>
  <c r="J334" i="8"/>
  <c r="K334" i="8" s="1"/>
  <c r="F335" i="8"/>
  <c r="G335" i="8"/>
  <c r="H335" i="8" s="1"/>
  <c r="I335" i="8"/>
  <c r="J335" i="8"/>
  <c r="F336" i="8"/>
  <c r="G336" i="8"/>
  <c r="I336" i="8"/>
  <c r="J336" i="8"/>
  <c r="K336" i="8"/>
  <c r="F337" i="8"/>
  <c r="H337" i="8" s="1"/>
  <c r="G337" i="8"/>
  <c r="I337" i="8"/>
  <c r="K337" i="8" s="1"/>
  <c r="J337" i="8"/>
  <c r="F338" i="8"/>
  <c r="G338" i="8"/>
  <c r="H338" i="8" s="1"/>
  <c r="I338" i="8"/>
  <c r="J338" i="8"/>
  <c r="K338" i="8"/>
  <c r="F339" i="8"/>
  <c r="G339" i="8"/>
  <c r="H339" i="8" s="1"/>
  <c r="I339" i="8"/>
  <c r="K339" i="8" s="1"/>
  <c r="J339" i="8"/>
  <c r="F340" i="8"/>
  <c r="G340" i="8"/>
  <c r="I340" i="8"/>
  <c r="J340" i="8"/>
  <c r="K340" i="8" s="1"/>
  <c r="F341" i="8"/>
  <c r="G341" i="8"/>
  <c r="H341" i="8" s="1"/>
  <c r="I341" i="8"/>
  <c r="K341" i="8" s="1"/>
  <c r="J341" i="8"/>
  <c r="F342" i="8"/>
  <c r="H342" i="8" s="1"/>
  <c r="G342" i="8"/>
  <c r="I342" i="8"/>
  <c r="K342" i="8" s="1"/>
  <c r="J342" i="8"/>
  <c r="F343" i="8"/>
  <c r="H343" i="8" s="1"/>
  <c r="G343" i="8"/>
  <c r="I343" i="8"/>
  <c r="J343" i="8"/>
  <c r="K343" i="8"/>
  <c r="F344" i="8"/>
  <c r="H344" i="8" s="1"/>
  <c r="G344" i="8"/>
  <c r="I344" i="8"/>
  <c r="J344" i="8"/>
  <c r="K344" i="8" s="1"/>
  <c r="F345" i="8"/>
  <c r="G345" i="8"/>
  <c r="H345" i="8" s="1"/>
  <c r="I345" i="8"/>
  <c r="K345" i="8" s="1"/>
  <c r="J345" i="8"/>
  <c r="F346" i="8"/>
  <c r="H346" i="8" s="1"/>
  <c r="G346" i="8"/>
  <c r="I346" i="8"/>
  <c r="K346" i="8" s="1"/>
  <c r="J346" i="8"/>
  <c r="F347" i="8"/>
  <c r="H347" i="8" s="1"/>
  <c r="G347" i="8"/>
  <c r="I347" i="8"/>
  <c r="J347" i="8"/>
  <c r="K347" i="8"/>
  <c r="F348" i="8"/>
  <c r="H348" i="8" s="1"/>
  <c r="G348" i="8"/>
  <c r="I348" i="8"/>
  <c r="J348" i="8"/>
  <c r="K348" i="8" s="1"/>
  <c r="F349" i="8"/>
  <c r="G349" i="8"/>
  <c r="H349" i="8" s="1"/>
  <c r="I349" i="8"/>
  <c r="K349" i="8" s="1"/>
  <c r="J349" i="8"/>
  <c r="F350" i="8"/>
  <c r="H350" i="8" s="1"/>
  <c r="G350" i="8"/>
  <c r="I350" i="8"/>
  <c r="K350" i="8" s="1"/>
  <c r="J350" i="8"/>
  <c r="F351" i="8"/>
  <c r="H351" i="8" s="1"/>
  <c r="G351" i="8"/>
  <c r="I351" i="8"/>
  <c r="J351" i="8"/>
  <c r="K351" i="8"/>
  <c r="F352" i="8"/>
  <c r="H352" i="8" s="1"/>
  <c r="G352" i="8"/>
  <c r="I352" i="8"/>
  <c r="J352" i="8"/>
  <c r="K352" i="8" s="1"/>
  <c r="F353" i="8"/>
  <c r="G353" i="8"/>
  <c r="H353" i="8" s="1"/>
  <c r="I353" i="8"/>
  <c r="K353" i="8" s="1"/>
  <c r="J353" i="8"/>
  <c r="F354" i="8"/>
  <c r="H354" i="8" s="1"/>
  <c r="G354" i="8"/>
  <c r="I354" i="8"/>
  <c r="K354" i="8" s="1"/>
  <c r="J354" i="8"/>
  <c r="F355" i="8"/>
  <c r="H355" i="8" s="1"/>
  <c r="G355" i="8"/>
  <c r="I355" i="8"/>
  <c r="J355" i="8"/>
  <c r="K355" i="8"/>
  <c r="F356" i="8"/>
  <c r="H356" i="8" s="1"/>
  <c r="G356" i="8"/>
  <c r="I356" i="8"/>
  <c r="J356" i="8"/>
  <c r="K356" i="8" s="1"/>
  <c r="F357" i="8"/>
  <c r="G357" i="8"/>
  <c r="H357" i="8" s="1"/>
  <c r="I357" i="8"/>
  <c r="K357" i="8" s="1"/>
  <c r="J357" i="8"/>
  <c r="F358" i="8"/>
  <c r="H358" i="8" s="1"/>
  <c r="G358" i="8"/>
  <c r="I358" i="8"/>
  <c r="K358" i="8" s="1"/>
  <c r="J358" i="8"/>
  <c r="F359" i="8"/>
  <c r="H359" i="8" s="1"/>
  <c r="G359" i="8"/>
  <c r="I359" i="8"/>
  <c r="J359" i="8"/>
  <c r="K359" i="8"/>
  <c r="F360" i="8"/>
  <c r="H360" i="8" s="1"/>
  <c r="G360" i="8"/>
  <c r="I360" i="8"/>
  <c r="J360" i="8"/>
  <c r="K360" i="8" s="1"/>
  <c r="F361" i="8"/>
  <c r="G361" i="8"/>
  <c r="H361" i="8" s="1"/>
  <c r="I361" i="8"/>
  <c r="K361" i="8" s="1"/>
  <c r="J361" i="8"/>
  <c r="F362" i="8"/>
  <c r="H362" i="8" s="1"/>
  <c r="G362" i="8"/>
  <c r="I362" i="8"/>
  <c r="K362" i="8" s="1"/>
  <c r="J362" i="8"/>
  <c r="F363" i="8"/>
  <c r="H363" i="8" s="1"/>
  <c r="G363" i="8"/>
  <c r="I363" i="8"/>
  <c r="J363" i="8"/>
  <c r="K363" i="8"/>
  <c r="F364" i="8"/>
  <c r="H364" i="8" s="1"/>
  <c r="G364" i="8"/>
  <c r="I364" i="8"/>
  <c r="J364" i="8"/>
  <c r="K364" i="8" s="1"/>
  <c r="F365" i="8"/>
  <c r="G365" i="8"/>
  <c r="H365" i="8" s="1"/>
  <c r="I365" i="8"/>
  <c r="K365" i="8" s="1"/>
  <c r="J365" i="8"/>
  <c r="F366" i="8"/>
  <c r="H366" i="8" s="1"/>
  <c r="G366" i="8"/>
  <c r="I366" i="8"/>
  <c r="K366" i="8" s="1"/>
  <c r="J366" i="8"/>
  <c r="F367" i="8"/>
  <c r="H367" i="8" s="1"/>
  <c r="G367" i="8"/>
  <c r="I367" i="8"/>
  <c r="J367" i="8"/>
  <c r="K367" i="8"/>
  <c r="F368" i="8"/>
  <c r="H368" i="8" s="1"/>
  <c r="G368" i="8"/>
  <c r="I368" i="8"/>
  <c r="J368" i="8"/>
  <c r="K368" i="8" s="1"/>
  <c r="F369" i="8"/>
  <c r="G369" i="8"/>
  <c r="H369" i="8" s="1"/>
  <c r="I369" i="8"/>
  <c r="K369" i="8" s="1"/>
  <c r="J369" i="8"/>
  <c r="F370" i="8"/>
  <c r="H370" i="8" s="1"/>
  <c r="G370" i="8"/>
  <c r="I370" i="8"/>
  <c r="K370" i="8" s="1"/>
  <c r="J370" i="8"/>
  <c r="F371" i="8"/>
  <c r="H371" i="8" s="1"/>
  <c r="G371" i="8"/>
  <c r="I371" i="8"/>
  <c r="J371" i="8"/>
  <c r="K371" i="8"/>
  <c r="F372" i="8"/>
  <c r="H372" i="8" s="1"/>
  <c r="G372" i="8"/>
  <c r="I372" i="8"/>
  <c r="J372" i="8"/>
  <c r="K372" i="8" s="1"/>
  <c r="F373" i="8"/>
  <c r="G373" i="8"/>
  <c r="H373" i="8" s="1"/>
  <c r="I373" i="8"/>
  <c r="J373" i="8"/>
  <c r="K373" i="8" s="1"/>
  <c r="F374" i="8"/>
  <c r="H374" i="8" s="1"/>
  <c r="G374" i="8"/>
  <c r="I374" i="8"/>
  <c r="K374" i="8" s="1"/>
  <c r="J374" i="8"/>
  <c r="F375" i="8"/>
  <c r="H375" i="8" s="1"/>
  <c r="G375" i="8"/>
  <c r="I375" i="8"/>
  <c r="J375" i="8"/>
  <c r="K375" i="8"/>
  <c r="F376" i="8"/>
  <c r="H376" i="8" s="1"/>
  <c r="G376" i="8"/>
  <c r="I376" i="8"/>
  <c r="J376" i="8"/>
  <c r="K376" i="8"/>
  <c r="F377" i="8"/>
  <c r="G377" i="8"/>
  <c r="H377" i="8" s="1"/>
  <c r="I377" i="8"/>
  <c r="J377" i="8"/>
  <c r="K377" i="8" s="1"/>
  <c r="F378" i="8"/>
  <c r="H378" i="8" s="1"/>
  <c r="G378" i="8"/>
  <c r="I378" i="8"/>
  <c r="K378" i="8" s="1"/>
  <c r="J378" i="8"/>
  <c r="F379" i="8"/>
  <c r="H379" i="8" s="1"/>
  <c r="G379" i="8"/>
  <c r="I379" i="8"/>
  <c r="J379" i="8"/>
  <c r="K379" i="8"/>
  <c r="F380" i="8"/>
  <c r="H380" i="8" s="1"/>
  <c r="G380" i="8"/>
  <c r="I380" i="8"/>
  <c r="J380" i="8"/>
  <c r="K380" i="8"/>
  <c r="F381" i="8"/>
  <c r="G381" i="8"/>
  <c r="H381" i="8" s="1"/>
  <c r="I381" i="8"/>
  <c r="J381" i="8"/>
  <c r="K381" i="8" s="1"/>
  <c r="F382" i="8"/>
  <c r="H382" i="8" s="1"/>
  <c r="G382" i="8"/>
  <c r="I382" i="8"/>
  <c r="K382" i="8" s="1"/>
  <c r="J382" i="8"/>
  <c r="F383" i="8"/>
  <c r="H383" i="8" s="1"/>
  <c r="G383" i="8"/>
  <c r="I383" i="8"/>
  <c r="J383" i="8"/>
  <c r="K383" i="8"/>
  <c r="F384" i="8"/>
  <c r="H384" i="8" s="1"/>
  <c r="G384" i="8"/>
  <c r="I384" i="8"/>
  <c r="J384" i="8"/>
  <c r="K384" i="8"/>
  <c r="F385" i="8"/>
  <c r="G385" i="8"/>
  <c r="H385" i="8" s="1"/>
  <c r="I385" i="8"/>
  <c r="J385" i="8"/>
  <c r="K385" i="8" s="1"/>
  <c r="F386" i="8"/>
  <c r="H386" i="8" s="1"/>
  <c r="G386" i="8"/>
  <c r="I386" i="8"/>
  <c r="K386" i="8" s="1"/>
  <c r="J386" i="8"/>
  <c r="F387" i="8"/>
  <c r="H387" i="8" s="1"/>
  <c r="G387" i="8"/>
  <c r="I387" i="8"/>
  <c r="J387" i="8"/>
  <c r="K387" i="8"/>
  <c r="F388" i="8"/>
  <c r="H388" i="8" s="1"/>
  <c r="G388" i="8"/>
  <c r="I388" i="8"/>
  <c r="J388" i="8"/>
  <c r="K388" i="8"/>
  <c r="F389" i="8"/>
  <c r="G389" i="8"/>
  <c r="H389" i="8" s="1"/>
  <c r="I389" i="8"/>
  <c r="J389" i="8"/>
  <c r="K389" i="8" s="1"/>
  <c r="F390" i="8"/>
  <c r="H390" i="8" s="1"/>
  <c r="G390" i="8"/>
  <c r="I390" i="8"/>
  <c r="K390" i="8" s="1"/>
  <c r="J390" i="8"/>
  <c r="F391" i="8"/>
  <c r="H391" i="8" s="1"/>
  <c r="G391" i="8"/>
  <c r="I391" i="8"/>
  <c r="J391" i="8"/>
  <c r="K391" i="8"/>
  <c r="F392" i="8"/>
  <c r="H392" i="8" s="1"/>
  <c r="G392" i="8"/>
  <c r="I392" i="8"/>
  <c r="J392" i="8"/>
  <c r="K392" i="8"/>
  <c r="F393" i="8"/>
  <c r="G393" i="8"/>
  <c r="H393" i="8" s="1"/>
  <c r="I393" i="8"/>
  <c r="J393" i="8"/>
  <c r="K393" i="8" s="1"/>
  <c r="F394" i="8"/>
  <c r="H394" i="8" s="1"/>
  <c r="G394" i="8"/>
  <c r="I394" i="8"/>
  <c r="K394" i="8" s="1"/>
  <c r="J394" i="8"/>
  <c r="F395" i="8"/>
  <c r="H395" i="8" s="1"/>
  <c r="G395" i="8"/>
  <c r="I395" i="8"/>
  <c r="J395" i="8"/>
  <c r="K395" i="8"/>
  <c r="F396" i="8"/>
  <c r="H396" i="8" s="1"/>
  <c r="G396" i="8"/>
  <c r="I396" i="8"/>
  <c r="J396" i="8"/>
  <c r="K396" i="8"/>
  <c r="F397" i="8"/>
  <c r="G397" i="8"/>
  <c r="H397" i="8" s="1"/>
  <c r="I397" i="8"/>
  <c r="J397" i="8"/>
  <c r="K397" i="8" s="1"/>
  <c r="F398" i="8"/>
  <c r="H398" i="8" s="1"/>
  <c r="G398" i="8"/>
  <c r="I398" i="8"/>
  <c r="K398" i="8" s="1"/>
  <c r="J398" i="8"/>
  <c r="F399" i="8"/>
  <c r="H399" i="8" s="1"/>
  <c r="G399" i="8"/>
  <c r="I399" i="8"/>
  <c r="J399" i="8"/>
  <c r="K399" i="8"/>
  <c r="F400" i="8"/>
  <c r="H400" i="8" s="1"/>
  <c r="G400" i="8"/>
  <c r="I400" i="8"/>
  <c r="J400" i="8"/>
  <c r="K400" i="8"/>
  <c r="F401" i="8"/>
  <c r="G401" i="8"/>
  <c r="H401" i="8" s="1"/>
  <c r="I401" i="8"/>
  <c r="K401" i="8" s="1"/>
  <c r="J401" i="8"/>
  <c r="F402" i="8"/>
  <c r="H402" i="8" s="1"/>
  <c r="G402" i="8"/>
  <c r="I402" i="8"/>
  <c r="K402" i="8" s="1"/>
  <c r="J402" i="8"/>
  <c r="F403" i="8"/>
  <c r="H403" i="8" s="1"/>
  <c r="G403" i="8"/>
  <c r="I403" i="8"/>
  <c r="J403" i="8"/>
  <c r="K403" i="8"/>
  <c r="F404" i="8"/>
  <c r="H404" i="8" s="1"/>
  <c r="G404" i="8"/>
  <c r="I404" i="8"/>
  <c r="J404" i="8"/>
  <c r="K404" i="8"/>
  <c r="F405" i="8"/>
  <c r="G405" i="8"/>
  <c r="H405" i="8" s="1"/>
  <c r="I405" i="8"/>
  <c r="K405" i="8" s="1"/>
  <c r="J405" i="8"/>
  <c r="F406" i="8"/>
  <c r="H406" i="8" s="1"/>
  <c r="G406" i="8"/>
  <c r="I406" i="8"/>
  <c r="K406" i="8" s="1"/>
  <c r="J406" i="8"/>
  <c r="F407" i="8"/>
  <c r="H407" i="8" s="1"/>
  <c r="G407" i="8"/>
  <c r="I407" i="8"/>
  <c r="J407" i="8"/>
  <c r="K407" i="8"/>
  <c r="F408" i="8"/>
  <c r="H408" i="8" s="1"/>
  <c r="G408" i="8"/>
  <c r="I408" i="8"/>
  <c r="J408" i="8"/>
  <c r="K408" i="8"/>
  <c r="F409" i="8"/>
  <c r="G409" i="8"/>
  <c r="H409" i="8" s="1"/>
  <c r="I409" i="8"/>
  <c r="K409" i="8" s="1"/>
  <c r="J409" i="8"/>
  <c r="F410" i="8"/>
  <c r="H410" i="8" s="1"/>
  <c r="G410" i="8"/>
  <c r="I410" i="8"/>
  <c r="K410" i="8" s="1"/>
  <c r="J410" i="8"/>
  <c r="F411" i="8"/>
  <c r="H411" i="8" s="1"/>
  <c r="G411" i="8"/>
  <c r="I411" i="8"/>
  <c r="J411" i="8"/>
  <c r="K411" i="8"/>
  <c r="F412" i="8"/>
  <c r="H412" i="8" s="1"/>
  <c r="G412" i="8"/>
  <c r="I412" i="8"/>
  <c r="J412" i="8"/>
  <c r="K412" i="8"/>
  <c r="F413" i="8"/>
  <c r="G413" i="8"/>
  <c r="H413" i="8" s="1"/>
  <c r="I413" i="8"/>
  <c r="K413" i="8" s="1"/>
  <c r="J413" i="8"/>
  <c r="F414" i="8"/>
  <c r="H414" i="8" s="1"/>
  <c r="G414" i="8"/>
  <c r="I414" i="8"/>
  <c r="K414" i="8" s="1"/>
  <c r="J414" i="8"/>
  <c r="F415" i="8"/>
  <c r="H415" i="8" s="1"/>
  <c r="G415" i="8"/>
  <c r="I415" i="8"/>
  <c r="J415" i="8"/>
  <c r="K415" i="8"/>
  <c r="F416" i="8"/>
  <c r="H416" i="8" s="1"/>
  <c r="G416" i="8"/>
  <c r="I416" i="8"/>
  <c r="J416" i="8"/>
  <c r="K416" i="8"/>
  <c r="F417" i="8"/>
  <c r="G417" i="8"/>
  <c r="H417" i="8" s="1"/>
  <c r="I417" i="8"/>
  <c r="J417" i="8"/>
  <c r="K417" i="8" s="1"/>
  <c r="F418" i="8"/>
  <c r="H418" i="8" s="1"/>
  <c r="G418" i="8"/>
  <c r="I418" i="8"/>
  <c r="K418" i="8" s="1"/>
  <c r="J418" i="8"/>
  <c r="F419" i="8"/>
  <c r="H419" i="8" s="1"/>
  <c r="G419" i="8"/>
  <c r="I419" i="8"/>
  <c r="J419" i="8"/>
  <c r="K419" i="8"/>
  <c r="F420" i="8"/>
  <c r="H420" i="8" s="1"/>
  <c r="G420" i="8"/>
  <c r="I420" i="8"/>
  <c r="J420" i="8"/>
  <c r="K420" i="8"/>
  <c r="F421" i="8"/>
  <c r="G421" i="8"/>
  <c r="H421" i="8" s="1"/>
  <c r="I421" i="8"/>
  <c r="J421" i="8"/>
  <c r="K421" i="8" s="1"/>
  <c r="F422" i="8"/>
  <c r="H422" i="8" s="1"/>
  <c r="G422" i="8"/>
  <c r="I422" i="8"/>
  <c r="K422" i="8" s="1"/>
  <c r="J422" i="8"/>
  <c r="F423" i="8"/>
  <c r="H423" i="8" s="1"/>
  <c r="G423" i="8"/>
  <c r="I423" i="8"/>
  <c r="J423" i="8"/>
  <c r="K423" i="8"/>
  <c r="F424" i="8"/>
  <c r="H424" i="8" s="1"/>
  <c r="G424" i="8"/>
  <c r="I424" i="8"/>
  <c r="J424" i="8"/>
  <c r="K424" i="8"/>
  <c r="F425" i="8"/>
  <c r="G425" i="8"/>
  <c r="H425" i="8" s="1"/>
  <c r="I425" i="8"/>
  <c r="K425" i="8" s="1"/>
  <c r="J425" i="8"/>
  <c r="F426" i="8"/>
  <c r="H426" i="8" s="1"/>
  <c r="G426" i="8"/>
  <c r="I426" i="8"/>
  <c r="K426" i="8" s="1"/>
  <c r="J426" i="8"/>
  <c r="F427" i="8"/>
  <c r="H427" i="8" s="1"/>
  <c r="G427" i="8"/>
  <c r="I427" i="8"/>
  <c r="J427" i="8"/>
  <c r="K427" i="8"/>
  <c r="F428" i="8"/>
  <c r="H428" i="8" s="1"/>
  <c r="G428" i="8"/>
  <c r="I428" i="8"/>
  <c r="J428" i="8"/>
  <c r="K428" i="8"/>
  <c r="F429" i="8"/>
  <c r="G429" i="8"/>
  <c r="H429" i="8" s="1"/>
  <c r="I429" i="8"/>
  <c r="J429" i="8"/>
  <c r="K429" i="8" s="1"/>
  <c r="F430" i="8"/>
  <c r="H430" i="8" s="1"/>
  <c r="G430" i="8"/>
  <c r="I430" i="8"/>
  <c r="K430" i="8" s="1"/>
  <c r="J430" i="8"/>
  <c r="F431" i="8"/>
  <c r="H431" i="8" s="1"/>
  <c r="G431" i="8"/>
  <c r="I431" i="8"/>
  <c r="J431" i="8"/>
  <c r="K431" i="8"/>
  <c r="F432" i="8"/>
  <c r="H432" i="8" s="1"/>
  <c r="G432" i="8"/>
  <c r="I432" i="8"/>
  <c r="J432" i="8"/>
  <c r="K432" i="8"/>
  <c r="F433" i="8"/>
  <c r="G433" i="8"/>
  <c r="H433" i="8" s="1"/>
  <c r="I433" i="8"/>
  <c r="J433" i="8"/>
  <c r="K433" i="8" s="1"/>
  <c r="F434" i="8"/>
  <c r="G434" i="8"/>
  <c r="H434" i="8" s="1"/>
  <c r="I434" i="8"/>
  <c r="K434" i="8" s="1"/>
  <c r="J434" i="8"/>
  <c r="F435" i="8"/>
  <c r="H435" i="8" s="1"/>
  <c r="G435" i="8"/>
  <c r="I435" i="8"/>
  <c r="J435" i="8"/>
  <c r="K435" i="8"/>
  <c r="F436" i="8"/>
  <c r="H436" i="8" s="1"/>
  <c r="G436" i="8"/>
  <c r="I436" i="8"/>
  <c r="J436" i="8"/>
  <c r="K436" i="8"/>
  <c r="F437" i="8"/>
  <c r="G437" i="8"/>
  <c r="H437" i="8" s="1"/>
  <c r="I437" i="8"/>
  <c r="J437" i="8"/>
  <c r="K437" i="8" s="1"/>
  <c r="F438" i="8"/>
  <c r="G438" i="8"/>
  <c r="H438" i="8" s="1"/>
  <c r="I438" i="8"/>
  <c r="K438" i="8" s="1"/>
  <c r="J438" i="8"/>
  <c r="F439" i="8"/>
  <c r="H439" i="8" s="1"/>
  <c r="G439" i="8"/>
  <c r="I439" i="8"/>
  <c r="J439" i="8"/>
  <c r="K439" i="8"/>
  <c r="F440" i="8"/>
  <c r="H440" i="8" s="1"/>
  <c r="G440" i="8"/>
  <c r="I440" i="8"/>
  <c r="J440" i="8"/>
  <c r="K440" i="8"/>
  <c r="F441" i="8"/>
  <c r="G441" i="8"/>
  <c r="H441" i="8" s="1"/>
  <c r="I441" i="8"/>
  <c r="J441" i="8"/>
  <c r="K441" i="8" s="1"/>
  <c r="F442" i="8"/>
  <c r="H442" i="8" s="1"/>
  <c r="G442" i="8"/>
  <c r="I442" i="8"/>
  <c r="K442" i="8" s="1"/>
  <c r="J442" i="8"/>
  <c r="F443" i="8"/>
  <c r="H443" i="8" s="1"/>
  <c r="G443" i="8"/>
  <c r="I443" i="8"/>
  <c r="J443" i="8"/>
  <c r="K443" i="8"/>
  <c r="F444" i="8"/>
  <c r="H444" i="8" s="1"/>
  <c r="G444" i="8"/>
  <c r="I444" i="8"/>
  <c r="J444" i="8"/>
  <c r="K444" i="8"/>
  <c r="F445" i="8"/>
  <c r="G445" i="8"/>
  <c r="H445" i="8" s="1"/>
  <c r="I445" i="8"/>
  <c r="K445" i="8" s="1"/>
  <c r="J445" i="8"/>
  <c r="F446" i="8"/>
  <c r="H446" i="8" s="1"/>
  <c r="G446" i="8"/>
  <c r="I446" i="8"/>
  <c r="K446" i="8" s="1"/>
  <c r="J446" i="8"/>
  <c r="F447" i="8"/>
  <c r="H447" i="8" s="1"/>
  <c r="G447" i="8"/>
  <c r="I447" i="8"/>
  <c r="J447" i="8"/>
  <c r="K447" i="8"/>
  <c r="F448" i="8"/>
  <c r="H448" i="8" s="1"/>
  <c r="G448" i="8"/>
  <c r="I448" i="8"/>
  <c r="J448" i="8"/>
  <c r="K448" i="8"/>
  <c r="F449" i="8"/>
  <c r="G449" i="8"/>
  <c r="H449" i="8" s="1"/>
  <c r="I449" i="8"/>
  <c r="J449" i="8"/>
  <c r="K449" i="8" s="1"/>
  <c r="K2" i="8"/>
  <c r="J2" i="8"/>
  <c r="I2" i="8"/>
  <c r="H2" i="8"/>
  <c r="G2" i="8"/>
  <c r="F2" i="8"/>
  <c r="E2" i="8"/>
  <c r="B350" i="8"/>
  <c r="E350" i="8" s="1"/>
  <c r="C350" i="8"/>
  <c r="D350" i="8"/>
  <c r="B351" i="8"/>
  <c r="E351" i="8" s="1"/>
  <c r="C351" i="8"/>
  <c r="D351" i="8"/>
  <c r="B352" i="8"/>
  <c r="E352" i="8" s="1"/>
  <c r="C352" i="8"/>
  <c r="D352" i="8"/>
  <c r="B353" i="8"/>
  <c r="E353" i="8" s="1"/>
  <c r="C353" i="8"/>
  <c r="D353" i="8"/>
  <c r="B354" i="8"/>
  <c r="E354" i="8" s="1"/>
  <c r="C354" i="8"/>
  <c r="D354" i="8"/>
  <c r="B355" i="8"/>
  <c r="E355" i="8" s="1"/>
  <c r="C355" i="8"/>
  <c r="D355" i="8"/>
  <c r="B356" i="8"/>
  <c r="E356" i="8" s="1"/>
  <c r="C356" i="8"/>
  <c r="D356" i="8"/>
  <c r="B357" i="8"/>
  <c r="E357" i="8" s="1"/>
  <c r="C357" i="8"/>
  <c r="D357" i="8"/>
  <c r="B358" i="8"/>
  <c r="E358" i="8" s="1"/>
  <c r="C358" i="8"/>
  <c r="D358" i="8"/>
  <c r="B359" i="8"/>
  <c r="E359" i="8" s="1"/>
  <c r="C359" i="8"/>
  <c r="D359" i="8"/>
  <c r="B360" i="8"/>
  <c r="E360" i="8" s="1"/>
  <c r="C360" i="8"/>
  <c r="D360" i="8"/>
  <c r="B361" i="8"/>
  <c r="E361" i="8" s="1"/>
  <c r="C361" i="8"/>
  <c r="D361" i="8"/>
  <c r="B362" i="8"/>
  <c r="E362" i="8" s="1"/>
  <c r="C362" i="8"/>
  <c r="D362" i="8"/>
  <c r="B363" i="8"/>
  <c r="E363" i="8" s="1"/>
  <c r="C363" i="8"/>
  <c r="D363" i="8"/>
  <c r="B364" i="8"/>
  <c r="E364" i="8" s="1"/>
  <c r="C364" i="8"/>
  <c r="D364" i="8"/>
  <c r="B365" i="8"/>
  <c r="E365" i="8" s="1"/>
  <c r="C365" i="8"/>
  <c r="D365" i="8"/>
  <c r="B366" i="8"/>
  <c r="E366" i="8" s="1"/>
  <c r="C366" i="8"/>
  <c r="D366" i="8"/>
  <c r="B367" i="8"/>
  <c r="E367" i="8" s="1"/>
  <c r="C367" i="8"/>
  <c r="D367" i="8"/>
  <c r="B368" i="8"/>
  <c r="E368" i="8" s="1"/>
  <c r="C368" i="8"/>
  <c r="D368" i="8"/>
  <c r="B369" i="8"/>
  <c r="E369" i="8" s="1"/>
  <c r="C369" i="8"/>
  <c r="D369" i="8"/>
  <c r="B370" i="8"/>
  <c r="E370" i="8" s="1"/>
  <c r="C370" i="8"/>
  <c r="D370" i="8"/>
  <c r="B371" i="8"/>
  <c r="E371" i="8" s="1"/>
  <c r="C371" i="8"/>
  <c r="D371" i="8"/>
  <c r="B372" i="8"/>
  <c r="E372" i="8" s="1"/>
  <c r="C372" i="8"/>
  <c r="D372" i="8"/>
  <c r="B373" i="8"/>
  <c r="E373" i="8" s="1"/>
  <c r="C373" i="8"/>
  <c r="D373" i="8"/>
  <c r="B374" i="8"/>
  <c r="E374" i="8" s="1"/>
  <c r="C374" i="8"/>
  <c r="D374" i="8"/>
  <c r="B375" i="8"/>
  <c r="E375" i="8" s="1"/>
  <c r="C375" i="8"/>
  <c r="D375" i="8"/>
  <c r="B376" i="8"/>
  <c r="E376" i="8" s="1"/>
  <c r="C376" i="8"/>
  <c r="D376" i="8"/>
  <c r="B377" i="8"/>
  <c r="E377" i="8" s="1"/>
  <c r="C377" i="8"/>
  <c r="D377" i="8"/>
  <c r="B378" i="8"/>
  <c r="E378" i="8" s="1"/>
  <c r="C378" i="8"/>
  <c r="D378" i="8"/>
  <c r="B379" i="8"/>
  <c r="E379" i="8" s="1"/>
  <c r="C379" i="8"/>
  <c r="D379" i="8"/>
  <c r="B380" i="8"/>
  <c r="E380" i="8" s="1"/>
  <c r="C380" i="8"/>
  <c r="D380" i="8"/>
  <c r="B381" i="8"/>
  <c r="E381" i="8" s="1"/>
  <c r="C381" i="8"/>
  <c r="D381" i="8"/>
  <c r="B382" i="8"/>
  <c r="E382" i="8" s="1"/>
  <c r="C382" i="8"/>
  <c r="D382" i="8"/>
  <c r="B383" i="8"/>
  <c r="E383" i="8" s="1"/>
  <c r="C383" i="8"/>
  <c r="D383" i="8"/>
  <c r="B384" i="8"/>
  <c r="E384" i="8" s="1"/>
  <c r="C384" i="8"/>
  <c r="D384" i="8"/>
  <c r="B385" i="8"/>
  <c r="E385" i="8" s="1"/>
  <c r="C385" i="8"/>
  <c r="D385" i="8"/>
  <c r="B386" i="8"/>
  <c r="E386" i="8" s="1"/>
  <c r="C386" i="8"/>
  <c r="D386" i="8"/>
  <c r="B387" i="8"/>
  <c r="E387" i="8" s="1"/>
  <c r="C387" i="8"/>
  <c r="D387" i="8"/>
  <c r="B388" i="8"/>
  <c r="E388" i="8" s="1"/>
  <c r="C388" i="8"/>
  <c r="D388" i="8"/>
  <c r="B389" i="8"/>
  <c r="E389" i="8" s="1"/>
  <c r="C389" i="8"/>
  <c r="D389" i="8"/>
  <c r="B390" i="8"/>
  <c r="E390" i="8" s="1"/>
  <c r="C390" i="8"/>
  <c r="D390" i="8"/>
  <c r="B391" i="8"/>
  <c r="E391" i="8" s="1"/>
  <c r="C391" i="8"/>
  <c r="D391" i="8"/>
  <c r="B392" i="8"/>
  <c r="E392" i="8" s="1"/>
  <c r="C392" i="8"/>
  <c r="D392" i="8"/>
  <c r="B393" i="8"/>
  <c r="E393" i="8" s="1"/>
  <c r="C393" i="8"/>
  <c r="D393" i="8"/>
  <c r="B394" i="8"/>
  <c r="E394" i="8" s="1"/>
  <c r="C394" i="8"/>
  <c r="D394" i="8"/>
  <c r="B395" i="8"/>
  <c r="E395" i="8" s="1"/>
  <c r="C395" i="8"/>
  <c r="D395" i="8"/>
  <c r="B396" i="8"/>
  <c r="E396" i="8" s="1"/>
  <c r="C396" i="8"/>
  <c r="D396" i="8"/>
  <c r="B397" i="8"/>
  <c r="E397" i="8" s="1"/>
  <c r="C397" i="8"/>
  <c r="D397" i="8"/>
  <c r="B398" i="8"/>
  <c r="E398" i="8" s="1"/>
  <c r="C398" i="8"/>
  <c r="D398" i="8"/>
  <c r="B399" i="8"/>
  <c r="E399" i="8" s="1"/>
  <c r="C399" i="8"/>
  <c r="D399" i="8"/>
  <c r="B400" i="8"/>
  <c r="E400" i="8" s="1"/>
  <c r="C400" i="8"/>
  <c r="D400" i="8"/>
  <c r="B401" i="8"/>
  <c r="E401" i="8" s="1"/>
  <c r="C401" i="8"/>
  <c r="D401" i="8"/>
  <c r="B402" i="8"/>
  <c r="E402" i="8" s="1"/>
  <c r="C402" i="8"/>
  <c r="D402" i="8"/>
  <c r="B403" i="8"/>
  <c r="E403" i="8" s="1"/>
  <c r="C403" i="8"/>
  <c r="D403" i="8"/>
  <c r="B404" i="8"/>
  <c r="E404" i="8" s="1"/>
  <c r="C404" i="8"/>
  <c r="D404" i="8"/>
  <c r="B405" i="8"/>
  <c r="E405" i="8" s="1"/>
  <c r="C405" i="8"/>
  <c r="D405" i="8"/>
  <c r="B406" i="8"/>
  <c r="E406" i="8" s="1"/>
  <c r="C406" i="8"/>
  <c r="D406" i="8"/>
  <c r="B407" i="8"/>
  <c r="E407" i="8" s="1"/>
  <c r="C407" i="8"/>
  <c r="D407" i="8"/>
  <c r="B408" i="8"/>
  <c r="E408" i="8" s="1"/>
  <c r="C408" i="8"/>
  <c r="D408" i="8"/>
  <c r="B409" i="8"/>
  <c r="E409" i="8" s="1"/>
  <c r="C409" i="8"/>
  <c r="D409" i="8"/>
  <c r="B410" i="8"/>
  <c r="E410" i="8" s="1"/>
  <c r="C410" i="8"/>
  <c r="D410" i="8"/>
  <c r="B411" i="8"/>
  <c r="E411" i="8" s="1"/>
  <c r="C411" i="8"/>
  <c r="D411" i="8"/>
  <c r="B412" i="8"/>
  <c r="E412" i="8" s="1"/>
  <c r="C412" i="8"/>
  <c r="D412" i="8"/>
  <c r="B413" i="8"/>
  <c r="E413" i="8" s="1"/>
  <c r="C413" i="8"/>
  <c r="D413" i="8"/>
  <c r="B414" i="8"/>
  <c r="E414" i="8" s="1"/>
  <c r="C414" i="8"/>
  <c r="D414" i="8"/>
  <c r="B415" i="8"/>
  <c r="E415" i="8" s="1"/>
  <c r="C415" i="8"/>
  <c r="D415" i="8"/>
  <c r="B416" i="8"/>
  <c r="E416" i="8" s="1"/>
  <c r="C416" i="8"/>
  <c r="D416" i="8"/>
  <c r="B417" i="8"/>
  <c r="E417" i="8" s="1"/>
  <c r="C417" i="8"/>
  <c r="D417" i="8"/>
  <c r="B418" i="8"/>
  <c r="E418" i="8" s="1"/>
  <c r="C418" i="8"/>
  <c r="D418" i="8"/>
  <c r="B419" i="8"/>
  <c r="E419" i="8" s="1"/>
  <c r="C419" i="8"/>
  <c r="D419" i="8"/>
  <c r="B420" i="8"/>
  <c r="E420" i="8" s="1"/>
  <c r="C420" i="8"/>
  <c r="D420" i="8"/>
  <c r="B421" i="8"/>
  <c r="E421" i="8" s="1"/>
  <c r="C421" i="8"/>
  <c r="D421" i="8"/>
  <c r="B422" i="8"/>
  <c r="E422" i="8" s="1"/>
  <c r="C422" i="8"/>
  <c r="D422" i="8"/>
  <c r="B423" i="8"/>
  <c r="E423" i="8" s="1"/>
  <c r="C423" i="8"/>
  <c r="D423" i="8"/>
  <c r="B424" i="8"/>
  <c r="E424" i="8" s="1"/>
  <c r="C424" i="8"/>
  <c r="D424" i="8"/>
  <c r="B425" i="8"/>
  <c r="E425" i="8" s="1"/>
  <c r="C425" i="8"/>
  <c r="D425" i="8"/>
  <c r="B426" i="8"/>
  <c r="E426" i="8" s="1"/>
  <c r="C426" i="8"/>
  <c r="D426" i="8"/>
  <c r="B427" i="8"/>
  <c r="E427" i="8" s="1"/>
  <c r="C427" i="8"/>
  <c r="D427" i="8"/>
  <c r="B428" i="8"/>
  <c r="E428" i="8" s="1"/>
  <c r="C428" i="8"/>
  <c r="D428" i="8"/>
  <c r="B429" i="8"/>
  <c r="E429" i="8" s="1"/>
  <c r="C429" i="8"/>
  <c r="D429" i="8"/>
  <c r="B430" i="8"/>
  <c r="E430" i="8" s="1"/>
  <c r="C430" i="8"/>
  <c r="D430" i="8"/>
  <c r="B431" i="8"/>
  <c r="E431" i="8" s="1"/>
  <c r="C431" i="8"/>
  <c r="D431" i="8"/>
  <c r="B432" i="8"/>
  <c r="E432" i="8" s="1"/>
  <c r="C432" i="8"/>
  <c r="D432" i="8"/>
  <c r="B433" i="8"/>
  <c r="E433" i="8" s="1"/>
  <c r="C433" i="8"/>
  <c r="D433" i="8"/>
  <c r="B434" i="8"/>
  <c r="E434" i="8" s="1"/>
  <c r="C434" i="8"/>
  <c r="D434" i="8"/>
  <c r="B435" i="8"/>
  <c r="E435" i="8" s="1"/>
  <c r="C435" i="8"/>
  <c r="D435" i="8"/>
  <c r="B436" i="8"/>
  <c r="E436" i="8" s="1"/>
  <c r="C436" i="8"/>
  <c r="D436" i="8"/>
  <c r="B437" i="8"/>
  <c r="E437" i="8" s="1"/>
  <c r="C437" i="8"/>
  <c r="D437" i="8"/>
  <c r="B438" i="8"/>
  <c r="E438" i="8" s="1"/>
  <c r="C438" i="8"/>
  <c r="D438" i="8"/>
  <c r="B439" i="8"/>
  <c r="E439" i="8" s="1"/>
  <c r="C439" i="8"/>
  <c r="D439" i="8"/>
  <c r="B440" i="8"/>
  <c r="E440" i="8" s="1"/>
  <c r="C440" i="8"/>
  <c r="D440" i="8"/>
  <c r="B441" i="8"/>
  <c r="E441" i="8" s="1"/>
  <c r="C441" i="8"/>
  <c r="D441" i="8"/>
  <c r="B442" i="8"/>
  <c r="E442" i="8" s="1"/>
  <c r="C442" i="8"/>
  <c r="D442" i="8"/>
  <c r="B443" i="8"/>
  <c r="E443" i="8" s="1"/>
  <c r="C443" i="8"/>
  <c r="D443" i="8"/>
  <c r="B444" i="8"/>
  <c r="E444" i="8" s="1"/>
  <c r="C444" i="8"/>
  <c r="D444" i="8"/>
  <c r="B445" i="8"/>
  <c r="E445" i="8" s="1"/>
  <c r="C445" i="8"/>
  <c r="D445" i="8"/>
  <c r="B446" i="8"/>
  <c r="E446" i="8" s="1"/>
  <c r="C446" i="8"/>
  <c r="D446" i="8"/>
  <c r="B447" i="8"/>
  <c r="E447" i="8" s="1"/>
  <c r="C447" i="8"/>
  <c r="D447" i="8"/>
  <c r="B448" i="8"/>
  <c r="E448" i="8" s="1"/>
  <c r="C448" i="8"/>
  <c r="D448" i="8"/>
  <c r="B449" i="8"/>
  <c r="E449" i="8" s="1"/>
  <c r="C449" i="8"/>
  <c r="D449" i="8"/>
  <c r="A443" i="8"/>
  <c r="A444" i="8"/>
  <c r="A445" i="8"/>
  <c r="A446" i="8"/>
  <c r="A447" i="8"/>
  <c r="A448" i="8"/>
  <c r="A44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3" i="8"/>
  <c r="B3" i="8" s="1"/>
  <c r="E3" i="8" s="1"/>
  <c r="A4" i="8"/>
  <c r="A5" i="8"/>
  <c r="A6" i="8"/>
  <c r="A7" i="8"/>
  <c r="A8" i="8"/>
  <c r="A9" i="8"/>
  <c r="A10" i="8"/>
  <c r="B10" i="8" s="1"/>
  <c r="E10" i="8" s="1"/>
  <c r="A11" i="8"/>
  <c r="B11" i="8" s="1"/>
  <c r="E11" i="8" s="1"/>
  <c r="A12" i="8"/>
  <c r="A13" i="8"/>
  <c r="A14" i="8"/>
  <c r="A15" i="8"/>
  <c r="A16" i="8"/>
  <c r="A17" i="8"/>
  <c r="A18" i="8"/>
  <c r="B18" i="8" s="1"/>
  <c r="E18" i="8" s="1"/>
  <c r="A19" i="8"/>
  <c r="B19" i="8" s="1"/>
  <c r="E19" i="8" s="1"/>
  <c r="A20" i="8"/>
  <c r="A21" i="8"/>
  <c r="A22" i="8"/>
  <c r="A23" i="8"/>
  <c r="A24" i="8"/>
  <c r="A25" i="8"/>
  <c r="A26" i="8"/>
  <c r="B26" i="8" s="1"/>
  <c r="E26" i="8" s="1"/>
  <c r="A27" i="8"/>
  <c r="B27" i="8" s="1"/>
  <c r="E27" i="8" s="1"/>
  <c r="A28" i="8"/>
  <c r="A29" i="8"/>
  <c r="A30" i="8"/>
  <c r="A31" i="8"/>
  <c r="A32" i="8"/>
  <c r="A33" i="8"/>
  <c r="A34" i="8"/>
  <c r="B34" i="8" s="1"/>
  <c r="E34" i="8" s="1"/>
  <c r="A35" i="8"/>
  <c r="B35" i="8" s="1"/>
  <c r="E35" i="8" s="1"/>
  <c r="A36" i="8"/>
  <c r="A37" i="8"/>
  <c r="A38" i="8"/>
  <c r="A39" i="8"/>
  <c r="A40" i="8"/>
  <c r="A41" i="8"/>
  <c r="A42" i="8"/>
  <c r="B42" i="8" s="1"/>
  <c r="E42" i="8" s="1"/>
  <c r="A43" i="8"/>
  <c r="B43" i="8" s="1"/>
  <c r="E43" i="8" s="1"/>
  <c r="A44" i="8"/>
  <c r="A45" i="8"/>
  <c r="A46" i="8"/>
  <c r="A47" i="8"/>
  <c r="A48" i="8"/>
  <c r="A49" i="8"/>
  <c r="A50" i="8"/>
  <c r="B50" i="8" s="1"/>
  <c r="E50" i="8" s="1"/>
  <c r="A51" i="8"/>
  <c r="B51" i="8" s="1"/>
  <c r="E51" i="8" s="1"/>
  <c r="A52" i="8"/>
  <c r="A53" i="8"/>
  <c r="A54" i="8"/>
  <c r="A55" i="8"/>
  <c r="A56" i="8"/>
  <c r="A57" i="8"/>
  <c r="A58" i="8"/>
  <c r="B58" i="8" s="1"/>
  <c r="E58" i="8" s="1"/>
  <c r="A59" i="8"/>
  <c r="B59" i="8" s="1"/>
  <c r="E59" i="8" s="1"/>
  <c r="A60" i="8"/>
  <c r="A61" i="8"/>
  <c r="A62" i="8"/>
  <c r="A63" i="8"/>
  <c r="A64" i="8"/>
  <c r="A65" i="8"/>
  <c r="A66" i="8"/>
  <c r="B66" i="8" s="1"/>
  <c r="E66" i="8" s="1"/>
  <c r="A67" i="8"/>
  <c r="B67" i="8" s="1"/>
  <c r="E67" i="8" s="1"/>
  <c r="A68" i="8"/>
  <c r="A69" i="8"/>
  <c r="A70" i="8"/>
  <c r="A71" i="8"/>
  <c r="A72" i="8"/>
  <c r="A73" i="8"/>
  <c r="A74" i="8"/>
  <c r="B74" i="8" s="1"/>
  <c r="E74" i="8" s="1"/>
  <c r="A75" i="8"/>
  <c r="B75" i="8" s="1"/>
  <c r="E75" i="8" s="1"/>
  <c r="A76" i="8"/>
  <c r="A77" i="8"/>
  <c r="A78" i="8"/>
  <c r="A79" i="8"/>
  <c r="A80" i="8"/>
  <c r="A81" i="8"/>
  <c r="A82" i="8"/>
  <c r="B82" i="8" s="1"/>
  <c r="E82" i="8" s="1"/>
  <c r="A83" i="8"/>
  <c r="B83" i="8" s="1"/>
  <c r="E83" i="8" s="1"/>
  <c r="A84" i="8"/>
  <c r="A85" i="8"/>
  <c r="A86" i="8"/>
  <c r="A87" i="8"/>
  <c r="A88" i="8"/>
  <c r="A89" i="8"/>
  <c r="A90" i="8"/>
  <c r="B90" i="8" s="1"/>
  <c r="E90" i="8" s="1"/>
  <c r="A91" i="8"/>
  <c r="B91" i="8" s="1"/>
  <c r="E91" i="8" s="1"/>
  <c r="A92" i="8"/>
  <c r="A93" i="8"/>
  <c r="A94" i="8"/>
  <c r="A95" i="8"/>
  <c r="A96" i="8"/>
  <c r="A97" i="8"/>
  <c r="A98" i="8"/>
  <c r="B98" i="8" s="1"/>
  <c r="E98" i="8" s="1"/>
  <c r="A99" i="8"/>
  <c r="B99" i="8" s="1"/>
  <c r="E99" i="8" s="1"/>
  <c r="A100" i="8"/>
  <c r="A101" i="8"/>
  <c r="A102" i="8"/>
  <c r="A103" i="8"/>
  <c r="A104" i="8"/>
  <c r="A105" i="8"/>
  <c r="A106" i="8"/>
  <c r="B106" i="8" s="1"/>
  <c r="E106" i="8" s="1"/>
  <c r="A107" i="8"/>
  <c r="B107" i="8" s="1"/>
  <c r="E107" i="8" s="1"/>
  <c r="A108" i="8"/>
  <c r="A109" i="8"/>
  <c r="A110" i="8"/>
  <c r="A111" i="8"/>
  <c r="A112" i="8"/>
  <c r="A113" i="8"/>
  <c r="A114" i="8"/>
  <c r="B114" i="8" s="1"/>
  <c r="E114" i="8" s="1"/>
  <c r="A115" i="8"/>
  <c r="B115" i="8" s="1"/>
  <c r="E115" i="8" s="1"/>
  <c r="A116" i="8"/>
  <c r="A117" i="8"/>
  <c r="A118" i="8"/>
  <c r="A119" i="8"/>
  <c r="A120" i="8"/>
  <c r="A121" i="8"/>
  <c r="A122" i="8"/>
  <c r="B122" i="8" s="1"/>
  <c r="E122" i="8" s="1"/>
  <c r="A123" i="8"/>
  <c r="B123" i="8" s="1"/>
  <c r="E123" i="8" s="1"/>
  <c r="A124" i="8"/>
  <c r="A125" i="8"/>
  <c r="A126" i="8"/>
  <c r="A127" i="8"/>
  <c r="A128" i="8"/>
  <c r="A129" i="8"/>
  <c r="A130" i="8"/>
  <c r="B130" i="8" s="1"/>
  <c r="E130" i="8" s="1"/>
  <c r="A131" i="8"/>
  <c r="B131" i="8" s="1"/>
  <c r="E131" i="8" s="1"/>
  <c r="A132" i="8"/>
  <c r="A133" i="8"/>
  <c r="A134" i="8"/>
  <c r="A135" i="8"/>
  <c r="A136" i="8"/>
  <c r="A137" i="8"/>
  <c r="A138" i="8"/>
  <c r="B138" i="8" s="1"/>
  <c r="E138" i="8" s="1"/>
  <c r="A139" i="8"/>
  <c r="B139" i="8" s="1"/>
  <c r="E139" i="8" s="1"/>
  <c r="A140" i="8"/>
  <c r="A141" i="8"/>
  <c r="A142" i="8"/>
  <c r="A143" i="8"/>
  <c r="A144" i="8"/>
  <c r="A145" i="8"/>
  <c r="A146" i="8"/>
  <c r="B146" i="8" s="1"/>
  <c r="E146" i="8" s="1"/>
  <c r="A147" i="8"/>
  <c r="B147" i="8" s="1"/>
  <c r="E147" i="8" s="1"/>
  <c r="A148" i="8"/>
  <c r="A149" i="8"/>
  <c r="A150" i="8"/>
  <c r="A151" i="8"/>
  <c r="A152" i="8"/>
  <c r="A153" i="8"/>
  <c r="A154" i="8"/>
  <c r="B154" i="8" s="1"/>
  <c r="E154" i="8" s="1"/>
  <c r="A155" i="8"/>
  <c r="B155" i="8" s="1"/>
  <c r="E155" i="8" s="1"/>
  <c r="A156" i="8"/>
  <c r="A157" i="8"/>
  <c r="A158" i="8"/>
  <c r="A159" i="8"/>
  <c r="A160" i="8"/>
  <c r="A161" i="8"/>
  <c r="A162" i="8"/>
  <c r="B162" i="8" s="1"/>
  <c r="E162" i="8" s="1"/>
  <c r="A163" i="8"/>
  <c r="B163" i="8" s="1"/>
  <c r="E163" i="8" s="1"/>
  <c r="A164" i="8"/>
  <c r="A165" i="8"/>
  <c r="A166" i="8"/>
  <c r="A167" i="8"/>
  <c r="A168" i="8"/>
  <c r="A169" i="8"/>
  <c r="A170" i="8"/>
  <c r="B170" i="8" s="1"/>
  <c r="E170" i="8" s="1"/>
  <c r="A171" i="8"/>
  <c r="B171" i="8" s="1"/>
  <c r="E171" i="8" s="1"/>
  <c r="A172" i="8"/>
  <c r="A173" i="8"/>
  <c r="A174" i="8"/>
  <c r="A175" i="8"/>
  <c r="A176" i="8"/>
  <c r="A177" i="8"/>
  <c r="A178" i="8"/>
  <c r="B178" i="8" s="1"/>
  <c r="E178" i="8" s="1"/>
  <c r="A179" i="8"/>
  <c r="B179" i="8" s="1"/>
  <c r="E179" i="8" s="1"/>
  <c r="A180" i="8"/>
  <c r="A181" i="8"/>
  <c r="A182" i="8"/>
  <c r="A183" i="8"/>
  <c r="A184" i="8"/>
  <c r="A185" i="8"/>
  <c r="A186" i="8"/>
  <c r="B186" i="8" s="1"/>
  <c r="E186" i="8" s="1"/>
  <c r="A187" i="8"/>
  <c r="B187" i="8" s="1"/>
  <c r="E187" i="8" s="1"/>
  <c r="A188" i="8"/>
  <c r="A189" i="8"/>
  <c r="A190" i="8"/>
  <c r="A191" i="8"/>
  <c r="A192" i="8"/>
  <c r="A193" i="8"/>
  <c r="A194" i="8"/>
  <c r="B194" i="8" s="1"/>
  <c r="E194" i="8" s="1"/>
  <c r="A195" i="8"/>
  <c r="B195" i="8" s="1"/>
  <c r="E195" i="8" s="1"/>
  <c r="A196" i="8"/>
  <c r="A197" i="8"/>
  <c r="A198" i="8"/>
  <c r="A199" i="8"/>
  <c r="A200" i="8"/>
  <c r="A201" i="8"/>
  <c r="A202" i="8"/>
  <c r="B202" i="8" s="1"/>
  <c r="E202" i="8" s="1"/>
  <c r="A203" i="8"/>
  <c r="B203" i="8" s="1"/>
  <c r="E203" i="8" s="1"/>
  <c r="A204" i="8"/>
  <c r="A205" i="8"/>
  <c r="A206" i="8"/>
  <c r="A207" i="8"/>
  <c r="A208" i="8"/>
  <c r="A209" i="8"/>
  <c r="A210" i="8"/>
  <c r="B210" i="8" s="1"/>
  <c r="E210" i="8" s="1"/>
  <c r="A211" i="8"/>
  <c r="B211" i="8" s="1"/>
  <c r="E211" i="8" s="1"/>
  <c r="A212" i="8"/>
  <c r="A213" i="8"/>
  <c r="A214" i="8"/>
  <c r="A215" i="8"/>
  <c r="A216" i="8"/>
  <c r="A217" i="8"/>
  <c r="A218" i="8"/>
  <c r="B218" i="8" s="1"/>
  <c r="E218" i="8" s="1"/>
  <c r="A219" i="8"/>
  <c r="B219" i="8" s="1"/>
  <c r="E219" i="8" s="1"/>
  <c r="A220" i="8"/>
  <c r="A221" i="8"/>
  <c r="A222" i="8"/>
  <c r="A223" i="8"/>
  <c r="A224" i="8"/>
  <c r="A225" i="8"/>
  <c r="A226" i="8"/>
  <c r="B226" i="8" s="1"/>
  <c r="E226" i="8" s="1"/>
  <c r="A227" i="8"/>
  <c r="B227" i="8" s="1"/>
  <c r="E227" i="8" s="1"/>
  <c r="A228" i="8"/>
  <c r="A229" i="8"/>
  <c r="A230" i="8"/>
  <c r="A231" i="8"/>
  <c r="A232" i="8"/>
  <c r="A233" i="8"/>
  <c r="A234" i="8"/>
  <c r="B234" i="8" s="1"/>
  <c r="E234" i="8" s="1"/>
  <c r="A235" i="8"/>
  <c r="B235" i="8" s="1"/>
  <c r="E235" i="8" s="1"/>
  <c r="A236" i="8"/>
  <c r="A237" i="8"/>
  <c r="A238" i="8"/>
  <c r="A239" i="8"/>
  <c r="A240" i="8"/>
  <c r="A241" i="8"/>
  <c r="A242" i="8"/>
  <c r="B242" i="8" s="1"/>
  <c r="E242" i="8" s="1"/>
  <c r="A243" i="8"/>
  <c r="B243" i="8" s="1"/>
  <c r="E243" i="8" s="1"/>
  <c r="A244" i="8"/>
  <c r="A245" i="8"/>
  <c r="A246" i="8"/>
  <c r="A247" i="8"/>
  <c r="A248" i="8"/>
  <c r="A249" i="8"/>
  <c r="A250" i="8"/>
  <c r="B250" i="8" s="1"/>
  <c r="E250" i="8" s="1"/>
  <c r="A251" i="8"/>
  <c r="B251" i="8" s="1"/>
  <c r="E251" i="8" s="1"/>
  <c r="A252" i="8"/>
  <c r="A253" i="8"/>
  <c r="A254" i="8"/>
  <c r="A255" i="8"/>
  <c r="A256" i="8"/>
  <c r="A257" i="8"/>
  <c r="A258" i="8"/>
  <c r="B258" i="8" s="1"/>
  <c r="E258" i="8" s="1"/>
  <c r="A259" i="8"/>
  <c r="B259" i="8" s="1"/>
  <c r="E259" i="8" s="1"/>
  <c r="A260" i="8"/>
  <c r="A261" i="8"/>
  <c r="A262" i="8"/>
  <c r="A263" i="8"/>
  <c r="A264" i="8"/>
  <c r="A265" i="8"/>
  <c r="A266" i="8"/>
  <c r="B266" i="8" s="1"/>
  <c r="E266" i="8" s="1"/>
  <c r="A267" i="8"/>
  <c r="B267" i="8" s="1"/>
  <c r="E267" i="8" s="1"/>
  <c r="A268" i="8"/>
  <c r="A269" i="8"/>
  <c r="A270" i="8"/>
  <c r="A271" i="8"/>
  <c r="A272" i="8"/>
  <c r="A273" i="8"/>
  <c r="A274" i="8"/>
  <c r="B274" i="8" s="1"/>
  <c r="E274" i="8" s="1"/>
  <c r="A275" i="8"/>
  <c r="B275" i="8" s="1"/>
  <c r="E275" i="8" s="1"/>
  <c r="A276" i="8"/>
  <c r="A277" i="8"/>
  <c r="A278" i="8"/>
  <c r="A279" i="8"/>
  <c r="A280" i="8"/>
  <c r="A281" i="8"/>
  <c r="A282" i="8"/>
  <c r="B282" i="8" s="1"/>
  <c r="E282" i="8" s="1"/>
  <c r="A283" i="8"/>
  <c r="B283" i="8" s="1"/>
  <c r="E283" i="8" s="1"/>
  <c r="A284" i="8"/>
  <c r="A285" i="8"/>
  <c r="A286" i="8"/>
  <c r="A287" i="8"/>
  <c r="A288" i="8"/>
  <c r="A289" i="8"/>
  <c r="A290" i="8"/>
  <c r="B290" i="8" s="1"/>
  <c r="E290" i="8" s="1"/>
  <c r="A291" i="8"/>
  <c r="B291" i="8" s="1"/>
  <c r="E291" i="8" s="1"/>
  <c r="A292" i="8"/>
  <c r="A293" i="8"/>
  <c r="A294" i="8"/>
  <c r="A295" i="8"/>
  <c r="A296" i="8"/>
  <c r="A297" i="8"/>
  <c r="A298" i="8"/>
  <c r="B298" i="8" s="1"/>
  <c r="E298" i="8" s="1"/>
  <c r="A299" i="8"/>
  <c r="B299" i="8" s="1"/>
  <c r="E299" i="8" s="1"/>
  <c r="A300" i="8"/>
  <c r="A301" i="8"/>
  <c r="A302" i="8"/>
  <c r="A303" i="8"/>
  <c r="A304" i="8"/>
  <c r="A305" i="8"/>
  <c r="A306" i="8"/>
  <c r="B306" i="8" s="1"/>
  <c r="E306" i="8" s="1"/>
  <c r="A307" i="8"/>
  <c r="B307" i="8" s="1"/>
  <c r="E307" i="8" s="1"/>
  <c r="A308" i="8"/>
  <c r="A309" i="8"/>
  <c r="A310" i="8"/>
  <c r="A311" i="8"/>
  <c r="A312" i="8"/>
  <c r="A313" i="8"/>
  <c r="A314" i="8"/>
  <c r="B314" i="8" s="1"/>
  <c r="E314" i="8" s="1"/>
  <c r="A315" i="8"/>
  <c r="B315" i="8" s="1"/>
  <c r="E315" i="8" s="1"/>
  <c r="A316" i="8"/>
  <c r="A317" i="8"/>
  <c r="A318" i="8"/>
  <c r="A319" i="8"/>
  <c r="A320" i="8"/>
  <c r="A321" i="8"/>
  <c r="A322" i="8"/>
  <c r="B322" i="8" s="1"/>
  <c r="E322" i="8" s="1"/>
  <c r="A323" i="8"/>
  <c r="B323" i="8" s="1"/>
  <c r="E323" i="8" s="1"/>
  <c r="A324" i="8"/>
  <c r="A325" i="8"/>
  <c r="A326" i="8"/>
  <c r="A327" i="8"/>
  <c r="A328" i="8"/>
  <c r="A329" i="8"/>
  <c r="A330" i="8"/>
  <c r="B330" i="8" s="1"/>
  <c r="E330" i="8" s="1"/>
  <c r="A331" i="8"/>
  <c r="B331" i="8" s="1"/>
  <c r="E331" i="8" s="1"/>
  <c r="A332" i="8"/>
  <c r="A333" i="8"/>
  <c r="A334" i="8"/>
  <c r="A335" i="8"/>
  <c r="A336" i="8"/>
  <c r="A337" i="8"/>
  <c r="A338" i="8"/>
  <c r="B338" i="8" s="1"/>
  <c r="E338" i="8" s="1"/>
  <c r="A339" i="8"/>
  <c r="B339" i="8" s="1"/>
  <c r="E339" i="8" s="1"/>
  <c r="A340" i="8"/>
  <c r="A341" i="8"/>
  <c r="A342" i="8"/>
  <c r="A343" i="8"/>
  <c r="A344" i="8"/>
  <c r="A345" i="8"/>
  <c r="A346" i="8"/>
  <c r="B346" i="8" s="1"/>
  <c r="E346" i="8" s="1"/>
  <c r="A347" i="8"/>
  <c r="B347" i="8" s="1"/>
  <c r="E347" i="8" s="1"/>
  <c r="A348" i="8"/>
  <c r="A349" i="8"/>
  <c r="A2" i="8"/>
  <c r="B4" i="8"/>
  <c r="E4" i="8" s="1"/>
  <c r="B5" i="8"/>
  <c r="E5" i="8" s="1"/>
  <c r="B6" i="8"/>
  <c r="E6" i="8" s="1"/>
  <c r="B7" i="8"/>
  <c r="E7" i="8" s="1"/>
  <c r="B8" i="8"/>
  <c r="E8" i="8" s="1"/>
  <c r="B9" i="8"/>
  <c r="E9" i="8" s="1"/>
  <c r="B12" i="8"/>
  <c r="E12" i="8" s="1"/>
  <c r="B13" i="8"/>
  <c r="E13" i="8" s="1"/>
  <c r="B14" i="8"/>
  <c r="E14" i="8" s="1"/>
  <c r="B15" i="8"/>
  <c r="E15" i="8" s="1"/>
  <c r="B16" i="8"/>
  <c r="E16" i="8" s="1"/>
  <c r="B17" i="8"/>
  <c r="E17" i="8" s="1"/>
  <c r="B20" i="8"/>
  <c r="E20" i="8" s="1"/>
  <c r="B21" i="8"/>
  <c r="E21" i="8" s="1"/>
  <c r="B22" i="8"/>
  <c r="E22" i="8" s="1"/>
  <c r="B23" i="8"/>
  <c r="E23" i="8" s="1"/>
  <c r="B24" i="8"/>
  <c r="E24" i="8" s="1"/>
  <c r="B25" i="8"/>
  <c r="E25" i="8" s="1"/>
  <c r="B28" i="8"/>
  <c r="E28" i="8" s="1"/>
  <c r="B29" i="8"/>
  <c r="E29" i="8" s="1"/>
  <c r="B30" i="8"/>
  <c r="E30" i="8" s="1"/>
  <c r="B31" i="8"/>
  <c r="E31" i="8" s="1"/>
  <c r="B32" i="8"/>
  <c r="E32" i="8" s="1"/>
  <c r="B33" i="8"/>
  <c r="E33" i="8" s="1"/>
  <c r="B36" i="8"/>
  <c r="E36" i="8" s="1"/>
  <c r="B37" i="8"/>
  <c r="E37" i="8" s="1"/>
  <c r="B38" i="8"/>
  <c r="E38" i="8" s="1"/>
  <c r="B39" i="8"/>
  <c r="E39" i="8" s="1"/>
  <c r="B40" i="8"/>
  <c r="E40" i="8" s="1"/>
  <c r="B41" i="8"/>
  <c r="E41" i="8" s="1"/>
  <c r="B44" i="8"/>
  <c r="E44" i="8" s="1"/>
  <c r="B45" i="8"/>
  <c r="E45" i="8" s="1"/>
  <c r="B46" i="8"/>
  <c r="E46" i="8" s="1"/>
  <c r="B47" i="8"/>
  <c r="E47" i="8" s="1"/>
  <c r="B48" i="8"/>
  <c r="E48" i="8" s="1"/>
  <c r="B49" i="8"/>
  <c r="E49" i="8" s="1"/>
  <c r="B52" i="8"/>
  <c r="E52" i="8" s="1"/>
  <c r="B53" i="8"/>
  <c r="E53" i="8" s="1"/>
  <c r="B54" i="8"/>
  <c r="E54" i="8" s="1"/>
  <c r="B55" i="8"/>
  <c r="E55" i="8" s="1"/>
  <c r="B56" i="8"/>
  <c r="E56" i="8" s="1"/>
  <c r="B57" i="8"/>
  <c r="E57" i="8" s="1"/>
  <c r="B60" i="8"/>
  <c r="E60" i="8" s="1"/>
  <c r="B61" i="8"/>
  <c r="E61" i="8" s="1"/>
  <c r="B62" i="8"/>
  <c r="E62" i="8" s="1"/>
  <c r="B63" i="8"/>
  <c r="E63" i="8" s="1"/>
  <c r="B64" i="8"/>
  <c r="E64" i="8" s="1"/>
  <c r="B65" i="8"/>
  <c r="E65" i="8" s="1"/>
  <c r="B68" i="8"/>
  <c r="E68" i="8" s="1"/>
  <c r="B69" i="8"/>
  <c r="E69" i="8" s="1"/>
  <c r="B70" i="8"/>
  <c r="E70" i="8" s="1"/>
  <c r="B71" i="8"/>
  <c r="E71" i="8" s="1"/>
  <c r="B72" i="8"/>
  <c r="E72" i="8" s="1"/>
  <c r="B73" i="8"/>
  <c r="E73" i="8" s="1"/>
  <c r="B76" i="8"/>
  <c r="E76" i="8" s="1"/>
  <c r="B77" i="8"/>
  <c r="E77" i="8" s="1"/>
  <c r="B78" i="8"/>
  <c r="E78" i="8" s="1"/>
  <c r="B79" i="8"/>
  <c r="E79" i="8" s="1"/>
  <c r="B80" i="8"/>
  <c r="E80" i="8" s="1"/>
  <c r="B81" i="8"/>
  <c r="E81" i="8" s="1"/>
  <c r="B84" i="8"/>
  <c r="E84" i="8" s="1"/>
  <c r="B85" i="8"/>
  <c r="E85" i="8" s="1"/>
  <c r="B86" i="8"/>
  <c r="E86" i="8" s="1"/>
  <c r="B87" i="8"/>
  <c r="E87" i="8" s="1"/>
  <c r="B88" i="8"/>
  <c r="E88" i="8" s="1"/>
  <c r="B89" i="8"/>
  <c r="E89" i="8" s="1"/>
  <c r="B92" i="8"/>
  <c r="E92" i="8" s="1"/>
  <c r="B93" i="8"/>
  <c r="E93" i="8" s="1"/>
  <c r="B94" i="8"/>
  <c r="E94" i="8" s="1"/>
  <c r="B95" i="8"/>
  <c r="E95" i="8" s="1"/>
  <c r="B96" i="8"/>
  <c r="E96" i="8" s="1"/>
  <c r="B97" i="8"/>
  <c r="E97" i="8" s="1"/>
  <c r="B100" i="8"/>
  <c r="E100" i="8" s="1"/>
  <c r="B101" i="8"/>
  <c r="E101" i="8" s="1"/>
  <c r="B102" i="8"/>
  <c r="E102" i="8" s="1"/>
  <c r="B103" i="8"/>
  <c r="E103" i="8" s="1"/>
  <c r="B104" i="8"/>
  <c r="E104" i="8" s="1"/>
  <c r="B105" i="8"/>
  <c r="E105" i="8" s="1"/>
  <c r="B108" i="8"/>
  <c r="E108" i="8" s="1"/>
  <c r="B109" i="8"/>
  <c r="E109" i="8" s="1"/>
  <c r="B110" i="8"/>
  <c r="E110" i="8" s="1"/>
  <c r="B111" i="8"/>
  <c r="E111" i="8" s="1"/>
  <c r="B112" i="8"/>
  <c r="E112" i="8" s="1"/>
  <c r="B113" i="8"/>
  <c r="E113" i="8" s="1"/>
  <c r="B116" i="8"/>
  <c r="E116" i="8" s="1"/>
  <c r="B117" i="8"/>
  <c r="E117" i="8" s="1"/>
  <c r="B118" i="8"/>
  <c r="E118" i="8" s="1"/>
  <c r="B119" i="8"/>
  <c r="E119" i="8" s="1"/>
  <c r="B120" i="8"/>
  <c r="E120" i="8" s="1"/>
  <c r="B121" i="8"/>
  <c r="E121" i="8" s="1"/>
  <c r="B124" i="8"/>
  <c r="E124" i="8" s="1"/>
  <c r="B125" i="8"/>
  <c r="E125" i="8" s="1"/>
  <c r="B126" i="8"/>
  <c r="E126" i="8" s="1"/>
  <c r="B127" i="8"/>
  <c r="E127" i="8" s="1"/>
  <c r="B128" i="8"/>
  <c r="E128" i="8" s="1"/>
  <c r="B129" i="8"/>
  <c r="E129" i="8" s="1"/>
  <c r="B132" i="8"/>
  <c r="E132" i="8" s="1"/>
  <c r="B133" i="8"/>
  <c r="E133" i="8" s="1"/>
  <c r="B134" i="8"/>
  <c r="E134" i="8" s="1"/>
  <c r="B135" i="8"/>
  <c r="E135" i="8" s="1"/>
  <c r="B136" i="8"/>
  <c r="E136" i="8" s="1"/>
  <c r="B137" i="8"/>
  <c r="E137" i="8" s="1"/>
  <c r="B140" i="8"/>
  <c r="E140" i="8" s="1"/>
  <c r="B141" i="8"/>
  <c r="E141" i="8" s="1"/>
  <c r="B142" i="8"/>
  <c r="E142" i="8" s="1"/>
  <c r="B143" i="8"/>
  <c r="E143" i="8" s="1"/>
  <c r="B144" i="8"/>
  <c r="E144" i="8" s="1"/>
  <c r="B145" i="8"/>
  <c r="E145" i="8" s="1"/>
  <c r="B148" i="8"/>
  <c r="E148" i="8" s="1"/>
  <c r="B149" i="8"/>
  <c r="E149" i="8" s="1"/>
  <c r="B150" i="8"/>
  <c r="E150" i="8" s="1"/>
  <c r="B151" i="8"/>
  <c r="E151" i="8" s="1"/>
  <c r="B152" i="8"/>
  <c r="E152" i="8" s="1"/>
  <c r="B153" i="8"/>
  <c r="E153" i="8" s="1"/>
  <c r="B156" i="8"/>
  <c r="E156" i="8" s="1"/>
  <c r="B157" i="8"/>
  <c r="E157" i="8" s="1"/>
  <c r="B158" i="8"/>
  <c r="E158" i="8" s="1"/>
  <c r="B159" i="8"/>
  <c r="E159" i="8" s="1"/>
  <c r="B160" i="8"/>
  <c r="E160" i="8" s="1"/>
  <c r="B161" i="8"/>
  <c r="E161" i="8" s="1"/>
  <c r="B164" i="8"/>
  <c r="E164" i="8" s="1"/>
  <c r="B165" i="8"/>
  <c r="E165" i="8" s="1"/>
  <c r="B166" i="8"/>
  <c r="E166" i="8" s="1"/>
  <c r="B167" i="8"/>
  <c r="E167" i="8" s="1"/>
  <c r="B168" i="8"/>
  <c r="E168" i="8" s="1"/>
  <c r="B169" i="8"/>
  <c r="E169" i="8" s="1"/>
  <c r="B172" i="8"/>
  <c r="E172" i="8" s="1"/>
  <c r="B173" i="8"/>
  <c r="E173" i="8" s="1"/>
  <c r="B174" i="8"/>
  <c r="E174" i="8" s="1"/>
  <c r="B175" i="8"/>
  <c r="E175" i="8" s="1"/>
  <c r="B176" i="8"/>
  <c r="E176" i="8" s="1"/>
  <c r="B177" i="8"/>
  <c r="E177" i="8" s="1"/>
  <c r="B180" i="8"/>
  <c r="E180" i="8" s="1"/>
  <c r="B181" i="8"/>
  <c r="E181" i="8" s="1"/>
  <c r="B182" i="8"/>
  <c r="E182" i="8" s="1"/>
  <c r="B183" i="8"/>
  <c r="E183" i="8" s="1"/>
  <c r="B184" i="8"/>
  <c r="E184" i="8" s="1"/>
  <c r="B185" i="8"/>
  <c r="E185" i="8" s="1"/>
  <c r="B188" i="8"/>
  <c r="E188" i="8" s="1"/>
  <c r="B189" i="8"/>
  <c r="E189" i="8" s="1"/>
  <c r="B190" i="8"/>
  <c r="E190" i="8" s="1"/>
  <c r="B191" i="8"/>
  <c r="E191" i="8" s="1"/>
  <c r="B192" i="8"/>
  <c r="E192" i="8" s="1"/>
  <c r="B193" i="8"/>
  <c r="E193" i="8" s="1"/>
  <c r="B196" i="8"/>
  <c r="E196" i="8" s="1"/>
  <c r="B197" i="8"/>
  <c r="E197" i="8" s="1"/>
  <c r="B198" i="8"/>
  <c r="E198" i="8" s="1"/>
  <c r="B199" i="8"/>
  <c r="E199" i="8" s="1"/>
  <c r="B200" i="8"/>
  <c r="E200" i="8" s="1"/>
  <c r="B201" i="8"/>
  <c r="E201" i="8" s="1"/>
  <c r="B204" i="8"/>
  <c r="E204" i="8" s="1"/>
  <c r="B205" i="8"/>
  <c r="E205" i="8" s="1"/>
  <c r="B206" i="8"/>
  <c r="E206" i="8" s="1"/>
  <c r="B207" i="8"/>
  <c r="E207" i="8" s="1"/>
  <c r="B208" i="8"/>
  <c r="E208" i="8" s="1"/>
  <c r="B209" i="8"/>
  <c r="E209" i="8" s="1"/>
  <c r="B212" i="8"/>
  <c r="E212" i="8" s="1"/>
  <c r="B213" i="8"/>
  <c r="E213" i="8" s="1"/>
  <c r="B214" i="8"/>
  <c r="E214" i="8" s="1"/>
  <c r="B215" i="8"/>
  <c r="E215" i="8" s="1"/>
  <c r="B216" i="8"/>
  <c r="E216" i="8" s="1"/>
  <c r="B217" i="8"/>
  <c r="E217" i="8" s="1"/>
  <c r="B220" i="8"/>
  <c r="E220" i="8" s="1"/>
  <c r="B221" i="8"/>
  <c r="E221" i="8" s="1"/>
  <c r="B222" i="8"/>
  <c r="E222" i="8" s="1"/>
  <c r="B223" i="8"/>
  <c r="E223" i="8" s="1"/>
  <c r="B224" i="8"/>
  <c r="E224" i="8" s="1"/>
  <c r="B225" i="8"/>
  <c r="E225" i="8" s="1"/>
  <c r="B228" i="8"/>
  <c r="E228" i="8" s="1"/>
  <c r="B229" i="8"/>
  <c r="E229" i="8" s="1"/>
  <c r="B230" i="8"/>
  <c r="E230" i="8" s="1"/>
  <c r="B231" i="8"/>
  <c r="E231" i="8" s="1"/>
  <c r="B232" i="8"/>
  <c r="E232" i="8" s="1"/>
  <c r="B233" i="8"/>
  <c r="E233" i="8" s="1"/>
  <c r="B236" i="8"/>
  <c r="E236" i="8" s="1"/>
  <c r="B237" i="8"/>
  <c r="E237" i="8" s="1"/>
  <c r="B238" i="8"/>
  <c r="E238" i="8" s="1"/>
  <c r="B239" i="8"/>
  <c r="E239" i="8" s="1"/>
  <c r="B240" i="8"/>
  <c r="E240" i="8" s="1"/>
  <c r="B241" i="8"/>
  <c r="E241" i="8" s="1"/>
  <c r="B244" i="8"/>
  <c r="E244" i="8" s="1"/>
  <c r="B245" i="8"/>
  <c r="E245" i="8" s="1"/>
  <c r="B246" i="8"/>
  <c r="E246" i="8" s="1"/>
  <c r="B247" i="8"/>
  <c r="E247" i="8" s="1"/>
  <c r="B248" i="8"/>
  <c r="E248" i="8" s="1"/>
  <c r="B249" i="8"/>
  <c r="E249" i="8" s="1"/>
  <c r="B252" i="8"/>
  <c r="E252" i="8" s="1"/>
  <c r="B253" i="8"/>
  <c r="E253" i="8" s="1"/>
  <c r="B254" i="8"/>
  <c r="E254" i="8" s="1"/>
  <c r="B255" i="8"/>
  <c r="E255" i="8" s="1"/>
  <c r="B256" i="8"/>
  <c r="E256" i="8" s="1"/>
  <c r="B257" i="8"/>
  <c r="E257" i="8" s="1"/>
  <c r="B260" i="8"/>
  <c r="E260" i="8" s="1"/>
  <c r="B261" i="8"/>
  <c r="E261" i="8" s="1"/>
  <c r="B262" i="8"/>
  <c r="E262" i="8" s="1"/>
  <c r="B263" i="8"/>
  <c r="E263" i="8" s="1"/>
  <c r="B264" i="8"/>
  <c r="E264" i="8" s="1"/>
  <c r="B265" i="8"/>
  <c r="E265" i="8" s="1"/>
  <c r="B268" i="8"/>
  <c r="E268" i="8" s="1"/>
  <c r="B269" i="8"/>
  <c r="E269" i="8" s="1"/>
  <c r="B270" i="8"/>
  <c r="E270" i="8" s="1"/>
  <c r="B271" i="8"/>
  <c r="E271" i="8" s="1"/>
  <c r="B272" i="8"/>
  <c r="E272" i="8" s="1"/>
  <c r="B273" i="8"/>
  <c r="E273" i="8" s="1"/>
  <c r="B276" i="8"/>
  <c r="E276" i="8" s="1"/>
  <c r="B277" i="8"/>
  <c r="E277" i="8" s="1"/>
  <c r="B278" i="8"/>
  <c r="E278" i="8" s="1"/>
  <c r="B279" i="8"/>
  <c r="E279" i="8" s="1"/>
  <c r="B280" i="8"/>
  <c r="E280" i="8" s="1"/>
  <c r="B281" i="8"/>
  <c r="E281" i="8" s="1"/>
  <c r="B284" i="8"/>
  <c r="E284" i="8" s="1"/>
  <c r="B285" i="8"/>
  <c r="E285" i="8" s="1"/>
  <c r="B286" i="8"/>
  <c r="E286" i="8" s="1"/>
  <c r="B287" i="8"/>
  <c r="E287" i="8" s="1"/>
  <c r="B288" i="8"/>
  <c r="E288" i="8" s="1"/>
  <c r="B289" i="8"/>
  <c r="E289" i="8" s="1"/>
  <c r="B292" i="8"/>
  <c r="E292" i="8" s="1"/>
  <c r="B293" i="8"/>
  <c r="E293" i="8" s="1"/>
  <c r="B294" i="8"/>
  <c r="E294" i="8" s="1"/>
  <c r="B295" i="8"/>
  <c r="E295" i="8" s="1"/>
  <c r="B296" i="8"/>
  <c r="E296" i="8" s="1"/>
  <c r="B297" i="8"/>
  <c r="E297" i="8" s="1"/>
  <c r="B300" i="8"/>
  <c r="E300" i="8" s="1"/>
  <c r="B301" i="8"/>
  <c r="E301" i="8" s="1"/>
  <c r="B302" i="8"/>
  <c r="E302" i="8" s="1"/>
  <c r="B303" i="8"/>
  <c r="E303" i="8" s="1"/>
  <c r="B304" i="8"/>
  <c r="E304" i="8" s="1"/>
  <c r="B305" i="8"/>
  <c r="E305" i="8" s="1"/>
  <c r="B308" i="8"/>
  <c r="E308" i="8" s="1"/>
  <c r="B309" i="8"/>
  <c r="E309" i="8" s="1"/>
  <c r="B310" i="8"/>
  <c r="E310" i="8" s="1"/>
  <c r="B311" i="8"/>
  <c r="E311" i="8" s="1"/>
  <c r="B312" i="8"/>
  <c r="E312" i="8" s="1"/>
  <c r="B313" i="8"/>
  <c r="E313" i="8" s="1"/>
  <c r="B316" i="8"/>
  <c r="E316" i="8" s="1"/>
  <c r="B317" i="8"/>
  <c r="E317" i="8" s="1"/>
  <c r="B318" i="8"/>
  <c r="E318" i="8" s="1"/>
  <c r="B319" i="8"/>
  <c r="E319" i="8" s="1"/>
  <c r="B320" i="8"/>
  <c r="E320" i="8" s="1"/>
  <c r="B321" i="8"/>
  <c r="E321" i="8" s="1"/>
  <c r="B324" i="8"/>
  <c r="E324" i="8" s="1"/>
  <c r="B325" i="8"/>
  <c r="E325" i="8" s="1"/>
  <c r="B326" i="8"/>
  <c r="E326" i="8" s="1"/>
  <c r="B327" i="8"/>
  <c r="E327" i="8" s="1"/>
  <c r="B328" i="8"/>
  <c r="E328" i="8" s="1"/>
  <c r="B329" i="8"/>
  <c r="E329" i="8" s="1"/>
  <c r="B332" i="8"/>
  <c r="E332" i="8" s="1"/>
  <c r="B333" i="8"/>
  <c r="E333" i="8" s="1"/>
  <c r="B334" i="8"/>
  <c r="E334" i="8" s="1"/>
  <c r="B335" i="8"/>
  <c r="E335" i="8" s="1"/>
  <c r="B336" i="8"/>
  <c r="E336" i="8" s="1"/>
  <c r="B337" i="8"/>
  <c r="E337" i="8" s="1"/>
  <c r="B340" i="8"/>
  <c r="E340" i="8" s="1"/>
  <c r="B341" i="8"/>
  <c r="E341" i="8" s="1"/>
  <c r="B342" i="8"/>
  <c r="E342" i="8" s="1"/>
  <c r="B343" i="8"/>
  <c r="E343" i="8" s="1"/>
  <c r="B344" i="8"/>
  <c r="E344" i="8" s="1"/>
  <c r="B345" i="8"/>
  <c r="E345" i="8" s="1"/>
  <c r="B348" i="8"/>
  <c r="E348" i="8" s="1"/>
  <c r="B349" i="8"/>
  <c r="E349" i="8" s="1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C131" i="8"/>
  <c r="D131" i="8"/>
  <c r="C132" i="8"/>
  <c r="D132" i="8"/>
  <c r="C133" i="8"/>
  <c r="D133" i="8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187" i="8"/>
  <c r="D187" i="8"/>
  <c r="C188" i="8"/>
  <c r="D188" i="8"/>
  <c r="C189" i="8"/>
  <c r="D189" i="8"/>
  <c r="C190" i="8"/>
  <c r="D190" i="8"/>
  <c r="C191" i="8"/>
  <c r="D191" i="8"/>
  <c r="C192" i="8"/>
  <c r="D192" i="8"/>
  <c r="C193" i="8"/>
  <c r="D193" i="8"/>
  <c r="C194" i="8"/>
  <c r="D194" i="8"/>
  <c r="C195" i="8"/>
  <c r="D195" i="8"/>
  <c r="C196" i="8"/>
  <c r="D196" i="8"/>
  <c r="C197" i="8"/>
  <c r="D197" i="8"/>
  <c r="C198" i="8"/>
  <c r="D198" i="8"/>
  <c r="C199" i="8"/>
  <c r="D199" i="8"/>
  <c r="C200" i="8"/>
  <c r="D200" i="8"/>
  <c r="C201" i="8"/>
  <c r="D201" i="8"/>
  <c r="C202" i="8"/>
  <c r="D202" i="8"/>
  <c r="C203" i="8"/>
  <c r="D203" i="8"/>
  <c r="C204" i="8"/>
  <c r="D204" i="8"/>
  <c r="C205" i="8"/>
  <c r="D205" i="8"/>
  <c r="C206" i="8"/>
  <c r="D206" i="8"/>
  <c r="C207" i="8"/>
  <c r="D207" i="8"/>
  <c r="C208" i="8"/>
  <c r="D208" i="8"/>
  <c r="C209" i="8"/>
  <c r="D209" i="8"/>
  <c r="C210" i="8"/>
  <c r="D210" i="8"/>
  <c r="C211" i="8"/>
  <c r="D211" i="8"/>
  <c r="C212" i="8"/>
  <c r="D212" i="8"/>
  <c r="C213" i="8"/>
  <c r="D213" i="8"/>
  <c r="C214" i="8"/>
  <c r="D214" i="8"/>
  <c r="C215" i="8"/>
  <c r="D215" i="8"/>
  <c r="C216" i="8"/>
  <c r="D216" i="8"/>
  <c r="C217" i="8"/>
  <c r="D217" i="8"/>
  <c r="C218" i="8"/>
  <c r="D218" i="8"/>
  <c r="C219" i="8"/>
  <c r="D219" i="8"/>
  <c r="C220" i="8"/>
  <c r="D220" i="8"/>
  <c r="C221" i="8"/>
  <c r="D221" i="8"/>
  <c r="C222" i="8"/>
  <c r="D222" i="8"/>
  <c r="C223" i="8"/>
  <c r="D223" i="8"/>
  <c r="C224" i="8"/>
  <c r="D224" i="8"/>
  <c r="C225" i="8"/>
  <c r="D225" i="8"/>
  <c r="C226" i="8"/>
  <c r="D226" i="8"/>
  <c r="C227" i="8"/>
  <c r="D227" i="8"/>
  <c r="C228" i="8"/>
  <c r="D228" i="8"/>
  <c r="C229" i="8"/>
  <c r="D229" i="8"/>
  <c r="C230" i="8"/>
  <c r="D230" i="8"/>
  <c r="C231" i="8"/>
  <c r="D231" i="8"/>
  <c r="C232" i="8"/>
  <c r="D232" i="8"/>
  <c r="C233" i="8"/>
  <c r="D233" i="8"/>
  <c r="C234" i="8"/>
  <c r="D234" i="8"/>
  <c r="C235" i="8"/>
  <c r="D235" i="8"/>
  <c r="C236" i="8"/>
  <c r="D236" i="8"/>
  <c r="C237" i="8"/>
  <c r="D237" i="8"/>
  <c r="C238" i="8"/>
  <c r="D238" i="8"/>
  <c r="C239" i="8"/>
  <c r="D239" i="8"/>
  <c r="C240" i="8"/>
  <c r="D240" i="8"/>
  <c r="C241" i="8"/>
  <c r="D241" i="8"/>
  <c r="C242" i="8"/>
  <c r="D242" i="8"/>
  <c r="C243" i="8"/>
  <c r="D243" i="8"/>
  <c r="C244" i="8"/>
  <c r="D244" i="8"/>
  <c r="C245" i="8"/>
  <c r="D245" i="8"/>
  <c r="C246" i="8"/>
  <c r="D246" i="8"/>
  <c r="C247" i="8"/>
  <c r="D247" i="8"/>
  <c r="C248" i="8"/>
  <c r="D248" i="8"/>
  <c r="C249" i="8"/>
  <c r="D249" i="8"/>
  <c r="C250" i="8"/>
  <c r="D250" i="8"/>
  <c r="C251" i="8"/>
  <c r="D251" i="8"/>
  <c r="C252" i="8"/>
  <c r="D252" i="8"/>
  <c r="C253" i="8"/>
  <c r="D253" i="8"/>
  <c r="C254" i="8"/>
  <c r="D254" i="8"/>
  <c r="C255" i="8"/>
  <c r="D255" i="8"/>
  <c r="C256" i="8"/>
  <c r="D256" i="8"/>
  <c r="C257" i="8"/>
  <c r="D257" i="8"/>
  <c r="C258" i="8"/>
  <c r="D258" i="8"/>
  <c r="C259" i="8"/>
  <c r="D259" i="8"/>
  <c r="C260" i="8"/>
  <c r="D260" i="8"/>
  <c r="C261" i="8"/>
  <c r="D261" i="8"/>
  <c r="C262" i="8"/>
  <c r="D262" i="8"/>
  <c r="C263" i="8"/>
  <c r="D263" i="8"/>
  <c r="C264" i="8"/>
  <c r="D264" i="8"/>
  <c r="C265" i="8"/>
  <c r="D265" i="8"/>
  <c r="C266" i="8"/>
  <c r="D266" i="8"/>
  <c r="C267" i="8"/>
  <c r="D267" i="8"/>
  <c r="C268" i="8"/>
  <c r="D268" i="8"/>
  <c r="C269" i="8"/>
  <c r="D269" i="8"/>
  <c r="C270" i="8"/>
  <c r="D270" i="8"/>
  <c r="C271" i="8"/>
  <c r="D271" i="8"/>
  <c r="C272" i="8"/>
  <c r="D272" i="8"/>
  <c r="C273" i="8"/>
  <c r="D273" i="8"/>
  <c r="C274" i="8"/>
  <c r="D274" i="8"/>
  <c r="C275" i="8"/>
  <c r="D275" i="8"/>
  <c r="C276" i="8"/>
  <c r="D276" i="8"/>
  <c r="C277" i="8"/>
  <c r="D277" i="8"/>
  <c r="C278" i="8"/>
  <c r="D278" i="8"/>
  <c r="C279" i="8"/>
  <c r="D279" i="8"/>
  <c r="C280" i="8"/>
  <c r="D280" i="8"/>
  <c r="C281" i="8"/>
  <c r="D281" i="8"/>
  <c r="C282" i="8"/>
  <c r="D282" i="8"/>
  <c r="C283" i="8"/>
  <c r="D283" i="8"/>
  <c r="C284" i="8"/>
  <c r="D284" i="8"/>
  <c r="C285" i="8"/>
  <c r="D285" i="8"/>
  <c r="C286" i="8"/>
  <c r="D286" i="8"/>
  <c r="C287" i="8"/>
  <c r="D287" i="8"/>
  <c r="C288" i="8"/>
  <c r="D288" i="8"/>
  <c r="C289" i="8"/>
  <c r="D289" i="8"/>
  <c r="C290" i="8"/>
  <c r="D290" i="8"/>
  <c r="C291" i="8"/>
  <c r="D291" i="8"/>
  <c r="C292" i="8"/>
  <c r="D292" i="8"/>
  <c r="C293" i="8"/>
  <c r="D293" i="8"/>
  <c r="C294" i="8"/>
  <c r="D294" i="8"/>
  <c r="C295" i="8"/>
  <c r="D295" i="8"/>
  <c r="C296" i="8"/>
  <c r="D296" i="8"/>
  <c r="C297" i="8"/>
  <c r="D297" i="8"/>
  <c r="C298" i="8"/>
  <c r="D298" i="8"/>
  <c r="C299" i="8"/>
  <c r="D299" i="8"/>
  <c r="C300" i="8"/>
  <c r="D300" i="8"/>
  <c r="C301" i="8"/>
  <c r="D301" i="8"/>
  <c r="C302" i="8"/>
  <c r="D302" i="8"/>
  <c r="C303" i="8"/>
  <c r="D303" i="8"/>
  <c r="C304" i="8"/>
  <c r="D304" i="8"/>
  <c r="C305" i="8"/>
  <c r="D305" i="8"/>
  <c r="C306" i="8"/>
  <c r="D306" i="8"/>
  <c r="C307" i="8"/>
  <c r="D307" i="8"/>
  <c r="C308" i="8"/>
  <c r="D308" i="8"/>
  <c r="C309" i="8"/>
  <c r="D309" i="8"/>
  <c r="C310" i="8"/>
  <c r="D310" i="8"/>
  <c r="C311" i="8"/>
  <c r="D311" i="8"/>
  <c r="C312" i="8"/>
  <c r="D312" i="8"/>
  <c r="C313" i="8"/>
  <c r="D313" i="8"/>
  <c r="C314" i="8"/>
  <c r="D314" i="8"/>
  <c r="C315" i="8"/>
  <c r="D315" i="8"/>
  <c r="C316" i="8"/>
  <c r="D316" i="8"/>
  <c r="C317" i="8"/>
  <c r="D317" i="8"/>
  <c r="C318" i="8"/>
  <c r="D318" i="8"/>
  <c r="C319" i="8"/>
  <c r="D319" i="8"/>
  <c r="C320" i="8"/>
  <c r="D320" i="8"/>
  <c r="C321" i="8"/>
  <c r="D321" i="8"/>
  <c r="C322" i="8"/>
  <c r="D322" i="8"/>
  <c r="C323" i="8"/>
  <c r="D323" i="8"/>
  <c r="C324" i="8"/>
  <c r="D324" i="8"/>
  <c r="C325" i="8"/>
  <c r="D325" i="8"/>
  <c r="C326" i="8"/>
  <c r="D326" i="8"/>
  <c r="C327" i="8"/>
  <c r="D327" i="8"/>
  <c r="C328" i="8"/>
  <c r="D328" i="8"/>
  <c r="C329" i="8"/>
  <c r="D329" i="8"/>
  <c r="C330" i="8"/>
  <c r="D330" i="8"/>
  <c r="C331" i="8"/>
  <c r="D331" i="8"/>
  <c r="C332" i="8"/>
  <c r="D332" i="8"/>
  <c r="C333" i="8"/>
  <c r="D333" i="8"/>
  <c r="C334" i="8"/>
  <c r="D334" i="8"/>
  <c r="C335" i="8"/>
  <c r="D335" i="8"/>
  <c r="C336" i="8"/>
  <c r="D336" i="8"/>
  <c r="C337" i="8"/>
  <c r="D337" i="8"/>
  <c r="C338" i="8"/>
  <c r="D338" i="8"/>
  <c r="C339" i="8"/>
  <c r="D339" i="8"/>
  <c r="C340" i="8"/>
  <c r="D340" i="8"/>
  <c r="C341" i="8"/>
  <c r="D341" i="8"/>
  <c r="C342" i="8"/>
  <c r="D342" i="8"/>
  <c r="C343" i="8"/>
  <c r="D343" i="8"/>
  <c r="C344" i="8"/>
  <c r="D344" i="8"/>
  <c r="C345" i="8"/>
  <c r="D345" i="8"/>
  <c r="C346" i="8"/>
  <c r="D346" i="8"/>
  <c r="C347" i="8"/>
  <c r="D347" i="8"/>
  <c r="C348" i="8"/>
  <c r="D348" i="8"/>
  <c r="C349" i="8"/>
  <c r="D349" i="8"/>
  <c r="D2" i="8"/>
  <c r="C2" i="8"/>
  <c r="B2" i="8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T49" i="1" s="1"/>
  <c r="S50" i="1"/>
  <c r="T50" i="1" s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2" i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M34" i="5"/>
  <c r="M54" i="5"/>
  <c r="M170" i="5"/>
  <c r="M195" i="5"/>
  <c r="M408" i="5"/>
  <c r="M416" i="5"/>
  <c r="D3" i="5"/>
  <c r="J3" i="5" s="1"/>
  <c r="M3" i="5" s="1"/>
  <c r="D4" i="5"/>
  <c r="J4" i="5" s="1"/>
  <c r="M4" i="5" s="1"/>
  <c r="D5" i="5"/>
  <c r="J5" i="5" s="1"/>
  <c r="M5" i="5" s="1"/>
  <c r="D6" i="5"/>
  <c r="J6" i="5" s="1"/>
  <c r="M6" i="5" s="1"/>
  <c r="D7" i="5"/>
  <c r="J7" i="5" s="1"/>
  <c r="M7" i="5" s="1"/>
  <c r="D8" i="5"/>
  <c r="J8" i="5" s="1"/>
  <c r="M8" i="5" s="1"/>
  <c r="D9" i="5"/>
  <c r="J9" i="5" s="1"/>
  <c r="M9" i="5" s="1"/>
  <c r="D10" i="5"/>
  <c r="J10" i="5" s="1"/>
  <c r="M10" i="5" s="1"/>
  <c r="D11" i="5"/>
  <c r="J11" i="5" s="1"/>
  <c r="M11" i="5" s="1"/>
  <c r="D12" i="5"/>
  <c r="J12" i="5" s="1"/>
  <c r="M12" i="5" s="1"/>
  <c r="D13" i="5"/>
  <c r="J13" i="5" s="1"/>
  <c r="M13" i="5" s="1"/>
  <c r="D14" i="5"/>
  <c r="J14" i="5" s="1"/>
  <c r="M14" i="5" s="1"/>
  <c r="D15" i="5"/>
  <c r="J15" i="5" s="1"/>
  <c r="M15" i="5" s="1"/>
  <c r="D16" i="5"/>
  <c r="J16" i="5" s="1"/>
  <c r="M16" i="5" s="1"/>
  <c r="D17" i="5"/>
  <c r="D18" i="5"/>
  <c r="J18" i="5" s="1"/>
  <c r="M18" i="5" s="1"/>
  <c r="D19" i="5"/>
  <c r="J19" i="5" s="1"/>
  <c r="M19" i="5" s="1"/>
  <c r="D20" i="5"/>
  <c r="J20" i="5" s="1"/>
  <c r="M20" i="5" s="1"/>
  <c r="D21" i="5"/>
  <c r="J21" i="5" s="1"/>
  <c r="M21" i="5" s="1"/>
  <c r="D22" i="5"/>
  <c r="J22" i="5" s="1"/>
  <c r="M22" i="5" s="1"/>
  <c r="D23" i="5"/>
  <c r="J23" i="5" s="1"/>
  <c r="M23" i="5" s="1"/>
  <c r="D24" i="5"/>
  <c r="J24" i="5" s="1"/>
  <c r="M24" i="5" s="1"/>
  <c r="D25" i="5"/>
  <c r="J25" i="5" s="1"/>
  <c r="M25" i="5" s="1"/>
  <c r="D26" i="5"/>
  <c r="J26" i="5" s="1"/>
  <c r="M26" i="5" s="1"/>
  <c r="D27" i="5"/>
  <c r="J27" i="5" s="1"/>
  <c r="M27" i="5" s="1"/>
  <c r="D28" i="5"/>
  <c r="J28" i="5" s="1"/>
  <c r="M28" i="5" s="1"/>
  <c r="D29" i="5"/>
  <c r="J29" i="5" s="1"/>
  <c r="M29" i="5" s="1"/>
  <c r="D30" i="5"/>
  <c r="J30" i="5" s="1"/>
  <c r="M30" i="5" s="1"/>
  <c r="D31" i="5"/>
  <c r="J31" i="5" s="1"/>
  <c r="M31" i="5" s="1"/>
  <c r="D32" i="5"/>
  <c r="J32" i="5" s="1"/>
  <c r="M32" i="5" s="1"/>
  <c r="D33" i="5"/>
  <c r="D34" i="5"/>
  <c r="J34" i="5" s="1"/>
  <c r="D35" i="5"/>
  <c r="J35" i="5" s="1"/>
  <c r="M35" i="5" s="1"/>
  <c r="D36" i="5"/>
  <c r="J36" i="5" s="1"/>
  <c r="M36" i="5" s="1"/>
  <c r="D37" i="5"/>
  <c r="J37" i="5" s="1"/>
  <c r="M37" i="5" s="1"/>
  <c r="D38" i="5"/>
  <c r="J38" i="5" s="1"/>
  <c r="M38" i="5" s="1"/>
  <c r="D39" i="5"/>
  <c r="J39" i="5" s="1"/>
  <c r="M39" i="5" s="1"/>
  <c r="D40" i="5"/>
  <c r="J40" i="5" s="1"/>
  <c r="M40" i="5" s="1"/>
  <c r="D41" i="5"/>
  <c r="J41" i="5" s="1"/>
  <c r="M41" i="5" s="1"/>
  <c r="D42" i="5"/>
  <c r="J42" i="5" s="1"/>
  <c r="M42" i="5" s="1"/>
  <c r="D43" i="5"/>
  <c r="J43" i="5" s="1"/>
  <c r="M43" i="5" s="1"/>
  <c r="D44" i="5"/>
  <c r="J44" i="5" s="1"/>
  <c r="M44" i="5" s="1"/>
  <c r="D45" i="5"/>
  <c r="J45" i="5" s="1"/>
  <c r="M45" i="5" s="1"/>
  <c r="D46" i="5"/>
  <c r="J46" i="5" s="1"/>
  <c r="M46" i="5" s="1"/>
  <c r="D47" i="5"/>
  <c r="J47" i="5" s="1"/>
  <c r="M47" i="5" s="1"/>
  <c r="D48" i="5"/>
  <c r="J48" i="5" s="1"/>
  <c r="M48" i="5" s="1"/>
  <c r="D49" i="5"/>
  <c r="G49" i="5" s="1"/>
  <c r="K49" i="5" s="1"/>
  <c r="N49" i="5" s="1"/>
  <c r="D50" i="5"/>
  <c r="J50" i="5" s="1"/>
  <c r="M50" i="5" s="1"/>
  <c r="D51" i="5"/>
  <c r="J51" i="5" s="1"/>
  <c r="M51" i="5" s="1"/>
  <c r="D52" i="5"/>
  <c r="J52" i="5" s="1"/>
  <c r="M52" i="5" s="1"/>
  <c r="D53" i="5"/>
  <c r="J53" i="5" s="1"/>
  <c r="M53" i="5" s="1"/>
  <c r="D54" i="5"/>
  <c r="J54" i="5" s="1"/>
  <c r="D55" i="5"/>
  <c r="J55" i="5" s="1"/>
  <c r="M55" i="5" s="1"/>
  <c r="D56" i="5"/>
  <c r="J56" i="5" s="1"/>
  <c r="M56" i="5" s="1"/>
  <c r="D57" i="5"/>
  <c r="J57" i="5" s="1"/>
  <c r="M57" i="5" s="1"/>
  <c r="D58" i="5"/>
  <c r="J58" i="5" s="1"/>
  <c r="M58" i="5" s="1"/>
  <c r="D59" i="5"/>
  <c r="J59" i="5" s="1"/>
  <c r="M59" i="5" s="1"/>
  <c r="D60" i="5"/>
  <c r="J60" i="5" s="1"/>
  <c r="M60" i="5" s="1"/>
  <c r="D61" i="5"/>
  <c r="J61" i="5" s="1"/>
  <c r="M61" i="5" s="1"/>
  <c r="D62" i="5"/>
  <c r="J62" i="5" s="1"/>
  <c r="M62" i="5" s="1"/>
  <c r="D63" i="5"/>
  <c r="J63" i="5" s="1"/>
  <c r="M63" i="5" s="1"/>
  <c r="D64" i="5"/>
  <c r="J64" i="5" s="1"/>
  <c r="M64" i="5" s="1"/>
  <c r="D65" i="5"/>
  <c r="H65" i="5" s="1"/>
  <c r="L65" i="5" s="1"/>
  <c r="O65" i="5" s="1"/>
  <c r="D66" i="5"/>
  <c r="J66" i="5" s="1"/>
  <c r="M66" i="5" s="1"/>
  <c r="D67" i="5"/>
  <c r="J67" i="5" s="1"/>
  <c r="M67" i="5" s="1"/>
  <c r="D68" i="5"/>
  <c r="J68" i="5" s="1"/>
  <c r="M68" i="5" s="1"/>
  <c r="D69" i="5"/>
  <c r="J69" i="5" s="1"/>
  <c r="M69" i="5" s="1"/>
  <c r="D70" i="5"/>
  <c r="J70" i="5" s="1"/>
  <c r="M70" i="5" s="1"/>
  <c r="D71" i="5"/>
  <c r="J71" i="5" s="1"/>
  <c r="M71" i="5" s="1"/>
  <c r="D72" i="5"/>
  <c r="J72" i="5" s="1"/>
  <c r="M72" i="5" s="1"/>
  <c r="D73" i="5"/>
  <c r="J73" i="5" s="1"/>
  <c r="M73" i="5" s="1"/>
  <c r="D74" i="5"/>
  <c r="J74" i="5" s="1"/>
  <c r="M74" i="5" s="1"/>
  <c r="D75" i="5"/>
  <c r="J75" i="5" s="1"/>
  <c r="M75" i="5" s="1"/>
  <c r="D76" i="5"/>
  <c r="J76" i="5" s="1"/>
  <c r="M76" i="5" s="1"/>
  <c r="D77" i="5"/>
  <c r="J77" i="5" s="1"/>
  <c r="M77" i="5" s="1"/>
  <c r="D78" i="5"/>
  <c r="J78" i="5" s="1"/>
  <c r="M78" i="5" s="1"/>
  <c r="D79" i="5"/>
  <c r="J79" i="5" s="1"/>
  <c r="M79" i="5" s="1"/>
  <c r="D80" i="5"/>
  <c r="J80" i="5" s="1"/>
  <c r="M80" i="5" s="1"/>
  <c r="D81" i="5"/>
  <c r="H81" i="5" s="1"/>
  <c r="L81" i="5" s="1"/>
  <c r="O81" i="5" s="1"/>
  <c r="D82" i="5"/>
  <c r="J82" i="5" s="1"/>
  <c r="M82" i="5" s="1"/>
  <c r="D83" i="5"/>
  <c r="J83" i="5" s="1"/>
  <c r="M83" i="5" s="1"/>
  <c r="D84" i="5"/>
  <c r="J84" i="5" s="1"/>
  <c r="M84" i="5" s="1"/>
  <c r="D85" i="5"/>
  <c r="J85" i="5" s="1"/>
  <c r="M85" i="5" s="1"/>
  <c r="D86" i="5"/>
  <c r="J86" i="5" s="1"/>
  <c r="M86" i="5" s="1"/>
  <c r="D87" i="5"/>
  <c r="J87" i="5" s="1"/>
  <c r="M87" i="5" s="1"/>
  <c r="D88" i="5"/>
  <c r="J88" i="5" s="1"/>
  <c r="M88" i="5" s="1"/>
  <c r="D89" i="5"/>
  <c r="J89" i="5" s="1"/>
  <c r="M89" i="5" s="1"/>
  <c r="D90" i="5"/>
  <c r="J90" i="5" s="1"/>
  <c r="M90" i="5" s="1"/>
  <c r="D91" i="5"/>
  <c r="J91" i="5" s="1"/>
  <c r="M91" i="5" s="1"/>
  <c r="D92" i="5"/>
  <c r="J92" i="5" s="1"/>
  <c r="M92" i="5" s="1"/>
  <c r="D93" i="5"/>
  <c r="D94" i="5"/>
  <c r="J94" i="5" s="1"/>
  <c r="M94" i="5" s="1"/>
  <c r="D95" i="5"/>
  <c r="J95" i="5" s="1"/>
  <c r="M95" i="5" s="1"/>
  <c r="D96" i="5"/>
  <c r="J96" i="5" s="1"/>
  <c r="M96" i="5" s="1"/>
  <c r="D97" i="5"/>
  <c r="H97" i="5" s="1"/>
  <c r="L97" i="5" s="1"/>
  <c r="O97" i="5" s="1"/>
  <c r="D98" i="5"/>
  <c r="J98" i="5" s="1"/>
  <c r="M98" i="5" s="1"/>
  <c r="D99" i="5"/>
  <c r="J99" i="5" s="1"/>
  <c r="M99" i="5" s="1"/>
  <c r="D100" i="5"/>
  <c r="J100" i="5" s="1"/>
  <c r="M100" i="5" s="1"/>
  <c r="D101" i="5"/>
  <c r="J101" i="5" s="1"/>
  <c r="M101" i="5" s="1"/>
  <c r="D102" i="5"/>
  <c r="J102" i="5" s="1"/>
  <c r="M102" i="5" s="1"/>
  <c r="D103" i="5"/>
  <c r="J103" i="5" s="1"/>
  <c r="M103" i="5" s="1"/>
  <c r="D104" i="5"/>
  <c r="J104" i="5" s="1"/>
  <c r="M104" i="5" s="1"/>
  <c r="D105" i="5"/>
  <c r="J105" i="5" s="1"/>
  <c r="M105" i="5" s="1"/>
  <c r="D106" i="5"/>
  <c r="J106" i="5" s="1"/>
  <c r="M106" i="5" s="1"/>
  <c r="D107" i="5"/>
  <c r="J107" i="5" s="1"/>
  <c r="M107" i="5" s="1"/>
  <c r="D108" i="5"/>
  <c r="J108" i="5" s="1"/>
  <c r="M108" i="5" s="1"/>
  <c r="D109" i="5"/>
  <c r="D110" i="5"/>
  <c r="J110" i="5" s="1"/>
  <c r="M110" i="5" s="1"/>
  <c r="D111" i="5"/>
  <c r="J111" i="5" s="1"/>
  <c r="M111" i="5" s="1"/>
  <c r="D112" i="5"/>
  <c r="J112" i="5" s="1"/>
  <c r="M112" i="5" s="1"/>
  <c r="D113" i="5"/>
  <c r="H113" i="5" s="1"/>
  <c r="L113" i="5" s="1"/>
  <c r="O113" i="5" s="1"/>
  <c r="D114" i="5"/>
  <c r="J114" i="5" s="1"/>
  <c r="M114" i="5" s="1"/>
  <c r="D115" i="5"/>
  <c r="J115" i="5" s="1"/>
  <c r="M115" i="5" s="1"/>
  <c r="D116" i="5"/>
  <c r="J116" i="5" s="1"/>
  <c r="M116" i="5" s="1"/>
  <c r="D117" i="5"/>
  <c r="J117" i="5" s="1"/>
  <c r="M117" i="5" s="1"/>
  <c r="D118" i="5"/>
  <c r="J118" i="5" s="1"/>
  <c r="M118" i="5" s="1"/>
  <c r="D119" i="5"/>
  <c r="J119" i="5" s="1"/>
  <c r="M119" i="5" s="1"/>
  <c r="D120" i="5"/>
  <c r="J120" i="5" s="1"/>
  <c r="M120" i="5" s="1"/>
  <c r="D121" i="5"/>
  <c r="J121" i="5" s="1"/>
  <c r="M121" i="5" s="1"/>
  <c r="D122" i="5"/>
  <c r="J122" i="5" s="1"/>
  <c r="M122" i="5" s="1"/>
  <c r="D123" i="5"/>
  <c r="J123" i="5" s="1"/>
  <c r="M123" i="5" s="1"/>
  <c r="D124" i="5"/>
  <c r="J124" i="5" s="1"/>
  <c r="M124" i="5" s="1"/>
  <c r="D125" i="5"/>
  <c r="D126" i="5"/>
  <c r="J126" i="5" s="1"/>
  <c r="M126" i="5" s="1"/>
  <c r="D127" i="5"/>
  <c r="J127" i="5" s="1"/>
  <c r="M127" i="5" s="1"/>
  <c r="D128" i="5"/>
  <c r="J128" i="5" s="1"/>
  <c r="M128" i="5" s="1"/>
  <c r="D129" i="5"/>
  <c r="H129" i="5" s="1"/>
  <c r="L129" i="5" s="1"/>
  <c r="O129" i="5" s="1"/>
  <c r="D130" i="5"/>
  <c r="J130" i="5" s="1"/>
  <c r="M130" i="5" s="1"/>
  <c r="D131" i="5"/>
  <c r="J131" i="5" s="1"/>
  <c r="M131" i="5" s="1"/>
  <c r="D132" i="5"/>
  <c r="J132" i="5" s="1"/>
  <c r="M132" i="5" s="1"/>
  <c r="D133" i="5"/>
  <c r="J133" i="5" s="1"/>
  <c r="M133" i="5" s="1"/>
  <c r="D134" i="5"/>
  <c r="J134" i="5" s="1"/>
  <c r="M134" i="5" s="1"/>
  <c r="D135" i="5"/>
  <c r="J135" i="5" s="1"/>
  <c r="M135" i="5" s="1"/>
  <c r="D136" i="5"/>
  <c r="J136" i="5" s="1"/>
  <c r="M136" i="5" s="1"/>
  <c r="D137" i="5"/>
  <c r="J137" i="5" s="1"/>
  <c r="M137" i="5" s="1"/>
  <c r="D138" i="5"/>
  <c r="J138" i="5" s="1"/>
  <c r="M138" i="5" s="1"/>
  <c r="D139" i="5"/>
  <c r="J139" i="5" s="1"/>
  <c r="M139" i="5" s="1"/>
  <c r="D140" i="5"/>
  <c r="J140" i="5" s="1"/>
  <c r="M140" i="5" s="1"/>
  <c r="D141" i="5"/>
  <c r="J141" i="5" s="1"/>
  <c r="M141" i="5" s="1"/>
  <c r="D142" i="5"/>
  <c r="J142" i="5" s="1"/>
  <c r="M142" i="5" s="1"/>
  <c r="D143" i="5"/>
  <c r="D144" i="5"/>
  <c r="J144" i="5" s="1"/>
  <c r="M144" i="5" s="1"/>
  <c r="D145" i="5"/>
  <c r="D146" i="5"/>
  <c r="J146" i="5" s="1"/>
  <c r="M146" i="5" s="1"/>
  <c r="D147" i="5"/>
  <c r="J147" i="5" s="1"/>
  <c r="M147" i="5" s="1"/>
  <c r="D148" i="5"/>
  <c r="J148" i="5" s="1"/>
  <c r="M148" i="5" s="1"/>
  <c r="D149" i="5"/>
  <c r="J149" i="5" s="1"/>
  <c r="M149" i="5" s="1"/>
  <c r="D150" i="5"/>
  <c r="J150" i="5" s="1"/>
  <c r="M150" i="5" s="1"/>
  <c r="D151" i="5"/>
  <c r="D152" i="5"/>
  <c r="J152" i="5" s="1"/>
  <c r="M152" i="5" s="1"/>
  <c r="D153" i="5"/>
  <c r="D154" i="5"/>
  <c r="J154" i="5" s="1"/>
  <c r="M154" i="5" s="1"/>
  <c r="D155" i="5"/>
  <c r="D156" i="5"/>
  <c r="J156" i="5" s="1"/>
  <c r="M156" i="5" s="1"/>
  <c r="D157" i="5"/>
  <c r="J157" i="5" s="1"/>
  <c r="M157" i="5" s="1"/>
  <c r="D158" i="5"/>
  <c r="J158" i="5" s="1"/>
  <c r="M158" i="5" s="1"/>
  <c r="D159" i="5"/>
  <c r="D160" i="5"/>
  <c r="J160" i="5" s="1"/>
  <c r="M160" i="5" s="1"/>
  <c r="D161" i="5"/>
  <c r="J161" i="5" s="1"/>
  <c r="M161" i="5" s="1"/>
  <c r="D162" i="5"/>
  <c r="J162" i="5" s="1"/>
  <c r="M162" i="5" s="1"/>
  <c r="D163" i="5"/>
  <c r="D164" i="5"/>
  <c r="J164" i="5" s="1"/>
  <c r="M164" i="5" s="1"/>
  <c r="D165" i="5"/>
  <c r="D166" i="5"/>
  <c r="J166" i="5" s="1"/>
  <c r="M166" i="5" s="1"/>
  <c r="D167" i="5"/>
  <c r="J167" i="5" s="1"/>
  <c r="M167" i="5" s="1"/>
  <c r="D168" i="5"/>
  <c r="J168" i="5" s="1"/>
  <c r="M168" i="5" s="1"/>
  <c r="D169" i="5"/>
  <c r="J169" i="5" s="1"/>
  <c r="M169" i="5" s="1"/>
  <c r="D170" i="5"/>
  <c r="J170" i="5" s="1"/>
  <c r="D171" i="5"/>
  <c r="J171" i="5" s="1"/>
  <c r="M171" i="5" s="1"/>
  <c r="D172" i="5"/>
  <c r="J172" i="5" s="1"/>
  <c r="M172" i="5" s="1"/>
  <c r="D173" i="5"/>
  <c r="D174" i="5"/>
  <c r="D175" i="5"/>
  <c r="D176" i="5"/>
  <c r="D177" i="5"/>
  <c r="G177" i="5" s="1"/>
  <c r="K177" i="5" s="1"/>
  <c r="N177" i="5" s="1"/>
  <c r="D178" i="5"/>
  <c r="J178" i="5" s="1"/>
  <c r="M178" i="5" s="1"/>
  <c r="D179" i="5"/>
  <c r="J179" i="5" s="1"/>
  <c r="M179" i="5" s="1"/>
  <c r="D180" i="5"/>
  <c r="D181" i="5"/>
  <c r="J181" i="5" s="1"/>
  <c r="M181" i="5" s="1"/>
  <c r="D182" i="5"/>
  <c r="D183" i="5"/>
  <c r="D184" i="5"/>
  <c r="D185" i="5"/>
  <c r="D186" i="5"/>
  <c r="J186" i="5" s="1"/>
  <c r="M186" i="5" s="1"/>
  <c r="D187" i="5"/>
  <c r="J187" i="5" s="1"/>
  <c r="M187" i="5" s="1"/>
  <c r="D188" i="5"/>
  <c r="J188" i="5" s="1"/>
  <c r="M188" i="5" s="1"/>
  <c r="D189" i="5"/>
  <c r="D190" i="5"/>
  <c r="D191" i="5"/>
  <c r="D192" i="5"/>
  <c r="J192" i="5" s="1"/>
  <c r="M192" i="5" s="1"/>
  <c r="D193" i="5"/>
  <c r="F193" i="5" s="1"/>
  <c r="D194" i="5"/>
  <c r="J194" i="5" s="1"/>
  <c r="M194" i="5" s="1"/>
  <c r="D195" i="5"/>
  <c r="J195" i="5" s="1"/>
  <c r="D196" i="5"/>
  <c r="J196" i="5" s="1"/>
  <c r="M196" i="5" s="1"/>
  <c r="D197" i="5"/>
  <c r="J197" i="5" s="1"/>
  <c r="M197" i="5" s="1"/>
  <c r="D198" i="5"/>
  <c r="D199" i="5"/>
  <c r="D200" i="5"/>
  <c r="J200" i="5" s="1"/>
  <c r="M200" i="5" s="1"/>
  <c r="D201" i="5"/>
  <c r="D202" i="5"/>
  <c r="J202" i="5" s="1"/>
  <c r="M202" i="5" s="1"/>
  <c r="D203" i="5"/>
  <c r="J203" i="5" s="1"/>
  <c r="M203" i="5" s="1"/>
  <c r="D204" i="5"/>
  <c r="J204" i="5" s="1"/>
  <c r="M204" i="5" s="1"/>
  <c r="D205" i="5"/>
  <c r="D206" i="5"/>
  <c r="D207" i="5"/>
  <c r="D208" i="5"/>
  <c r="D209" i="5"/>
  <c r="D210" i="5"/>
  <c r="J210" i="5" s="1"/>
  <c r="M210" i="5" s="1"/>
  <c r="D211" i="5"/>
  <c r="J211" i="5" s="1"/>
  <c r="M211" i="5" s="1"/>
  <c r="D212" i="5"/>
  <c r="J212" i="5" s="1"/>
  <c r="M212" i="5" s="1"/>
  <c r="D213" i="5"/>
  <c r="J213" i="5" s="1"/>
  <c r="M213" i="5" s="1"/>
  <c r="D214" i="5"/>
  <c r="D215" i="5"/>
  <c r="F215" i="5" s="1"/>
  <c r="D216" i="5"/>
  <c r="D217" i="5"/>
  <c r="D218" i="5"/>
  <c r="J218" i="5" s="1"/>
  <c r="M218" i="5" s="1"/>
  <c r="D219" i="5"/>
  <c r="J219" i="5" s="1"/>
  <c r="M219" i="5" s="1"/>
  <c r="D220" i="5"/>
  <c r="J220" i="5" s="1"/>
  <c r="M220" i="5" s="1"/>
  <c r="D221" i="5"/>
  <c r="D222" i="5"/>
  <c r="D223" i="5"/>
  <c r="D224" i="5"/>
  <c r="J224" i="5" s="1"/>
  <c r="M224" i="5" s="1"/>
  <c r="D225" i="5"/>
  <c r="F225" i="5" s="1"/>
  <c r="D226" i="5"/>
  <c r="J226" i="5" s="1"/>
  <c r="M226" i="5" s="1"/>
  <c r="D227" i="5"/>
  <c r="J227" i="5" s="1"/>
  <c r="M227" i="5" s="1"/>
  <c r="D228" i="5"/>
  <c r="J228" i="5" s="1"/>
  <c r="M228" i="5" s="1"/>
  <c r="D229" i="5"/>
  <c r="J229" i="5" s="1"/>
  <c r="M229" i="5" s="1"/>
  <c r="D230" i="5"/>
  <c r="D231" i="5"/>
  <c r="D232" i="5"/>
  <c r="D233" i="5"/>
  <c r="D234" i="5"/>
  <c r="J234" i="5" s="1"/>
  <c r="M234" i="5" s="1"/>
  <c r="D235" i="5"/>
  <c r="J235" i="5" s="1"/>
  <c r="M235" i="5" s="1"/>
  <c r="D236" i="5"/>
  <c r="J236" i="5" s="1"/>
  <c r="M236" i="5" s="1"/>
  <c r="D237" i="5"/>
  <c r="D238" i="5"/>
  <c r="D239" i="5"/>
  <c r="D240" i="5"/>
  <c r="D241" i="5"/>
  <c r="D242" i="5"/>
  <c r="J242" i="5" s="1"/>
  <c r="M242" i="5" s="1"/>
  <c r="D243" i="5"/>
  <c r="J243" i="5" s="1"/>
  <c r="M243" i="5" s="1"/>
  <c r="D244" i="5"/>
  <c r="J244" i="5" s="1"/>
  <c r="M244" i="5" s="1"/>
  <c r="D245" i="5"/>
  <c r="J245" i="5" s="1"/>
  <c r="M245" i="5" s="1"/>
  <c r="D246" i="5"/>
  <c r="D247" i="5"/>
  <c r="D248" i="5"/>
  <c r="G248" i="5" s="1"/>
  <c r="K248" i="5" s="1"/>
  <c r="N248" i="5" s="1"/>
  <c r="D249" i="5"/>
  <c r="H249" i="5" s="1"/>
  <c r="L249" i="5" s="1"/>
  <c r="O249" i="5" s="1"/>
  <c r="D250" i="5"/>
  <c r="J250" i="5" s="1"/>
  <c r="M250" i="5" s="1"/>
  <c r="D251" i="5"/>
  <c r="G251" i="5" s="1"/>
  <c r="K251" i="5" s="1"/>
  <c r="N251" i="5" s="1"/>
  <c r="D252" i="5"/>
  <c r="D253" i="5"/>
  <c r="J253" i="5" s="1"/>
  <c r="M253" i="5" s="1"/>
  <c r="D254" i="5"/>
  <c r="D255" i="5"/>
  <c r="D256" i="5"/>
  <c r="J256" i="5" s="1"/>
  <c r="M256" i="5" s="1"/>
  <c r="D257" i="5"/>
  <c r="D258" i="5"/>
  <c r="D259" i="5"/>
  <c r="J259" i="5" s="1"/>
  <c r="M259" i="5" s="1"/>
  <c r="D260" i="5"/>
  <c r="J260" i="5" s="1"/>
  <c r="M260" i="5" s="1"/>
  <c r="D261" i="5"/>
  <c r="H261" i="5" s="1"/>
  <c r="L261" i="5" s="1"/>
  <c r="O261" i="5" s="1"/>
  <c r="D262" i="5"/>
  <c r="D263" i="5"/>
  <c r="D264" i="5"/>
  <c r="D265" i="5"/>
  <c r="D266" i="5"/>
  <c r="J266" i="5" s="1"/>
  <c r="M266" i="5" s="1"/>
  <c r="D267" i="5"/>
  <c r="D268" i="5"/>
  <c r="F268" i="5" s="1"/>
  <c r="D269" i="5"/>
  <c r="J269" i="5" s="1"/>
  <c r="M269" i="5" s="1"/>
  <c r="D270" i="5"/>
  <c r="D271" i="5"/>
  <c r="D272" i="5"/>
  <c r="J272" i="5" s="1"/>
  <c r="M272" i="5" s="1"/>
  <c r="D273" i="5"/>
  <c r="D274" i="5"/>
  <c r="D275" i="5"/>
  <c r="J275" i="5" s="1"/>
  <c r="M275" i="5" s="1"/>
  <c r="D276" i="5"/>
  <c r="J276" i="5" s="1"/>
  <c r="M276" i="5" s="1"/>
  <c r="D277" i="5"/>
  <c r="D278" i="5"/>
  <c r="D279" i="5"/>
  <c r="D280" i="5"/>
  <c r="J280" i="5" s="1"/>
  <c r="M280" i="5" s="1"/>
  <c r="D281" i="5"/>
  <c r="D282" i="5"/>
  <c r="D283" i="5"/>
  <c r="D284" i="5"/>
  <c r="J284" i="5" s="1"/>
  <c r="M284" i="5" s="1"/>
  <c r="D285" i="5"/>
  <c r="J285" i="5" s="1"/>
  <c r="M285" i="5" s="1"/>
  <c r="D286" i="5"/>
  <c r="D287" i="5"/>
  <c r="D288" i="5"/>
  <c r="J288" i="5" s="1"/>
  <c r="M288" i="5" s="1"/>
  <c r="D289" i="5"/>
  <c r="H289" i="5" s="1"/>
  <c r="L289" i="5" s="1"/>
  <c r="O289" i="5" s="1"/>
  <c r="D290" i="5"/>
  <c r="D291" i="5"/>
  <c r="J291" i="5" s="1"/>
  <c r="M291" i="5" s="1"/>
  <c r="D292" i="5"/>
  <c r="J292" i="5" s="1"/>
  <c r="M292" i="5" s="1"/>
  <c r="D293" i="5"/>
  <c r="D294" i="5"/>
  <c r="D295" i="5"/>
  <c r="D296" i="5"/>
  <c r="D297" i="5"/>
  <c r="E297" i="5" s="1"/>
  <c r="D298" i="5"/>
  <c r="H298" i="5" s="1"/>
  <c r="L298" i="5" s="1"/>
  <c r="O298" i="5" s="1"/>
  <c r="D299" i="5"/>
  <c r="D300" i="5"/>
  <c r="G300" i="5" s="1"/>
  <c r="K300" i="5" s="1"/>
  <c r="N300" i="5" s="1"/>
  <c r="D301" i="5"/>
  <c r="J301" i="5" s="1"/>
  <c r="M301" i="5" s="1"/>
  <c r="D302" i="5"/>
  <c r="D303" i="5"/>
  <c r="D304" i="5"/>
  <c r="D305" i="5"/>
  <c r="H305" i="5" s="1"/>
  <c r="L305" i="5" s="1"/>
  <c r="O305" i="5" s="1"/>
  <c r="D306" i="5"/>
  <c r="D307" i="5"/>
  <c r="J307" i="5" s="1"/>
  <c r="M307" i="5" s="1"/>
  <c r="D308" i="5"/>
  <c r="J308" i="5" s="1"/>
  <c r="M308" i="5" s="1"/>
  <c r="D309" i="5"/>
  <c r="J309" i="5" s="1"/>
  <c r="M309" i="5" s="1"/>
  <c r="D310" i="5"/>
  <c r="D311" i="5"/>
  <c r="D312" i="5"/>
  <c r="D313" i="5"/>
  <c r="D314" i="5"/>
  <c r="D315" i="5"/>
  <c r="J315" i="5" s="1"/>
  <c r="M315" i="5" s="1"/>
  <c r="D316" i="5"/>
  <c r="D317" i="5"/>
  <c r="J317" i="5" s="1"/>
  <c r="M317" i="5" s="1"/>
  <c r="D318" i="5"/>
  <c r="D319" i="5"/>
  <c r="F319" i="5" s="1"/>
  <c r="D320" i="5"/>
  <c r="D321" i="5"/>
  <c r="D322" i="5"/>
  <c r="D323" i="5"/>
  <c r="E323" i="5" s="1"/>
  <c r="D324" i="5"/>
  <c r="D325" i="5"/>
  <c r="J325" i="5" s="1"/>
  <c r="M325" i="5" s="1"/>
  <c r="D326" i="5"/>
  <c r="D327" i="5"/>
  <c r="D328" i="5"/>
  <c r="D329" i="5"/>
  <c r="D330" i="5"/>
  <c r="D331" i="5"/>
  <c r="D332" i="5"/>
  <c r="J332" i="5" s="1"/>
  <c r="M332" i="5" s="1"/>
  <c r="D333" i="5"/>
  <c r="J333" i="5" s="1"/>
  <c r="M333" i="5" s="1"/>
  <c r="D334" i="5"/>
  <c r="D335" i="5"/>
  <c r="D336" i="5"/>
  <c r="H336" i="5" s="1"/>
  <c r="L336" i="5" s="1"/>
  <c r="O336" i="5" s="1"/>
  <c r="D337" i="5"/>
  <c r="D338" i="5"/>
  <c r="D339" i="5"/>
  <c r="D340" i="5"/>
  <c r="J340" i="5" s="1"/>
  <c r="M340" i="5" s="1"/>
  <c r="D341" i="5"/>
  <c r="D342" i="5"/>
  <c r="D343" i="5"/>
  <c r="D344" i="5"/>
  <c r="D345" i="5"/>
  <c r="D346" i="5"/>
  <c r="D347" i="5"/>
  <c r="J347" i="5" s="1"/>
  <c r="M347" i="5" s="1"/>
  <c r="D348" i="5"/>
  <c r="D349" i="5"/>
  <c r="E349" i="5" s="1"/>
  <c r="D350" i="5"/>
  <c r="E350" i="5" s="1"/>
  <c r="D351" i="5"/>
  <c r="D352" i="5"/>
  <c r="G352" i="5" s="1"/>
  <c r="K352" i="5" s="1"/>
  <c r="N352" i="5" s="1"/>
  <c r="D353" i="5"/>
  <c r="D354" i="5"/>
  <c r="E354" i="5" s="1"/>
  <c r="D355" i="5"/>
  <c r="J355" i="5" s="1"/>
  <c r="M355" i="5" s="1"/>
  <c r="D356" i="5"/>
  <c r="J356" i="5" s="1"/>
  <c r="M356" i="5" s="1"/>
  <c r="D357" i="5"/>
  <c r="J357" i="5" s="1"/>
  <c r="M357" i="5" s="1"/>
  <c r="D358" i="5"/>
  <c r="D359" i="5"/>
  <c r="D360" i="5"/>
  <c r="J360" i="5" s="1"/>
  <c r="M360" i="5" s="1"/>
  <c r="D361" i="5"/>
  <c r="D362" i="5"/>
  <c r="G362" i="5" s="1"/>
  <c r="K362" i="5" s="1"/>
  <c r="N362" i="5" s="1"/>
  <c r="D363" i="5"/>
  <c r="D364" i="5"/>
  <c r="G364" i="5" s="1"/>
  <c r="K364" i="5" s="1"/>
  <c r="N364" i="5" s="1"/>
  <c r="D365" i="5"/>
  <c r="J365" i="5" s="1"/>
  <c r="M365" i="5" s="1"/>
  <c r="D366" i="5"/>
  <c r="D367" i="5"/>
  <c r="F367" i="5" s="1"/>
  <c r="D368" i="5"/>
  <c r="D369" i="5"/>
  <c r="F369" i="5" s="1"/>
  <c r="D370" i="5"/>
  <c r="D371" i="5"/>
  <c r="J371" i="5" s="1"/>
  <c r="M371" i="5" s="1"/>
  <c r="D372" i="5"/>
  <c r="J372" i="5" s="1"/>
  <c r="M372" i="5" s="1"/>
  <c r="D373" i="5"/>
  <c r="J373" i="5" s="1"/>
  <c r="M373" i="5" s="1"/>
  <c r="D374" i="5"/>
  <c r="D375" i="5"/>
  <c r="D376" i="5"/>
  <c r="D377" i="5"/>
  <c r="D378" i="5"/>
  <c r="D379" i="5"/>
  <c r="J379" i="5" s="1"/>
  <c r="M379" i="5" s="1"/>
  <c r="D380" i="5"/>
  <c r="D381" i="5"/>
  <c r="J381" i="5" s="1"/>
  <c r="M381" i="5" s="1"/>
  <c r="D382" i="5"/>
  <c r="E382" i="5" s="1"/>
  <c r="D383" i="5"/>
  <c r="D384" i="5"/>
  <c r="J384" i="5" s="1"/>
  <c r="M384" i="5" s="1"/>
  <c r="D385" i="5"/>
  <c r="D386" i="5"/>
  <c r="E386" i="5" s="1"/>
  <c r="D387" i="5"/>
  <c r="E387" i="5" s="1"/>
  <c r="D388" i="5"/>
  <c r="D389" i="5"/>
  <c r="J389" i="5" s="1"/>
  <c r="M389" i="5" s="1"/>
  <c r="D390" i="5"/>
  <c r="D391" i="5"/>
  <c r="D392" i="5"/>
  <c r="G392" i="5" s="1"/>
  <c r="K392" i="5" s="1"/>
  <c r="N392" i="5" s="1"/>
  <c r="D393" i="5"/>
  <c r="D394" i="5"/>
  <c r="E394" i="5" s="1"/>
  <c r="D395" i="5"/>
  <c r="D396" i="5"/>
  <c r="J396" i="5" s="1"/>
  <c r="M396" i="5" s="1"/>
  <c r="D397" i="5"/>
  <c r="D398" i="5"/>
  <c r="D399" i="5"/>
  <c r="F399" i="5" s="1"/>
  <c r="D400" i="5"/>
  <c r="D401" i="5"/>
  <c r="F401" i="5" s="1"/>
  <c r="D402" i="5"/>
  <c r="D403" i="5"/>
  <c r="D404" i="5"/>
  <c r="J404" i="5" s="1"/>
  <c r="M404" i="5" s="1"/>
  <c r="D405" i="5"/>
  <c r="D406" i="5"/>
  <c r="D407" i="5"/>
  <c r="E407" i="5" s="1"/>
  <c r="D408" i="5"/>
  <c r="J408" i="5" s="1"/>
  <c r="D409" i="5"/>
  <c r="F409" i="5" s="1"/>
  <c r="D410" i="5"/>
  <c r="H410" i="5" s="1"/>
  <c r="L410" i="5" s="1"/>
  <c r="O410" i="5" s="1"/>
  <c r="D411" i="5"/>
  <c r="E411" i="5" s="1"/>
  <c r="D412" i="5"/>
  <c r="J412" i="5" s="1"/>
  <c r="M412" i="5" s="1"/>
  <c r="D413" i="5"/>
  <c r="E413" i="5" s="1"/>
  <c r="D414" i="5"/>
  <c r="E414" i="5" s="1"/>
  <c r="D415" i="5"/>
  <c r="D416" i="5"/>
  <c r="J416" i="5" s="1"/>
  <c r="D417" i="5"/>
  <c r="E417" i="5" s="1"/>
  <c r="D418" i="5"/>
  <c r="E418" i="5" s="1"/>
  <c r="D419" i="5"/>
  <c r="E419" i="5" s="1"/>
  <c r="D420" i="5"/>
  <c r="J420" i="5" s="1"/>
  <c r="M420" i="5" s="1"/>
  <c r="D421" i="5"/>
  <c r="E421" i="5" s="1"/>
  <c r="D422" i="5"/>
  <c r="E422" i="5" s="1"/>
  <c r="D423" i="5"/>
  <c r="D424" i="5"/>
  <c r="J424" i="5" s="1"/>
  <c r="M424" i="5" s="1"/>
  <c r="D425" i="5"/>
  <c r="D426" i="5"/>
  <c r="E426" i="5" s="1"/>
  <c r="D427" i="5"/>
  <c r="H427" i="5" s="1"/>
  <c r="L427" i="5" s="1"/>
  <c r="O427" i="5" s="1"/>
  <c r="D428" i="5"/>
  <c r="J428" i="5" s="1"/>
  <c r="M428" i="5" s="1"/>
  <c r="D429" i="5"/>
  <c r="D430" i="5"/>
  <c r="E430" i="5" s="1"/>
  <c r="D431" i="5"/>
  <c r="E431" i="5" s="1"/>
  <c r="D432" i="5"/>
  <c r="J432" i="5" s="1"/>
  <c r="M432" i="5" s="1"/>
  <c r="D433" i="5"/>
  <c r="F433" i="5" s="1"/>
  <c r="D434" i="5"/>
  <c r="E434" i="5" s="1"/>
  <c r="D435" i="5"/>
  <c r="E435" i="5" s="1"/>
  <c r="D436" i="5"/>
  <c r="J436" i="5" s="1"/>
  <c r="M436" i="5" s="1"/>
  <c r="D437" i="5"/>
  <c r="E437" i="5" s="1"/>
  <c r="D438" i="5"/>
  <c r="D439" i="5"/>
  <c r="E439" i="5" s="1"/>
  <c r="D440" i="5"/>
  <c r="J440" i="5" s="1"/>
  <c r="M440" i="5" s="1"/>
  <c r="D441" i="5"/>
  <c r="F441" i="5" s="1"/>
  <c r="D442" i="5"/>
  <c r="D443" i="5"/>
  <c r="E443" i="5" s="1"/>
  <c r="D444" i="5"/>
  <c r="J444" i="5" s="1"/>
  <c r="M444" i="5" s="1"/>
  <c r="D445" i="5"/>
  <c r="E445" i="5" s="1"/>
  <c r="D446" i="5"/>
  <c r="D447" i="5"/>
  <c r="E447" i="5" s="1"/>
  <c r="D448" i="5"/>
  <c r="J448" i="5" s="1"/>
  <c r="M448" i="5" s="1"/>
  <c r="D449" i="5"/>
  <c r="F449" i="5" s="1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2" i="5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2" i="1"/>
  <c r="C2" i="1"/>
  <c r="F3" i="1"/>
  <c r="I3" i="1" s="1"/>
  <c r="N3" i="1" s="1"/>
  <c r="G3" i="1"/>
  <c r="J3" i="1" s="1"/>
  <c r="F4" i="1"/>
  <c r="I4" i="1" s="1"/>
  <c r="N4" i="1" s="1"/>
  <c r="G4" i="1"/>
  <c r="J4" i="1" s="1"/>
  <c r="F5" i="1"/>
  <c r="I5" i="1" s="1"/>
  <c r="N5" i="1" s="1"/>
  <c r="G5" i="1"/>
  <c r="J5" i="1" s="1"/>
  <c r="F6" i="1"/>
  <c r="I6" i="1" s="1"/>
  <c r="N6" i="1" s="1"/>
  <c r="G6" i="1"/>
  <c r="J6" i="1" s="1"/>
  <c r="F7" i="1"/>
  <c r="I7" i="1" s="1"/>
  <c r="N7" i="1" s="1"/>
  <c r="G7" i="1"/>
  <c r="J7" i="1" s="1"/>
  <c r="F8" i="1"/>
  <c r="I8" i="1" s="1"/>
  <c r="N8" i="1" s="1"/>
  <c r="G8" i="1"/>
  <c r="J8" i="1" s="1"/>
  <c r="F9" i="1"/>
  <c r="I9" i="1" s="1"/>
  <c r="N9" i="1" s="1"/>
  <c r="G9" i="1"/>
  <c r="J9" i="1" s="1"/>
  <c r="F10" i="1"/>
  <c r="I10" i="1" s="1"/>
  <c r="N10" i="1" s="1"/>
  <c r="G10" i="1"/>
  <c r="J10" i="1" s="1"/>
  <c r="F11" i="1"/>
  <c r="I11" i="1" s="1"/>
  <c r="N11" i="1" s="1"/>
  <c r="G11" i="1"/>
  <c r="J11" i="1" s="1"/>
  <c r="F12" i="1"/>
  <c r="I12" i="1" s="1"/>
  <c r="N12" i="1" s="1"/>
  <c r="G12" i="1"/>
  <c r="J12" i="1" s="1"/>
  <c r="F13" i="1"/>
  <c r="I13" i="1" s="1"/>
  <c r="N13" i="1" s="1"/>
  <c r="G13" i="1"/>
  <c r="J13" i="1" s="1"/>
  <c r="F14" i="1"/>
  <c r="I14" i="1" s="1"/>
  <c r="N14" i="1" s="1"/>
  <c r="G14" i="1"/>
  <c r="J14" i="1" s="1"/>
  <c r="F15" i="1"/>
  <c r="I15" i="1" s="1"/>
  <c r="N15" i="1" s="1"/>
  <c r="G15" i="1"/>
  <c r="J15" i="1" s="1"/>
  <c r="F16" i="1"/>
  <c r="I16" i="1" s="1"/>
  <c r="N16" i="1" s="1"/>
  <c r="G16" i="1"/>
  <c r="J16" i="1" s="1"/>
  <c r="F17" i="1"/>
  <c r="I17" i="1" s="1"/>
  <c r="N17" i="1" s="1"/>
  <c r="G17" i="1"/>
  <c r="J17" i="1" s="1"/>
  <c r="F18" i="1"/>
  <c r="I18" i="1" s="1"/>
  <c r="N18" i="1" s="1"/>
  <c r="G18" i="1"/>
  <c r="J18" i="1" s="1"/>
  <c r="F19" i="1"/>
  <c r="I19" i="1" s="1"/>
  <c r="N19" i="1" s="1"/>
  <c r="G19" i="1"/>
  <c r="J19" i="1" s="1"/>
  <c r="F20" i="1"/>
  <c r="I20" i="1" s="1"/>
  <c r="N20" i="1" s="1"/>
  <c r="G20" i="1"/>
  <c r="J20" i="1" s="1"/>
  <c r="F21" i="1"/>
  <c r="I21" i="1" s="1"/>
  <c r="N21" i="1" s="1"/>
  <c r="G21" i="1"/>
  <c r="J21" i="1" s="1"/>
  <c r="F22" i="1"/>
  <c r="I22" i="1" s="1"/>
  <c r="N22" i="1" s="1"/>
  <c r="G22" i="1"/>
  <c r="J22" i="1" s="1"/>
  <c r="F23" i="1"/>
  <c r="I23" i="1" s="1"/>
  <c r="N23" i="1" s="1"/>
  <c r="G23" i="1"/>
  <c r="J23" i="1" s="1"/>
  <c r="F24" i="1"/>
  <c r="I24" i="1" s="1"/>
  <c r="N24" i="1" s="1"/>
  <c r="G24" i="1"/>
  <c r="J24" i="1" s="1"/>
  <c r="F25" i="1"/>
  <c r="I25" i="1" s="1"/>
  <c r="N25" i="1" s="1"/>
  <c r="G25" i="1"/>
  <c r="J25" i="1" s="1"/>
  <c r="F26" i="1"/>
  <c r="I26" i="1" s="1"/>
  <c r="N26" i="1" s="1"/>
  <c r="G26" i="1"/>
  <c r="J26" i="1" s="1"/>
  <c r="F27" i="1"/>
  <c r="I27" i="1" s="1"/>
  <c r="N27" i="1" s="1"/>
  <c r="G27" i="1"/>
  <c r="J27" i="1" s="1"/>
  <c r="F28" i="1"/>
  <c r="I28" i="1" s="1"/>
  <c r="N28" i="1" s="1"/>
  <c r="G28" i="1"/>
  <c r="J28" i="1" s="1"/>
  <c r="F29" i="1"/>
  <c r="I29" i="1" s="1"/>
  <c r="N29" i="1" s="1"/>
  <c r="G29" i="1"/>
  <c r="J29" i="1" s="1"/>
  <c r="F30" i="1"/>
  <c r="I30" i="1" s="1"/>
  <c r="N30" i="1" s="1"/>
  <c r="G30" i="1"/>
  <c r="J30" i="1" s="1"/>
  <c r="F31" i="1"/>
  <c r="I31" i="1" s="1"/>
  <c r="N31" i="1" s="1"/>
  <c r="G31" i="1"/>
  <c r="J31" i="1" s="1"/>
  <c r="F32" i="1"/>
  <c r="I32" i="1" s="1"/>
  <c r="N32" i="1" s="1"/>
  <c r="G32" i="1"/>
  <c r="J32" i="1" s="1"/>
  <c r="F33" i="1"/>
  <c r="I33" i="1" s="1"/>
  <c r="N33" i="1" s="1"/>
  <c r="G33" i="1"/>
  <c r="J33" i="1" s="1"/>
  <c r="F34" i="1"/>
  <c r="I34" i="1" s="1"/>
  <c r="N34" i="1" s="1"/>
  <c r="G34" i="1"/>
  <c r="J34" i="1" s="1"/>
  <c r="F35" i="1"/>
  <c r="I35" i="1" s="1"/>
  <c r="N35" i="1" s="1"/>
  <c r="G35" i="1"/>
  <c r="J35" i="1" s="1"/>
  <c r="F36" i="1"/>
  <c r="I36" i="1" s="1"/>
  <c r="N36" i="1" s="1"/>
  <c r="G36" i="1"/>
  <c r="J36" i="1" s="1"/>
  <c r="F37" i="1"/>
  <c r="I37" i="1" s="1"/>
  <c r="N37" i="1" s="1"/>
  <c r="G37" i="1"/>
  <c r="J37" i="1" s="1"/>
  <c r="F38" i="1"/>
  <c r="I38" i="1" s="1"/>
  <c r="N38" i="1" s="1"/>
  <c r="G38" i="1"/>
  <c r="J38" i="1" s="1"/>
  <c r="F39" i="1"/>
  <c r="I39" i="1" s="1"/>
  <c r="N39" i="1" s="1"/>
  <c r="G39" i="1"/>
  <c r="J39" i="1" s="1"/>
  <c r="F40" i="1"/>
  <c r="I40" i="1" s="1"/>
  <c r="N40" i="1" s="1"/>
  <c r="G40" i="1"/>
  <c r="J40" i="1" s="1"/>
  <c r="F41" i="1"/>
  <c r="I41" i="1" s="1"/>
  <c r="N41" i="1" s="1"/>
  <c r="G41" i="1"/>
  <c r="J41" i="1" s="1"/>
  <c r="F42" i="1"/>
  <c r="I42" i="1" s="1"/>
  <c r="N42" i="1" s="1"/>
  <c r="G42" i="1"/>
  <c r="J42" i="1" s="1"/>
  <c r="F43" i="1"/>
  <c r="I43" i="1" s="1"/>
  <c r="N43" i="1" s="1"/>
  <c r="G43" i="1"/>
  <c r="J43" i="1" s="1"/>
  <c r="F44" i="1"/>
  <c r="I44" i="1" s="1"/>
  <c r="N44" i="1" s="1"/>
  <c r="G44" i="1"/>
  <c r="J44" i="1" s="1"/>
  <c r="F45" i="1"/>
  <c r="I45" i="1" s="1"/>
  <c r="N45" i="1" s="1"/>
  <c r="G45" i="1"/>
  <c r="J45" i="1" s="1"/>
  <c r="F46" i="1"/>
  <c r="I46" i="1" s="1"/>
  <c r="N46" i="1" s="1"/>
  <c r="G46" i="1"/>
  <c r="J46" i="1" s="1"/>
  <c r="F47" i="1"/>
  <c r="I47" i="1" s="1"/>
  <c r="N47" i="1" s="1"/>
  <c r="G47" i="1"/>
  <c r="J47" i="1" s="1"/>
  <c r="F48" i="1"/>
  <c r="I48" i="1" s="1"/>
  <c r="N48" i="1" s="1"/>
  <c r="G48" i="1"/>
  <c r="J48" i="1" s="1"/>
  <c r="F49" i="1"/>
  <c r="I49" i="1" s="1"/>
  <c r="N49" i="1" s="1"/>
  <c r="G49" i="1"/>
  <c r="J49" i="1" s="1"/>
  <c r="F50" i="1"/>
  <c r="I50" i="1" s="1"/>
  <c r="N50" i="1" s="1"/>
  <c r="G50" i="1"/>
  <c r="J50" i="1" s="1"/>
  <c r="F51" i="1"/>
  <c r="I51" i="1" s="1"/>
  <c r="N51" i="1" s="1"/>
  <c r="G51" i="1"/>
  <c r="J51" i="1" s="1"/>
  <c r="F52" i="1"/>
  <c r="I52" i="1" s="1"/>
  <c r="N52" i="1" s="1"/>
  <c r="G52" i="1"/>
  <c r="J52" i="1" s="1"/>
  <c r="F53" i="1"/>
  <c r="I53" i="1" s="1"/>
  <c r="N53" i="1" s="1"/>
  <c r="G53" i="1"/>
  <c r="J53" i="1" s="1"/>
  <c r="F54" i="1"/>
  <c r="I54" i="1" s="1"/>
  <c r="N54" i="1" s="1"/>
  <c r="G54" i="1"/>
  <c r="J54" i="1" s="1"/>
  <c r="F55" i="1"/>
  <c r="I55" i="1" s="1"/>
  <c r="N55" i="1" s="1"/>
  <c r="G55" i="1"/>
  <c r="J55" i="1" s="1"/>
  <c r="F56" i="1"/>
  <c r="I56" i="1" s="1"/>
  <c r="N56" i="1" s="1"/>
  <c r="G56" i="1"/>
  <c r="J56" i="1" s="1"/>
  <c r="F57" i="1"/>
  <c r="I57" i="1" s="1"/>
  <c r="N57" i="1" s="1"/>
  <c r="G57" i="1"/>
  <c r="J57" i="1" s="1"/>
  <c r="F58" i="1"/>
  <c r="I58" i="1" s="1"/>
  <c r="N58" i="1" s="1"/>
  <c r="G58" i="1"/>
  <c r="J58" i="1" s="1"/>
  <c r="F59" i="1"/>
  <c r="I59" i="1" s="1"/>
  <c r="N59" i="1" s="1"/>
  <c r="G59" i="1"/>
  <c r="J59" i="1" s="1"/>
  <c r="F60" i="1"/>
  <c r="I60" i="1" s="1"/>
  <c r="N60" i="1" s="1"/>
  <c r="G60" i="1"/>
  <c r="J60" i="1" s="1"/>
  <c r="F61" i="1"/>
  <c r="I61" i="1" s="1"/>
  <c r="N61" i="1" s="1"/>
  <c r="G61" i="1"/>
  <c r="J61" i="1" s="1"/>
  <c r="F62" i="1"/>
  <c r="I62" i="1" s="1"/>
  <c r="N62" i="1" s="1"/>
  <c r="G62" i="1"/>
  <c r="J62" i="1" s="1"/>
  <c r="F63" i="1"/>
  <c r="I63" i="1" s="1"/>
  <c r="N63" i="1" s="1"/>
  <c r="G63" i="1"/>
  <c r="J63" i="1" s="1"/>
  <c r="F64" i="1"/>
  <c r="I64" i="1" s="1"/>
  <c r="N64" i="1" s="1"/>
  <c r="G64" i="1"/>
  <c r="J64" i="1" s="1"/>
  <c r="F65" i="1"/>
  <c r="I65" i="1" s="1"/>
  <c r="N65" i="1" s="1"/>
  <c r="G65" i="1"/>
  <c r="J65" i="1" s="1"/>
  <c r="F66" i="1"/>
  <c r="I66" i="1" s="1"/>
  <c r="N66" i="1" s="1"/>
  <c r="G66" i="1"/>
  <c r="J66" i="1" s="1"/>
  <c r="F67" i="1"/>
  <c r="I67" i="1" s="1"/>
  <c r="N67" i="1" s="1"/>
  <c r="G67" i="1"/>
  <c r="J67" i="1" s="1"/>
  <c r="F68" i="1"/>
  <c r="I68" i="1" s="1"/>
  <c r="N68" i="1" s="1"/>
  <c r="G68" i="1"/>
  <c r="J68" i="1" s="1"/>
  <c r="F69" i="1"/>
  <c r="I69" i="1" s="1"/>
  <c r="N69" i="1" s="1"/>
  <c r="G69" i="1"/>
  <c r="J69" i="1" s="1"/>
  <c r="F70" i="1"/>
  <c r="I70" i="1" s="1"/>
  <c r="N70" i="1" s="1"/>
  <c r="G70" i="1"/>
  <c r="J70" i="1" s="1"/>
  <c r="F71" i="1"/>
  <c r="I71" i="1" s="1"/>
  <c r="N71" i="1" s="1"/>
  <c r="G71" i="1"/>
  <c r="J71" i="1" s="1"/>
  <c r="F72" i="1"/>
  <c r="I72" i="1" s="1"/>
  <c r="N72" i="1" s="1"/>
  <c r="G72" i="1"/>
  <c r="J72" i="1" s="1"/>
  <c r="F73" i="1"/>
  <c r="I73" i="1" s="1"/>
  <c r="N73" i="1" s="1"/>
  <c r="G73" i="1"/>
  <c r="J73" i="1" s="1"/>
  <c r="F74" i="1"/>
  <c r="I74" i="1" s="1"/>
  <c r="N74" i="1" s="1"/>
  <c r="G74" i="1"/>
  <c r="J74" i="1" s="1"/>
  <c r="F75" i="1"/>
  <c r="I75" i="1" s="1"/>
  <c r="N75" i="1" s="1"/>
  <c r="G75" i="1"/>
  <c r="J75" i="1" s="1"/>
  <c r="F76" i="1"/>
  <c r="I76" i="1" s="1"/>
  <c r="N76" i="1" s="1"/>
  <c r="G76" i="1"/>
  <c r="J76" i="1" s="1"/>
  <c r="F77" i="1"/>
  <c r="I77" i="1" s="1"/>
  <c r="N77" i="1" s="1"/>
  <c r="G77" i="1"/>
  <c r="J77" i="1" s="1"/>
  <c r="F78" i="1"/>
  <c r="I78" i="1" s="1"/>
  <c r="N78" i="1" s="1"/>
  <c r="G78" i="1"/>
  <c r="J78" i="1" s="1"/>
  <c r="F79" i="1"/>
  <c r="I79" i="1" s="1"/>
  <c r="N79" i="1" s="1"/>
  <c r="G79" i="1"/>
  <c r="J79" i="1" s="1"/>
  <c r="F80" i="1"/>
  <c r="I80" i="1" s="1"/>
  <c r="N80" i="1" s="1"/>
  <c r="G80" i="1"/>
  <c r="J80" i="1" s="1"/>
  <c r="F81" i="1"/>
  <c r="I81" i="1" s="1"/>
  <c r="N81" i="1" s="1"/>
  <c r="G81" i="1"/>
  <c r="J81" i="1" s="1"/>
  <c r="F82" i="1"/>
  <c r="I82" i="1" s="1"/>
  <c r="N82" i="1" s="1"/>
  <c r="G82" i="1"/>
  <c r="J82" i="1" s="1"/>
  <c r="F83" i="1"/>
  <c r="I83" i="1" s="1"/>
  <c r="N83" i="1" s="1"/>
  <c r="G83" i="1"/>
  <c r="J83" i="1" s="1"/>
  <c r="F84" i="1"/>
  <c r="I84" i="1" s="1"/>
  <c r="N84" i="1" s="1"/>
  <c r="G84" i="1"/>
  <c r="J84" i="1" s="1"/>
  <c r="F85" i="1"/>
  <c r="I85" i="1" s="1"/>
  <c r="N85" i="1" s="1"/>
  <c r="G85" i="1"/>
  <c r="J85" i="1" s="1"/>
  <c r="F86" i="1"/>
  <c r="I86" i="1" s="1"/>
  <c r="N86" i="1" s="1"/>
  <c r="G86" i="1"/>
  <c r="J86" i="1" s="1"/>
  <c r="F87" i="1"/>
  <c r="I87" i="1" s="1"/>
  <c r="N87" i="1" s="1"/>
  <c r="G87" i="1"/>
  <c r="J87" i="1" s="1"/>
  <c r="F88" i="1"/>
  <c r="I88" i="1" s="1"/>
  <c r="N88" i="1" s="1"/>
  <c r="G88" i="1"/>
  <c r="J88" i="1" s="1"/>
  <c r="F89" i="1"/>
  <c r="I89" i="1" s="1"/>
  <c r="N89" i="1" s="1"/>
  <c r="G89" i="1"/>
  <c r="J89" i="1" s="1"/>
  <c r="F90" i="1"/>
  <c r="I90" i="1" s="1"/>
  <c r="N90" i="1" s="1"/>
  <c r="G90" i="1"/>
  <c r="J90" i="1" s="1"/>
  <c r="F91" i="1"/>
  <c r="I91" i="1" s="1"/>
  <c r="N91" i="1" s="1"/>
  <c r="G91" i="1"/>
  <c r="J91" i="1" s="1"/>
  <c r="F92" i="1"/>
  <c r="I92" i="1" s="1"/>
  <c r="N92" i="1" s="1"/>
  <c r="G92" i="1"/>
  <c r="J92" i="1" s="1"/>
  <c r="F93" i="1"/>
  <c r="I93" i="1" s="1"/>
  <c r="N93" i="1" s="1"/>
  <c r="G93" i="1"/>
  <c r="J93" i="1" s="1"/>
  <c r="F94" i="1"/>
  <c r="I94" i="1" s="1"/>
  <c r="N94" i="1" s="1"/>
  <c r="G94" i="1"/>
  <c r="J94" i="1" s="1"/>
  <c r="F95" i="1"/>
  <c r="I95" i="1" s="1"/>
  <c r="N95" i="1" s="1"/>
  <c r="G95" i="1"/>
  <c r="J95" i="1" s="1"/>
  <c r="F96" i="1"/>
  <c r="I96" i="1" s="1"/>
  <c r="N96" i="1" s="1"/>
  <c r="G96" i="1"/>
  <c r="J96" i="1" s="1"/>
  <c r="F97" i="1"/>
  <c r="I97" i="1" s="1"/>
  <c r="N97" i="1" s="1"/>
  <c r="G97" i="1"/>
  <c r="J97" i="1" s="1"/>
  <c r="F98" i="1"/>
  <c r="I98" i="1" s="1"/>
  <c r="N98" i="1" s="1"/>
  <c r="G98" i="1"/>
  <c r="J98" i="1" s="1"/>
  <c r="F99" i="1"/>
  <c r="I99" i="1" s="1"/>
  <c r="N99" i="1" s="1"/>
  <c r="G99" i="1"/>
  <c r="J99" i="1" s="1"/>
  <c r="F100" i="1"/>
  <c r="I100" i="1" s="1"/>
  <c r="N100" i="1" s="1"/>
  <c r="G100" i="1"/>
  <c r="J100" i="1" s="1"/>
  <c r="F101" i="1"/>
  <c r="I101" i="1" s="1"/>
  <c r="N101" i="1" s="1"/>
  <c r="G101" i="1"/>
  <c r="J101" i="1" s="1"/>
  <c r="F102" i="1"/>
  <c r="I102" i="1" s="1"/>
  <c r="N102" i="1" s="1"/>
  <c r="G102" i="1"/>
  <c r="J102" i="1" s="1"/>
  <c r="F103" i="1"/>
  <c r="I103" i="1" s="1"/>
  <c r="N103" i="1" s="1"/>
  <c r="G103" i="1"/>
  <c r="J103" i="1" s="1"/>
  <c r="F104" i="1"/>
  <c r="I104" i="1" s="1"/>
  <c r="N104" i="1" s="1"/>
  <c r="G104" i="1"/>
  <c r="J104" i="1" s="1"/>
  <c r="F105" i="1"/>
  <c r="I105" i="1" s="1"/>
  <c r="N105" i="1" s="1"/>
  <c r="G105" i="1"/>
  <c r="J105" i="1" s="1"/>
  <c r="F106" i="1"/>
  <c r="I106" i="1" s="1"/>
  <c r="N106" i="1" s="1"/>
  <c r="G106" i="1"/>
  <c r="J106" i="1" s="1"/>
  <c r="F107" i="1"/>
  <c r="I107" i="1" s="1"/>
  <c r="N107" i="1" s="1"/>
  <c r="G107" i="1"/>
  <c r="J107" i="1" s="1"/>
  <c r="F108" i="1"/>
  <c r="I108" i="1" s="1"/>
  <c r="N108" i="1" s="1"/>
  <c r="G108" i="1"/>
  <c r="J108" i="1" s="1"/>
  <c r="F109" i="1"/>
  <c r="I109" i="1" s="1"/>
  <c r="N109" i="1" s="1"/>
  <c r="G109" i="1"/>
  <c r="J109" i="1" s="1"/>
  <c r="F110" i="1"/>
  <c r="I110" i="1" s="1"/>
  <c r="N110" i="1" s="1"/>
  <c r="G110" i="1"/>
  <c r="J110" i="1" s="1"/>
  <c r="F111" i="1"/>
  <c r="I111" i="1" s="1"/>
  <c r="N111" i="1" s="1"/>
  <c r="G111" i="1"/>
  <c r="J111" i="1" s="1"/>
  <c r="F112" i="1"/>
  <c r="I112" i="1" s="1"/>
  <c r="N112" i="1" s="1"/>
  <c r="G112" i="1"/>
  <c r="J112" i="1" s="1"/>
  <c r="F113" i="1"/>
  <c r="I113" i="1" s="1"/>
  <c r="N113" i="1" s="1"/>
  <c r="G113" i="1"/>
  <c r="J113" i="1" s="1"/>
  <c r="F114" i="1"/>
  <c r="I114" i="1" s="1"/>
  <c r="N114" i="1" s="1"/>
  <c r="G114" i="1"/>
  <c r="J114" i="1" s="1"/>
  <c r="F115" i="1"/>
  <c r="I115" i="1" s="1"/>
  <c r="N115" i="1" s="1"/>
  <c r="G115" i="1"/>
  <c r="J115" i="1" s="1"/>
  <c r="F116" i="1"/>
  <c r="I116" i="1" s="1"/>
  <c r="N116" i="1" s="1"/>
  <c r="G116" i="1"/>
  <c r="J116" i="1" s="1"/>
  <c r="F117" i="1"/>
  <c r="I117" i="1" s="1"/>
  <c r="N117" i="1" s="1"/>
  <c r="G117" i="1"/>
  <c r="J117" i="1" s="1"/>
  <c r="F118" i="1"/>
  <c r="I118" i="1" s="1"/>
  <c r="N118" i="1" s="1"/>
  <c r="G118" i="1"/>
  <c r="J118" i="1" s="1"/>
  <c r="F119" i="1"/>
  <c r="I119" i="1" s="1"/>
  <c r="N119" i="1" s="1"/>
  <c r="G119" i="1"/>
  <c r="J119" i="1" s="1"/>
  <c r="F120" i="1"/>
  <c r="I120" i="1" s="1"/>
  <c r="N120" i="1" s="1"/>
  <c r="G120" i="1"/>
  <c r="J120" i="1" s="1"/>
  <c r="F121" i="1"/>
  <c r="I121" i="1" s="1"/>
  <c r="N121" i="1" s="1"/>
  <c r="G121" i="1"/>
  <c r="J121" i="1" s="1"/>
  <c r="F122" i="1"/>
  <c r="I122" i="1" s="1"/>
  <c r="N122" i="1" s="1"/>
  <c r="G122" i="1"/>
  <c r="J122" i="1" s="1"/>
  <c r="F123" i="1"/>
  <c r="I123" i="1" s="1"/>
  <c r="N123" i="1" s="1"/>
  <c r="G123" i="1"/>
  <c r="J123" i="1" s="1"/>
  <c r="F124" i="1"/>
  <c r="I124" i="1" s="1"/>
  <c r="N124" i="1" s="1"/>
  <c r="G124" i="1"/>
  <c r="J124" i="1" s="1"/>
  <c r="F125" i="1"/>
  <c r="I125" i="1" s="1"/>
  <c r="N125" i="1" s="1"/>
  <c r="G125" i="1"/>
  <c r="J125" i="1" s="1"/>
  <c r="F126" i="1"/>
  <c r="I126" i="1" s="1"/>
  <c r="N126" i="1" s="1"/>
  <c r="G126" i="1"/>
  <c r="J126" i="1" s="1"/>
  <c r="F127" i="1"/>
  <c r="I127" i="1" s="1"/>
  <c r="N127" i="1" s="1"/>
  <c r="G127" i="1"/>
  <c r="J127" i="1" s="1"/>
  <c r="F128" i="1"/>
  <c r="I128" i="1" s="1"/>
  <c r="N128" i="1" s="1"/>
  <c r="G128" i="1"/>
  <c r="J128" i="1" s="1"/>
  <c r="F129" i="1"/>
  <c r="I129" i="1" s="1"/>
  <c r="N129" i="1" s="1"/>
  <c r="G129" i="1"/>
  <c r="J129" i="1" s="1"/>
  <c r="F130" i="1"/>
  <c r="I130" i="1" s="1"/>
  <c r="N130" i="1" s="1"/>
  <c r="G130" i="1"/>
  <c r="J130" i="1" s="1"/>
  <c r="F131" i="1"/>
  <c r="I131" i="1" s="1"/>
  <c r="N131" i="1" s="1"/>
  <c r="G131" i="1"/>
  <c r="J131" i="1" s="1"/>
  <c r="F132" i="1"/>
  <c r="I132" i="1" s="1"/>
  <c r="N132" i="1" s="1"/>
  <c r="G132" i="1"/>
  <c r="J132" i="1" s="1"/>
  <c r="F133" i="1"/>
  <c r="I133" i="1" s="1"/>
  <c r="N133" i="1" s="1"/>
  <c r="G133" i="1"/>
  <c r="J133" i="1" s="1"/>
  <c r="F134" i="1"/>
  <c r="I134" i="1" s="1"/>
  <c r="N134" i="1" s="1"/>
  <c r="G134" i="1"/>
  <c r="J134" i="1" s="1"/>
  <c r="F135" i="1"/>
  <c r="I135" i="1" s="1"/>
  <c r="N135" i="1" s="1"/>
  <c r="G135" i="1"/>
  <c r="J135" i="1" s="1"/>
  <c r="F136" i="1"/>
  <c r="I136" i="1" s="1"/>
  <c r="N136" i="1" s="1"/>
  <c r="G136" i="1"/>
  <c r="J136" i="1" s="1"/>
  <c r="F137" i="1"/>
  <c r="I137" i="1" s="1"/>
  <c r="N137" i="1" s="1"/>
  <c r="G137" i="1"/>
  <c r="J137" i="1" s="1"/>
  <c r="F138" i="1"/>
  <c r="I138" i="1" s="1"/>
  <c r="N138" i="1" s="1"/>
  <c r="G138" i="1"/>
  <c r="J138" i="1" s="1"/>
  <c r="F139" i="1"/>
  <c r="I139" i="1" s="1"/>
  <c r="N139" i="1" s="1"/>
  <c r="G139" i="1"/>
  <c r="J139" i="1" s="1"/>
  <c r="F140" i="1"/>
  <c r="I140" i="1" s="1"/>
  <c r="N140" i="1" s="1"/>
  <c r="G140" i="1"/>
  <c r="J140" i="1" s="1"/>
  <c r="F141" i="1"/>
  <c r="I141" i="1" s="1"/>
  <c r="N141" i="1" s="1"/>
  <c r="G141" i="1"/>
  <c r="J141" i="1" s="1"/>
  <c r="F142" i="1"/>
  <c r="I142" i="1" s="1"/>
  <c r="N142" i="1" s="1"/>
  <c r="G142" i="1"/>
  <c r="J142" i="1" s="1"/>
  <c r="F143" i="1"/>
  <c r="I143" i="1" s="1"/>
  <c r="N143" i="1" s="1"/>
  <c r="G143" i="1"/>
  <c r="J143" i="1" s="1"/>
  <c r="F144" i="1"/>
  <c r="I144" i="1" s="1"/>
  <c r="N144" i="1" s="1"/>
  <c r="G144" i="1"/>
  <c r="J144" i="1" s="1"/>
  <c r="F145" i="1"/>
  <c r="I145" i="1" s="1"/>
  <c r="N145" i="1" s="1"/>
  <c r="G145" i="1"/>
  <c r="J145" i="1" s="1"/>
  <c r="F146" i="1"/>
  <c r="I146" i="1" s="1"/>
  <c r="N146" i="1" s="1"/>
  <c r="G146" i="1"/>
  <c r="J146" i="1" s="1"/>
  <c r="F147" i="1"/>
  <c r="I147" i="1" s="1"/>
  <c r="N147" i="1" s="1"/>
  <c r="G147" i="1"/>
  <c r="J147" i="1" s="1"/>
  <c r="F148" i="1"/>
  <c r="I148" i="1" s="1"/>
  <c r="N148" i="1" s="1"/>
  <c r="G148" i="1"/>
  <c r="J148" i="1" s="1"/>
  <c r="F149" i="1"/>
  <c r="I149" i="1" s="1"/>
  <c r="N149" i="1" s="1"/>
  <c r="G149" i="1"/>
  <c r="J149" i="1" s="1"/>
  <c r="F150" i="1"/>
  <c r="I150" i="1" s="1"/>
  <c r="N150" i="1" s="1"/>
  <c r="G150" i="1"/>
  <c r="J150" i="1" s="1"/>
  <c r="F151" i="1"/>
  <c r="I151" i="1" s="1"/>
  <c r="N151" i="1" s="1"/>
  <c r="G151" i="1"/>
  <c r="J151" i="1" s="1"/>
  <c r="F152" i="1"/>
  <c r="I152" i="1" s="1"/>
  <c r="N152" i="1" s="1"/>
  <c r="G152" i="1"/>
  <c r="J152" i="1" s="1"/>
  <c r="F153" i="1"/>
  <c r="I153" i="1" s="1"/>
  <c r="N153" i="1" s="1"/>
  <c r="G153" i="1"/>
  <c r="J153" i="1" s="1"/>
  <c r="F154" i="1"/>
  <c r="I154" i="1" s="1"/>
  <c r="N154" i="1" s="1"/>
  <c r="G154" i="1"/>
  <c r="J154" i="1" s="1"/>
  <c r="F155" i="1"/>
  <c r="I155" i="1" s="1"/>
  <c r="N155" i="1" s="1"/>
  <c r="G155" i="1"/>
  <c r="J155" i="1" s="1"/>
  <c r="F156" i="1"/>
  <c r="I156" i="1" s="1"/>
  <c r="N156" i="1" s="1"/>
  <c r="G156" i="1"/>
  <c r="J156" i="1" s="1"/>
  <c r="F157" i="1"/>
  <c r="I157" i="1" s="1"/>
  <c r="N157" i="1" s="1"/>
  <c r="G157" i="1"/>
  <c r="J157" i="1" s="1"/>
  <c r="F158" i="1"/>
  <c r="I158" i="1" s="1"/>
  <c r="N158" i="1" s="1"/>
  <c r="G158" i="1"/>
  <c r="J158" i="1" s="1"/>
  <c r="F159" i="1"/>
  <c r="I159" i="1" s="1"/>
  <c r="N159" i="1" s="1"/>
  <c r="G159" i="1"/>
  <c r="J159" i="1" s="1"/>
  <c r="F160" i="1"/>
  <c r="I160" i="1" s="1"/>
  <c r="N160" i="1" s="1"/>
  <c r="G160" i="1"/>
  <c r="J160" i="1" s="1"/>
  <c r="F161" i="1"/>
  <c r="I161" i="1" s="1"/>
  <c r="N161" i="1" s="1"/>
  <c r="G161" i="1"/>
  <c r="J161" i="1" s="1"/>
  <c r="F162" i="1"/>
  <c r="I162" i="1" s="1"/>
  <c r="N162" i="1" s="1"/>
  <c r="G162" i="1"/>
  <c r="J162" i="1" s="1"/>
  <c r="F163" i="1"/>
  <c r="I163" i="1" s="1"/>
  <c r="N163" i="1" s="1"/>
  <c r="G163" i="1"/>
  <c r="J163" i="1" s="1"/>
  <c r="F164" i="1"/>
  <c r="I164" i="1" s="1"/>
  <c r="N164" i="1" s="1"/>
  <c r="G164" i="1"/>
  <c r="J164" i="1" s="1"/>
  <c r="F165" i="1"/>
  <c r="I165" i="1" s="1"/>
  <c r="N165" i="1" s="1"/>
  <c r="G165" i="1"/>
  <c r="J165" i="1" s="1"/>
  <c r="F166" i="1"/>
  <c r="I166" i="1" s="1"/>
  <c r="N166" i="1" s="1"/>
  <c r="G166" i="1"/>
  <c r="J166" i="1" s="1"/>
  <c r="F167" i="1"/>
  <c r="I167" i="1" s="1"/>
  <c r="N167" i="1" s="1"/>
  <c r="G167" i="1"/>
  <c r="J167" i="1" s="1"/>
  <c r="F168" i="1"/>
  <c r="I168" i="1" s="1"/>
  <c r="N168" i="1" s="1"/>
  <c r="G168" i="1"/>
  <c r="J168" i="1" s="1"/>
  <c r="F169" i="1"/>
  <c r="I169" i="1" s="1"/>
  <c r="N169" i="1" s="1"/>
  <c r="G169" i="1"/>
  <c r="J169" i="1" s="1"/>
  <c r="F170" i="1"/>
  <c r="I170" i="1" s="1"/>
  <c r="N170" i="1" s="1"/>
  <c r="G170" i="1"/>
  <c r="J170" i="1" s="1"/>
  <c r="F171" i="1"/>
  <c r="I171" i="1" s="1"/>
  <c r="N171" i="1" s="1"/>
  <c r="G171" i="1"/>
  <c r="J171" i="1" s="1"/>
  <c r="F172" i="1"/>
  <c r="I172" i="1" s="1"/>
  <c r="N172" i="1" s="1"/>
  <c r="G172" i="1"/>
  <c r="J172" i="1" s="1"/>
  <c r="F173" i="1"/>
  <c r="I173" i="1" s="1"/>
  <c r="N173" i="1" s="1"/>
  <c r="G173" i="1"/>
  <c r="J173" i="1" s="1"/>
  <c r="F174" i="1"/>
  <c r="I174" i="1" s="1"/>
  <c r="N174" i="1" s="1"/>
  <c r="G174" i="1"/>
  <c r="J174" i="1" s="1"/>
  <c r="F175" i="1"/>
  <c r="I175" i="1" s="1"/>
  <c r="N175" i="1" s="1"/>
  <c r="G175" i="1"/>
  <c r="J175" i="1" s="1"/>
  <c r="F176" i="1"/>
  <c r="I176" i="1" s="1"/>
  <c r="N176" i="1" s="1"/>
  <c r="G176" i="1"/>
  <c r="J176" i="1" s="1"/>
  <c r="F177" i="1"/>
  <c r="I177" i="1" s="1"/>
  <c r="N177" i="1" s="1"/>
  <c r="G177" i="1"/>
  <c r="J177" i="1" s="1"/>
  <c r="F178" i="1"/>
  <c r="I178" i="1" s="1"/>
  <c r="N178" i="1" s="1"/>
  <c r="G178" i="1"/>
  <c r="J178" i="1" s="1"/>
  <c r="F179" i="1"/>
  <c r="I179" i="1" s="1"/>
  <c r="N179" i="1" s="1"/>
  <c r="G179" i="1"/>
  <c r="J179" i="1" s="1"/>
  <c r="F180" i="1"/>
  <c r="I180" i="1" s="1"/>
  <c r="N180" i="1" s="1"/>
  <c r="G180" i="1"/>
  <c r="J180" i="1" s="1"/>
  <c r="F181" i="1"/>
  <c r="I181" i="1" s="1"/>
  <c r="N181" i="1" s="1"/>
  <c r="G181" i="1"/>
  <c r="J181" i="1" s="1"/>
  <c r="F182" i="1"/>
  <c r="I182" i="1" s="1"/>
  <c r="N182" i="1" s="1"/>
  <c r="G182" i="1"/>
  <c r="J182" i="1" s="1"/>
  <c r="F183" i="1"/>
  <c r="I183" i="1" s="1"/>
  <c r="N183" i="1" s="1"/>
  <c r="G183" i="1"/>
  <c r="J183" i="1" s="1"/>
  <c r="F184" i="1"/>
  <c r="I184" i="1" s="1"/>
  <c r="N184" i="1" s="1"/>
  <c r="G184" i="1"/>
  <c r="J184" i="1" s="1"/>
  <c r="F185" i="1"/>
  <c r="I185" i="1" s="1"/>
  <c r="N185" i="1" s="1"/>
  <c r="G185" i="1"/>
  <c r="J185" i="1" s="1"/>
  <c r="F186" i="1"/>
  <c r="I186" i="1" s="1"/>
  <c r="N186" i="1" s="1"/>
  <c r="G186" i="1"/>
  <c r="J186" i="1" s="1"/>
  <c r="F187" i="1"/>
  <c r="I187" i="1" s="1"/>
  <c r="N187" i="1" s="1"/>
  <c r="G187" i="1"/>
  <c r="J187" i="1" s="1"/>
  <c r="F188" i="1"/>
  <c r="I188" i="1" s="1"/>
  <c r="N188" i="1" s="1"/>
  <c r="G188" i="1"/>
  <c r="J188" i="1" s="1"/>
  <c r="F189" i="1"/>
  <c r="I189" i="1" s="1"/>
  <c r="N189" i="1" s="1"/>
  <c r="G189" i="1"/>
  <c r="J189" i="1" s="1"/>
  <c r="F190" i="1"/>
  <c r="I190" i="1" s="1"/>
  <c r="N190" i="1" s="1"/>
  <c r="G190" i="1"/>
  <c r="J190" i="1" s="1"/>
  <c r="F191" i="1"/>
  <c r="I191" i="1" s="1"/>
  <c r="N191" i="1" s="1"/>
  <c r="G191" i="1"/>
  <c r="J191" i="1" s="1"/>
  <c r="F192" i="1"/>
  <c r="I192" i="1" s="1"/>
  <c r="N192" i="1" s="1"/>
  <c r="G192" i="1"/>
  <c r="J192" i="1" s="1"/>
  <c r="F193" i="1"/>
  <c r="I193" i="1" s="1"/>
  <c r="N193" i="1" s="1"/>
  <c r="G193" i="1"/>
  <c r="J193" i="1" s="1"/>
  <c r="F194" i="1"/>
  <c r="I194" i="1" s="1"/>
  <c r="N194" i="1" s="1"/>
  <c r="G194" i="1"/>
  <c r="J194" i="1" s="1"/>
  <c r="F195" i="1"/>
  <c r="I195" i="1" s="1"/>
  <c r="N195" i="1" s="1"/>
  <c r="G195" i="1"/>
  <c r="J195" i="1" s="1"/>
  <c r="F196" i="1"/>
  <c r="I196" i="1" s="1"/>
  <c r="N196" i="1" s="1"/>
  <c r="G196" i="1"/>
  <c r="J196" i="1" s="1"/>
  <c r="F197" i="1"/>
  <c r="I197" i="1" s="1"/>
  <c r="N197" i="1" s="1"/>
  <c r="G197" i="1"/>
  <c r="J197" i="1" s="1"/>
  <c r="F198" i="1"/>
  <c r="I198" i="1" s="1"/>
  <c r="N198" i="1" s="1"/>
  <c r="G198" i="1"/>
  <c r="J198" i="1" s="1"/>
  <c r="F199" i="1"/>
  <c r="I199" i="1" s="1"/>
  <c r="N199" i="1" s="1"/>
  <c r="G199" i="1"/>
  <c r="J199" i="1" s="1"/>
  <c r="F200" i="1"/>
  <c r="I200" i="1" s="1"/>
  <c r="N200" i="1" s="1"/>
  <c r="G200" i="1"/>
  <c r="J200" i="1" s="1"/>
  <c r="F201" i="1"/>
  <c r="I201" i="1" s="1"/>
  <c r="N201" i="1" s="1"/>
  <c r="G201" i="1"/>
  <c r="J201" i="1" s="1"/>
  <c r="F202" i="1"/>
  <c r="I202" i="1" s="1"/>
  <c r="N202" i="1" s="1"/>
  <c r="G202" i="1"/>
  <c r="J202" i="1" s="1"/>
  <c r="F203" i="1"/>
  <c r="I203" i="1" s="1"/>
  <c r="N203" i="1" s="1"/>
  <c r="G203" i="1"/>
  <c r="J203" i="1" s="1"/>
  <c r="F204" i="1"/>
  <c r="I204" i="1" s="1"/>
  <c r="N204" i="1" s="1"/>
  <c r="G204" i="1"/>
  <c r="J204" i="1" s="1"/>
  <c r="F205" i="1"/>
  <c r="I205" i="1" s="1"/>
  <c r="N205" i="1" s="1"/>
  <c r="G205" i="1"/>
  <c r="J205" i="1" s="1"/>
  <c r="F206" i="1"/>
  <c r="I206" i="1" s="1"/>
  <c r="N206" i="1" s="1"/>
  <c r="G206" i="1"/>
  <c r="J206" i="1" s="1"/>
  <c r="F207" i="1"/>
  <c r="I207" i="1" s="1"/>
  <c r="N207" i="1" s="1"/>
  <c r="G207" i="1"/>
  <c r="J207" i="1" s="1"/>
  <c r="F208" i="1"/>
  <c r="I208" i="1" s="1"/>
  <c r="N208" i="1" s="1"/>
  <c r="G208" i="1"/>
  <c r="J208" i="1" s="1"/>
  <c r="F209" i="1"/>
  <c r="I209" i="1" s="1"/>
  <c r="N209" i="1" s="1"/>
  <c r="G209" i="1"/>
  <c r="J209" i="1" s="1"/>
  <c r="F210" i="1"/>
  <c r="I210" i="1" s="1"/>
  <c r="N210" i="1" s="1"/>
  <c r="G210" i="1"/>
  <c r="J210" i="1" s="1"/>
  <c r="F211" i="1"/>
  <c r="I211" i="1" s="1"/>
  <c r="N211" i="1" s="1"/>
  <c r="G211" i="1"/>
  <c r="J211" i="1" s="1"/>
  <c r="F212" i="1"/>
  <c r="I212" i="1" s="1"/>
  <c r="N212" i="1" s="1"/>
  <c r="G212" i="1"/>
  <c r="J212" i="1" s="1"/>
  <c r="F213" i="1"/>
  <c r="I213" i="1" s="1"/>
  <c r="N213" i="1" s="1"/>
  <c r="G213" i="1"/>
  <c r="J213" i="1" s="1"/>
  <c r="F214" i="1"/>
  <c r="I214" i="1" s="1"/>
  <c r="N214" i="1" s="1"/>
  <c r="G214" i="1"/>
  <c r="J214" i="1" s="1"/>
  <c r="F215" i="1"/>
  <c r="I215" i="1" s="1"/>
  <c r="N215" i="1" s="1"/>
  <c r="G215" i="1"/>
  <c r="J215" i="1" s="1"/>
  <c r="F216" i="1"/>
  <c r="I216" i="1" s="1"/>
  <c r="N216" i="1" s="1"/>
  <c r="G216" i="1"/>
  <c r="J216" i="1" s="1"/>
  <c r="F217" i="1"/>
  <c r="I217" i="1" s="1"/>
  <c r="N217" i="1" s="1"/>
  <c r="G217" i="1"/>
  <c r="J217" i="1" s="1"/>
  <c r="F218" i="1"/>
  <c r="I218" i="1" s="1"/>
  <c r="N218" i="1" s="1"/>
  <c r="G218" i="1"/>
  <c r="J218" i="1" s="1"/>
  <c r="F219" i="1"/>
  <c r="I219" i="1" s="1"/>
  <c r="N219" i="1" s="1"/>
  <c r="G219" i="1"/>
  <c r="J219" i="1" s="1"/>
  <c r="F220" i="1"/>
  <c r="I220" i="1" s="1"/>
  <c r="N220" i="1" s="1"/>
  <c r="G220" i="1"/>
  <c r="J220" i="1" s="1"/>
  <c r="F221" i="1"/>
  <c r="I221" i="1" s="1"/>
  <c r="N221" i="1" s="1"/>
  <c r="G221" i="1"/>
  <c r="J221" i="1" s="1"/>
  <c r="F222" i="1"/>
  <c r="I222" i="1" s="1"/>
  <c r="N222" i="1" s="1"/>
  <c r="G222" i="1"/>
  <c r="J222" i="1" s="1"/>
  <c r="F223" i="1"/>
  <c r="I223" i="1" s="1"/>
  <c r="N223" i="1" s="1"/>
  <c r="G223" i="1"/>
  <c r="J223" i="1" s="1"/>
  <c r="F224" i="1"/>
  <c r="I224" i="1" s="1"/>
  <c r="N224" i="1" s="1"/>
  <c r="G224" i="1"/>
  <c r="J224" i="1" s="1"/>
  <c r="F225" i="1"/>
  <c r="I225" i="1" s="1"/>
  <c r="N225" i="1" s="1"/>
  <c r="G225" i="1"/>
  <c r="J225" i="1" s="1"/>
  <c r="F226" i="1"/>
  <c r="I226" i="1" s="1"/>
  <c r="N226" i="1" s="1"/>
  <c r="G226" i="1"/>
  <c r="J226" i="1" s="1"/>
  <c r="F227" i="1"/>
  <c r="I227" i="1" s="1"/>
  <c r="N227" i="1" s="1"/>
  <c r="G227" i="1"/>
  <c r="J227" i="1" s="1"/>
  <c r="F228" i="1"/>
  <c r="I228" i="1" s="1"/>
  <c r="N228" i="1" s="1"/>
  <c r="G228" i="1"/>
  <c r="J228" i="1" s="1"/>
  <c r="F229" i="1"/>
  <c r="I229" i="1" s="1"/>
  <c r="N229" i="1" s="1"/>
  <c r="G229" i="1"/>
  <c r="J229" i="1" s="1"/>
  <c r="F230" i="1"/>
  <c r="I230" i="1" s="1"/>
  <c r="N230" i="1" s="1"/>
  <c r="G230" i="1"/>
  <c r="J230" i="1" s="1"/>
  <c r="F231" i="1"/>
  <c r="I231" i="1" s="1"/>
  <c r="N231" i="1" s="1"/>
  <c r="G231" i="1"/>
  <c r="J231" i="1" s="1"/>
  <c r="F232" i="1"/>
  <c r="I232" i="1" s="1"/>
  <c r="N232" i="1" s="1"/>
  <c r="G232" i="1"/>
  <c r="J232" i="1" s="1"/>
  <c r="F233" i="1"/>
  <c r="I233" i="1" s="1"/>
  <c r="N233" i="1" s="1"/>
  <c r="G233" i="1"/>
  <c r="J233" i="1" s="1"/>
  <c r="F234" i="1"/>
  <c r="I234" i="1" s="1"/>
  <c r="N234" i="1" s="1"/>
  <c r="G234" i="1"/>
  <c r="J234" i="1" s="1"/>
  <c r="F235" i="1"/>
  <c r="I235" i="1" s="1"/>
  <c r="N235" i="1" s="1"/>
  <c r="G235" i="1"/>
  <c r="J235" i="1" s="1"/>
  <c r="F236" i="1"/>
  <c r="I236" i="1" s="1"/>
  <c r="N236" i="1" s="1"/>
  <c r="G236" i="1"/>
  <c r="J236" i="1" s="1"/>
  <c r="F237" i="1"/>
  <c r="I237" i="1" s="1"/>
  <c r="N237" i="1" s="1"/>
  <c r="G237" i="1"/>
  <c r="J237" i="1" s="1"/>
  <c r="F238" i="1"/>
  <c r="I238" i="1" s="1"/>
  <c r="N238" i="1" s="1"/>
  <c r="G238" i="1"/>
  <c r="J238" i="1" s="1"/>
  <c r="F239" i="1"/>
  <c r="I239" i="1" s="1"/>
  <c r="N239" i="1" s="1"/>
  <c r="G239" i="1"/>
  <c r="J239" i="1" s="1"/>
  <c r="F240" i="1"/>
  <c r="I240" i="1" s="1"/>
  <c r="N240" i="1" s="1"/>
  <c r="G240" i="1"/>
  <c r="J240" i="1" s="1"/>
  <c r="F241" i="1"/>
  <c r="I241" i="1" s="1"/>
  <c r="N241" i="1" s="1"/>
  <c r="G241" i="1"/>
  <c r="J241" i="1" s="1"/>
  <c r="F242" i="1"/>
  <c r="I242" i="1" s="1"/>
  <c r="N242" i="1" s="1"/>
  <c r="G242" i="1"/>
  <c r="J242" i="1" s="1"/>
  <c r="F243" i="1"/>
  <c r="I243" i="1" s="1"/>
  <c r="N243" i="1" s="1"/>
  <c r="G243" i="1"/>
  <c r="J243" i="1" s="1"/>
  <c r="F244" i="1"/>
  <c r="I244" i="1" s="1"/>
  <c r="N244" i="1" s="1"/>
  <c r="G244" i="1"/>
  <c r="J244" i="1" s="1"/>
  <c r="F245" i="1"/>
  <c r="I245" i="1" s="1"/>
  <c r="N245" i="1" s="1"/>
  <c r="G245" i="1"/>
  <c r="J245" i="1" s="1"/>
  <c r="F246" i="1"/>
  <c r="I246" i="1" s="1"/>
  <c r="N246" i="1" s="1"/>
  <c r="G246" i="1"/>
  <c r="J246" i="1" s="1"/>
  <c r="F247" i="1"/>
  <c r="I247" i="1" s="1"/>
  <c r="N247" i="1" s="1"/>
  <c r="G247" i="1"/>
  <c r="J247" i="1" s="1"/>
  <c r="F248" i="1"/>
  <c r="I248" i="1" s="1"/>
  <c r="N248" i="1" s="1"/>
  <c r="G248" i="1"/>
  <c r="J248" i="1" s="1"/>
  <c r="F249" i="1"/>
  <c r="I249" i="1" s="1"/>
  <c r="N249" i="1" s="1"/>
  <c r="G249" i="1"/>
  <c r="J249" i="1" s="1"/>
  <c r="F250" i="1"/>
  <c r="I250" i="1" s="1"/>
  <c r="N250" i="1" s="1"/>
  <c r="G250" i="1"/>
  <c r="J250" i="1" s="1"/>
  <c r="F251" i="1"/>
  <c r="I251" i="1" s="1"/>
  <c r="N251" i="1" s="1"/>
  <c r="G251" i="1"/>
  <c r="J251" i="1" s="1"/>
  <c r="F252" i="1"/>
  <c r="I252" i="1" s="1"/>
  <c r="N252" i="1" s="1"/>
  <c r="G252" i="1"/>
  <c r="J252" i="1" s="1"/>
  <c r="F253" i="1"/>
  <c r="I253" i="1" s="1"/>
  <c r="N253" i="1" s="1"/>
  <c r="G253" i="1"/>
  <c r="J253" i="1" s="1"/>
  <c r="F254" i="1"/>
  <c r="I254" i="1" s="1"/>
  <c r="N254" i="1" s="1"/>
  <c r="G254" i="1"/>
  <c r="J254" i="1" s="1"/>
  <c r="F255" i="1"/>
  <c r="I255" i="1" s="1"/>
  <c r="N255" i="1" s="1"/>
  <c r="G255" i="1"/>
  <c r="J255" i="1" s="1"/>
  <c r="F256" i="1"/>
  <c r="I256" i="1" s="1"/>
  <c r="N256" i="1" s="1"/>
  <c r="G256" i="1"/>
  <c r="J256" i="1" s="1"/>
  <c r="F257" i="1"/>
  <c r="I257" i="1" s="1"/>
  <c r="N257" i="1" s="1"/>
  <c r="G257" i="1"/>
  <c r="J257" i="1" s="1"/>
  <c r="F258" i="1"/>
  <c r="I258" i="1" s="1"/>
  <c r="N258" i="1" s="1"/>
  <c r="G258" i="1"/>
  <c r="J258" i="1" s="1"/>
  <c r="F259" i="1"/>
  <c r="I259" i="1" s="1"/>
  <c r="N259" i="1" s="1"/>
  <c r="G259" i="1"/>
  <c r="J259" i="1" s="1"/>
  <c r="F260" i="1"/>
  <c r="I260" i="1" s="1"/>
  <c r="N260" i="1" s="1"/>
  <c r="G260" i="1"/>
  <c r="J260" i="1" s="1"/>
  <c r="F261" i="1"/>
  <c r="I261" i="1" s="1"/>
  <c r="N261" i="1" s="1"/>
  <c r="G261" i="1"/>
  <c r="J261" i="1" s="1"/>
  <c r="F262" i="1"/>
  <c r="I262" i="1" s="1"/>
  <c r="N262" i="1" s="1"/>
  <c r="G262" i="1"/>
  <c r="J262" i="1" s="1"/>
  <c r="F263" i="1"/>
  <c r="I263" i="1" s="1"/>
  <c r="N263" i="1" s="1"/>
  <c r="G263" i="1"/>
  <c r="J263" i="1" s="1"/>
  <c r="F264" i="1"/>
  <c r="I264" i="1" s="1"/>
  <c r="N264" i="1" s="1"/>
  <c r="G264" i="1"/>
  <c r="J264" i="1" s="1"/>
  <c r="F265" i="1"/>
  <c r="I265" i="1" s="1"/>
  <c r="N265" i="1" s="1"/>
  <c r="G265" i="1"/>
  <c r="J265" i="1" s="1"/>
  <c r="F266" i="1"/>
  <c r="I266" i="1" s="1"/>
  <c r="N266" i="1" s="1"/>
  <c r="G266" i="1"/>
  <c r="J266" i="1" s="1"/>
  <c r="F267" i="1"/>
  <c r="I267" i="1" s="1"/>
  <c r="N267" i="1" s="1"/>
  <c r="G267" i="1"/>
  <c r="J267" i="1" s="1"/>
  <c r="F268" i="1"/>
  <c r="I268" i="1" s="1"/>
  <c r="N268" i="1" s="1"/>
  <c r="G268" i="1"/>
  <c r="J268" i="1" s="1"/>
  <c r="F269" i="1"/>
  <c r="I269" i="1" s="1"/>
  <c r="N269" i="1" s="1"/>
  <c r="G269" i="1"/>
  <c r="J269" i="1" s="1"/>
  <c r="F270" i="1"/>
  <c r="I270" i="1" s="1"/>
  <c r="N270" i="1" s="1"/>
  <c r="G270" i="1"/>
  <c r="J270" i="1" s="1"/>
  <c r="F271" i="1"/>
  <c r="I271" i="1" s="1"/>
  <c r="N271" i="1" s="1"/>
  <c r="G271" i="1"/>
  <c r="J271" i="1" s="1"/>
  <c r="F272" i="1"/>
  <c r="I272" i="1" s="1"/>
  <c r="N272" i="1" s="1"/>
  <c r="G272" i="1"/>
  <c r="J272" i="1" s="1"/>
  <c r="F273" i="1"/>
  <c r="I273" i="1" s="1"/>
  <c r="N273" i="1" s="1"/>
  <c r="G273" i="1"/>
  <c r="J273" i="1" s="1"/>
  <c r="F274" i="1"/>
  <c r="I274" i="1" s="1"/>
  <c r="N274" i="1" s="1"/>
  <c r="G274" i="1"/>
  <c r="J274" i="1" s="1"/>
  <c r="F275" i="1"/>
  <c r="I275" i="1" s="1"/>
  <c r="N275" i="1" s="1"/>
  <c r="G275" i="1"/>
  <c r="J275" i="1" s="1"/>
  <c r="F276" i="1"/>
  <c r="I276" i="1" s="1"/>
  <c r="N276" i="1" s="1"/>
  <c r="G276" i="1"/>
  <c r="J276" i="1" s="1"/>
  <c r="F277" i="1"/>
  <c r="I277" i="1" s="1"/>
  <c r="N277" i="1" s="1"/>
  <c r="G277" i="1"/>
  <c r="J277" i="1" s="1"/>
  <c r="F278" i="1"/>
  <c r="I278" i="1" s="1"/>
  <c r="N278" i="1" s="1"/>
  <c r="G278" i="1"/>
  <c r="J278" i="1" s="1"/>
  <c r="F279" i="1"/>
  <c r="I279" i="1" s="1"/>
  <c r="N279" i="1" s="1"/>
  <c r="G279" i="1"/>
  <c r="J279" i="1" s="1"/>
  <c r="F280" i="1"/>
  <c r="I280" i="1" s="1"/>
  <c r="N280" i="1" s="1"/>
  <c r="G280" i="1"/>
  <c r="J280" i="1" s="1"/>
  <c r="F281" i="1"/>
  <c r="I281" i="1" s="1"/>
  <c r="N281" i="1" s="1"/>
  <c r="G281" i="1"/>
  <c r="J281" i="1" s="1"/>
  <c r="F282" i="1"/>
  <c r="I282" i="1" s="1"/>
  <c r="N282" i="1" s="1"/>
  <c r="G282" i="1"/>
  <c r="J282" i="1" s="1"/>
  <c r="F283" i="1"/>
  <c r="I283" i="1" s="1"/>
  <c r="N283" i="1" s="1"/>
  <c r="G283" i="1"/>
  <c r="J283" i="1" s="1"/>
  <c r="F284" i="1"/>
  <c r="I284" i="1" s="1"/>
  <c r="N284" i="1" s="1"/>
  <c r="G284" i="1"/>
  <c r="J284" i="1" s="1"/>
  <c r="F285" i="1"/>
  <c r="I285" i="1" s="1"/>
  <c r="N285" i="1" s="1"/>
  <c r="G285" i="1"/>
  <c r="J285" i="1" s="1"/>
  <c r="F286" i="1"/>
  <c r="I286" i="1" s="1"/>
  <c r="N286" i="1" s="1"/>
  <c r="G286" i="1"/>
  <c r="J286" i="1" s="1"/>
  <c r="F287" i="1"/>
  <c r="I287" i="1" s="1"/>
  <c r="N287" i="1" s="1"/>
  <c r="G287" i="1"/>
  <c r="J287" i="1" s="1"/>
  <c r="F288" i="1"/>
  <c r="I288" i="1" s="1"/>
  <c r="N288" i="1" s="1"/>
  <c r="G288" i="1"/>
  <c r="J288" i="1" s="1"/>
  <c r="F289" i="1"/>
  <c r="I289" i="1" s="1"/>
  <c r="N289" i="1" s="1"/>
  <c r="G289" i="1"/>
  <c r="J289" i="1" s="1"/>
  <c r="F290" i="1"/>
  <c r="I290" i="1" s="1"/>
  <c r="N290" i="1" s="1"/>
  <c r="G290" i="1"/>
  <c r="J290" i="1" s="1"/>
  <c r="F291" i="1"/>
  <c r="I291" i="1" s="1"/>
  <c r="N291" i="1" s="1"/>
  <c r="G291" i="1"/>
  <c r="J291" i="1" s="1"/>
  <c r="F292" i="1"/>
  <c r="I292" i="1" s="1"/>
  <c r="N292" i="1" s="1"/>
  <c r="G292" i="1"/>
  <c r="J292" i="1" s="1"/>
  <c r="F293" i="1"/>
  <c r="I293" i="1" s="1"/>
  <c r="N293" i="1" s="1"/>
  <c r="G293" i="1"/>
  <c r="J293" i="1" s="1"/>
  <c r="F294" i="1"/>
  <c r="I294" i="1" s="1"/>
  <c r="N294" i="1" s="1"/>
  <c r="G294" i="1"/>
  <c r="J294" i="1" s="1"/>
  <c r="F295" i="1"/>
  <c r="I295" i="1" s="1"/>
  <c r="N295" i="1" s="1"/>
  <c r="G295" i="1"/>
  <c r="J295" i="1" s="1"/>
  <c r="F296" i="1"/>
  <c r="I296" i="1" s="1"/>
  <c r="N296" i="1" s="1"/>
  <c r="G296" i="1"/>
  <c r="J296" i="1" s="1"/>
  <c r="F297" i="1"/>
  <c r="I297" i="1" s="1"/>
  <c r="N297" i="1" s="1"/>
  <c r="G297" i="1"/>
  <c r="J297" i="1" s="1"/>
  <c r="F298" i="1"/>
  <c r="I298" i="1" s="1"/>
  <c r="N298" i="1" s="1"/>
  <c r="G298" i="1"/>
  <c r="J298" i="1" s="1"/>
  <c r="F299" i="1"/>
  <c r="I299" i="1" s="1"/>
  <c r="N299" i="1" s="1"/>
  <c r="G299" i="1"/>
  <c r="J299" i="1" s="1"/>
  <c r="F300" i="1"/>
  <c r="I300" i="1" s="1"/>
  <c r="N300" i="1" s="1"/>
  <c r="G300" i="1"/>
  <c r="J300" i="1" s="1"/>
  <c r="F301" i="1"/>
  <c r="I301" i="1" s="1"/>
  <c r="N301" i="1" s="1"/>
  <c r="G301" i="1"/>
  <c r="J301" i="1" s="1"/>
  <c r="F302" i="1"/>
  <c r="I302" i="1" s="1"/>
  <c r="N302" i="1" s="1"/>
  <c r="G302" i="1"/>
  <c r="J302" i="1" s="1"/>
  <c r="F303" i="1"/>
  <c r="I303" i="1" s="1"/>
  <c r="N303" i="1" s="1"/>
  <c r="G303" i="1"/>
  <c r="J303" i="1" s="1"/>
  <c r="F304" i="1"/>
  <c r="I304" i="1" s="1"/>
  <c r="N304" i="1" s="1"/>
  <c r="G304" i="1"/>
  <c r="J304" i="1" s="1"/>
  <c r="F305" i="1"/>
  <c r="I305" i="1" s="1"/>
  <c r="N305" i="1" s="1"/>
  <c r="G305" i="1"/>
  <c r="J305" i="1" s="1"/>
  <c r="F306" i="1"/>
  <c r="I306" i="1" s="1"/>
  <c r="N306" i="1" s="1"/>
  <c r="G306" i="1"/>
  <c r="J306" i="1" s="1"/>
  <c r="F307" i="1"/>
  <c r="I307" i="1" s="1"/>
  <c r="N307" i="1" s="1"/>
  <c r="G307" i="1"/>
  <c r="J307" i="1" s="1"/>
  <c r="F308" i="1"/>
  <c r="I308" i="1" s="1"/>
  <c r="N308" i="1" s="1"/>
  <c r="G308" i="1"/>
  <c r="J308" i="1" s="1"/>
  <c r="F309" i="1"/>
  <c r="I309" i="1" s="1"/>
  <c r="N309" i="1" s="1"/>
  <c r="G309" i="1"/>
  <c r="J309" i="1" s="1"/>
  <c r="F310" i="1"/>
  <c r="I310" i="1" s="1"/>
  <c r="N310" i="1" s="1"/>
  <c r="G310" i="1"/>
  <c r="J310" i="1" s="1"/>
  <c r="F311" i="1"/>
  <c r="I311" i="1" s="1"/>
  <c r="N311" i="1" s="1"/>
  <c r="G311" i="1"/>
  <c r="J311" i="1" s="1"/>
  <c r="F312" i="1"/>
  <c r="I312" i="1" s="1"/>
  <c r="N312" i="1" s="1"/>
  <c r="G312" i="1"/>
  <c r="J312" i="1" s="1"/>
  <c r="F313" i="1"/>
  <c r="I313" i="1" s="1"/>
  <c r="N313" i="1" s="1"/>
  <c r="G313" i="1"/>
  <c r="J313" i="1" s="1"/>
  <c r="F314" i="1"/>
  <c r="I314" i="1" s="1"/>
  <c r="N314" i="1" s="1"/>
  <c r="G314" i="1"/>
  <c r="J314" i="1" s="1"/>
  <c r="F315" i="1"/>
  <c r="I315" i="1" s="1"/>
  <c r="N315" i="1" s="1"/>
  <c r="G315" i="1"/>
  <c r="J315" i="1" s="1"/>
  <c r="F316" i="1"/>
  <c r="I316" i="1" s="1"/>
  <c r="N316" i="1" s="1"/>
  <c r="G316" i="1"/>
  <c r="J316" i="1" s="1"/>
  <c r="F317" i="1"/>
  <c r="I317" i="1" s="1"/>
  <c r="N317" i="1" s="1"/>
  <c r="G317" i="1"/>
  <c r="J317" i="1" s="1"/>
  <c r="F318" i="1"/>
  <c r="I318" i="1" s="1"/>
  <c r="N318" i="1" s="1"/>
  <c r="G318" i="1"/>
  <c r="J318" i="1" s="1"/>
  <c r="F319" i="1"/>
  <c r="I319" i="1" s="1"/>
  <c r="N319" i="1" s="1"/>
  <c r="G319" i="1"/>
  <c r="J319" i="1" s="1"/>
  <c r="F320" i="1"/>
  <c r="I320" i="1" s="1"/>
  <c r="N320" i="1" s="1"/>
  <c r="G320" i="1"/>
  <c r="J320" i="1" s="1"/>
  <c r="F321" i="1"/>
  <c r="I321" i="1" s="1"/>
  <c r="N321" i="1" s="1"/>
  <c r="G321" i="1"/>
  <c r="J321" i="1" s="1"/>
  <c r="F322" i="1"/>
  <c r="I322" i="1" s="1"/>
  <c r="N322" i="1" s="1"/>
  <c r="G322" i="1"/>
  <c r="J322" i="1" s="1"/>
  <c r="F323" i="1"/>
  <c r="I323" i="1" s="1"/>
  <c r="N323" i="1" s="1"/>
  <c r="G323" i="1"/>
  <c r="J323" i="1" s="1"/>
  <c r="F324" i="1"/>
  <c r="I324" i="1" s="1"/>
  <c r="N324" i="1" s="1"/>
  <c r="G324" i="1"/>
  <c r="J324" i="1" s="1"/>
  <c r="F325" i="1"/>
  <c r="I325" i="1" s="1"/>
  <c r="N325" i="1" s="1"/>
  <c r="G325" i="1"/>
  <c r="J325" i="1" s="1"/>
  <c r="F326" i="1"/>
  <c r="I326" i="1" s="1"/>
  <c r="N326" i="1" s="1"/>
  <c r="G326" i="1"/>
  <c r="J326" i="1" s="1"/>
  <c r="F327" i="1"/>
  <c r="I327" i="1" s="1"/>
  <c r="N327" i="1" s="1"/>
  <c r="G327" i="1"/>
  <c r="J327" i="1" s="1"/>
  <c r="F328" i="1"/>
  <c r="I328" i="1" s="1"/>
  <c r="N328" i="1" s="1"/>
  <c r="G328" i="1"/>
  <c r="J328" i="1" s="1"/>
  <c r="F329" i="1"/>
  <c r="I329" i="1" s="1"/>
  <c r="N329" i="1" s="1"/>
  <c r="G329" i="1"/>
  <c r="J329" i="1" s="1"/>
  <c r="F330" i="1"/>
  <c r="I330" i="1" s="1"/>
  <c r="N330" i="1" s="1"/>
  <c r="G330" i="1"/>
  <c r="J330" i="1" s="1"/>
  <c r="F331" i="1"/>
  <c r="I331" i="1" s="1"/>
  <c r="N331" i="1" s="1"/>
  <c r="G331" i="1"/>
  <c r="J331" i="1" s="1"/>
  <c r="F332" i="1"/>
  <c r="I332" i="1" s="1"/>
  <c r="N332" i="1" s="1"/>
  <c r="G332" i="1"/>
  <c r="J332" i="1" s="1"/>
  <c r="F333" i="1"/>
  <c r="I333" i="1" s="1"/>
  <c r="N333" i="1" s="1"/>
  <c r="G333" i="1"/>
  <c r="J333" i="1" s="1"/>
  <c r="F334" i="1"/>
  <c r="I334" i="1" s="1"/>
  <c r="N334" i="1" s="1"/>
  <c r="G334" i="1"/>
  <c r="J334" i="1" s="1"/>
  <c r="F335" i="1"/>
  <c r="I335" i="1" s="1"/>
  <c r="N335" i="1" s="1"/>
  <c r="G335" i="1"/>
  <c r="J335" i="1" s="1"/>
  <c r="F336" i="1"/>
  <c r="I336" i="1" s="1"/>
  <c r="N336" i="1" s="1"/>
  <c r="G336" i="1"/>
  <c r="J336" i="1" s="1"/>
  <c r="F337" i="1"/>
  <c r="I337" i="1" s="1"/>
  <c r="N337" i="1" s="1"/>
  <c r="G337" i="1"/>
  <c r="J337" i="1" s="1"/>
  <c r="F338" i="1"/>
  <c r="I338" i="1" s="1"/>
  <c r="N338" i="1" s="1"/>
  <c r="G338" i="1"/>
  <c r="J338" i="1" s="1"/>
  <c r="F339" i="1"/>
  <c r="I339" i="1" s="1"/>
  <c r="N339" i="1" s="1"/>
  <c r="G339" i="1"/>
  <c r="J339" i="1" s="1"/>
  <c r="F340" i="1"/>
  <c r="I340" i="1" s="1"/>
  <c r="N340" i="1" s="1"/>
  <c r="G340" i="1"/>
  <c r="J340" i="1" s="1"/>
  <c r="F341" i="1"/>
  <c r="I341" i="1" s="1"/>
  <c r="N341" i="1" s="1"/>
  <c r="G341" i="1"/>
  <c r="J341" i="1" s="1"/>
  <c r="F342" i="1"/>
  <c r="I342" i="1" s="1"/>
  <c r="N342" i="1" s="1"/>
  <c r="G342" i="1"/>
  <c r="J342" i="1" s="1"/>
  <c r="F343" i="1"/>
  <c r="I343" i="1" s="1"/>
  <c r="N343" i="1" s="1"/>
  <c r="G343" i="1"/>
  <c r="J343" i="1" s="1"/>
  <c r="F344" i="1"/>
  <c r="I344" i="1" s="1"/>
  <c r="N344" i="1" s="1"/>
  <c r="G344" i="1"/>
  <c r="J344" i="1" s="1"/>
  <c r="F345" i="1"/>
  <c r="I345" i="1" s="1"/>
  <c r="N345" i="1" s="1"/>
  <c r="G345" i="1"/>
  <c r="J345" i="1" s="1"/>
  <c r="F346" i="1"/>
  <c r="I346" i="1" s="1"/>
  <c r="N346" i="1" s="1"/>
  <c r="G346" i="1"/>
  <c r="J346" i="1" s="1"/>
  <c r="F347" i="1"/>
  <c r="I347" i="1" s="1"/>
  <c r="N347" i="1" s="1"/>
  <c r="G347" i="1"/>
  <c r="J347" i="1" s="1"/>
  <c r="F348" i="1"/>
  <c r="I348" i="1" s="1"/>
  <c r="N348" i="1" s="1"/>
  <c r="G348" i="1"/>
  <c r="J348" i="1" s="1"/>
  <c r="F349" i="1"/>
  <c r="I349" i="1" s="1"/>
  <c r="N349" i="1" s="1"/>
  <c r="G349" i="1"/>
  <c r="J349" i="1" s="1"/>
  <c r="F350" i="1"/>
  <c r="I350" i="1" s="1"/>
  <c r="N350" i="1" s="1"/>
  <c r="G350" i="1"/>
  <c r="J350" i="1" s="1"/>
  <c r="F351" i="1"/>
  <c r="I351" i="1" s="1"/>
  <c r="N351" i="1" s="1"/>
  <c r="G351" i="1"/>
  <c r="J351" i="1" s="1"/>
  <c r="F352" i="1"/>
  <c r="I352" i="1" s="1"/>
  <c r="N352" i="1" s="1"/>
  <c r="G352" i="1"/>
  <c r="J352" i="1" s="1"/>
  <c r="F353" i="1"/>
  <c r="I353" i="1" s="1"/>
  <c r="N353" i="1" s="1"/>
  <c r="G353" i="1"/>
  <c r="J353" i="1" s="1"/>
  <c r="F354" i="1"/>
  <c r="I354" i="1" s="1"/>
  <c r="N354" i="1" s="1"/>
  <c r="G354" i="1"/>
  <c r="J354" i="1" s="1"/>
  <c r="F355" i="1"/>
  <c r="I355" i="1" s="1"/>
  <c r="N355" i="1" s="1"/>
  <c r="G355" i="1"/>
  <c r="J355" i="1" s="1"/>
  <c r="F356" i="1"/>
  <c r="I356" i="1" s="1"/>
  <c r="N356" i="1" s="1"/>
  <c r="G356" i="1"/>
  <c r="J356" i="1" s="1"/>
  <c r="F357" i="1"/>
  <c r="I357" i="1" s="1"/>
  <c r="N357" i="1" s="1"/>
  <c r="G357" i="1"/>
  <c r="J357" i="1" s="1"/>
  <c r="F358" i="1"/>
  <c r="I358" i="1" s="1"/>
  <c r="N358" i="1" s="1"/>
  <c r="G358" i="1"/>
  <c r="J358" i="1" s="1"/>
  <c r="F359" i="1"/>
  <c r="I359" i="1" s="1"/>
  <c r="N359" i="1" s="1"/>
  <c r="G359" i="1"/>
  <c r="J359" i="1" s="1"/>
  <c r="F360" i="1"/>
  <c r="I360" i="1" s="1"/>
  <c r="N360" i="1" s="1"/>
  <c r="G360" i="1"/>
  <c r="J360" i="1" s="1"/>
  <c r="F361" i="1"/>
  <c r="I361" i="1" s="1"/>
  <c r="N361" i="1" s="1"/>
  <c r="G361" i="1"/>
  <c r="J361" i="1" s="1"/>
  <c r="F362" i="1"/>
  <c r="I362" i="1" s="1"/>
  <c r="N362" i="1" s="1"/>
  <c r="G362" i="1"/>
  <c r="J362" i="1" s="1"/>
  <c r="F363" i="1"/>
  <c r="I363" i="1" s="1"/>
  <c r="N363" i="1" s="1"/>
  <c r="G363" i="1"/>
  <c r="J363" i="1" s="1"/>
  <c r="F364" i="1"/>
  <c r="I364" i="1" s="1"/>
  <c r="N364" i="1" s="1"/>
  <c r="G364" i="1"/>
  <c r="J364" i="1" s="1"/>
  <c r="F365" i="1"/>
  <c r="I365" i="1" s="1"/>
  <c r="N365" i="1" s="1"/>
  <c r="G365" i="1"/>
  <c r="J365" i="1" s="1"/>
  <c r="F366" i="1"/>
  <c r="I366" i="1" s="1"/>
  <c r="N366" i="1" s="1"/>
  <c r="G366" i="1"/>
  <c r="J366" i="1" s="1"/>
  <c r="F367" i="1"/>
  <c r="I367" i="1" s="1"/>
  <c r="N367" i="1" s="1"/>
  <c r="G367" i="1"/>
  <c r="J367" i="1" s="1"/>
  <c r="F368" i="1"/>
  <c r="I368" i="1" s="1"/>
  <c r="N368" i="1" s="1"/>
  <c r="G368" i="1"/>
  <c r="J368" i="1" s="1"/>
  <c r="F369" i="1"/>
  <c r="I369" i="1" s="1"/>
  <c r="N369" i="1" s="1"/>
  <c r="G369" i="1"/>
  <c r="J369" i="1" s="1"/>
  <c r="F370" i="1"/>
  <c r="I370" i="1" s="1"/>
  <c r="N370" i="1" s="1"/>
  <c r="G370" i="1"/>
  <c r="J370" i="1" s="1"/>
  <c r="F371" i="1"/>
  <c r="I371" i="1" s="1"/>
  <c r="N371" i="1" s="1"/>
  <c r="G371" i="1"/>
  <c r="J371" i="1" s="1"/>
  <c r="F372" i="1"/>
  <c r="I372" i="1" s="1"/>
  <c r="N372" i="1" s="1"/>
  <c r="G372" i="1"/>
  <c r="J372" i="1" s="1"/>
  <c r="F373" i="1"/>
  <c r="I373" i="1" s="1"/>
  <c r="N373" i="1" s="1"/>
  <c r="G373" i="1"/>
  <c r="J373" i="1" s="1"/>
  <c r="F374" i="1"/>
  <c r="I374" i="1" s="1"/>
  <c r="N374" i="1" s="1"/>
  <c r="G374" i="1"/>
  <c r="J374" i="1" s="1"/>
  <c r="F375" i="1"/>
  <c r="I375" i="1" s="1"/>
  <c r="N375" i="1" s="1"/>
  <c r="G375" i="1"/>
  <c r="J375" i="1" s="1"/>
  <c r="F376" i="1"/>
  <c r="I376" i="1" s="1"/>
  <c r="N376" i="1" s="1"/>
  <c r="G376" i="1"/>
  <c r="J376" i="1" s="1"/>
  <c r="F377" i="1"/>
  <c r="I377" i="1" s="1"/>
  <c r="N377" i="1" s="1"/>
  <c r="G377" i="1"/>
  <c r="J377" i="1" s="1"/>
  <c r="F378" i="1"/>
  <c r="I378" i="1" s="1"/>
  <c r="N378" i="1" s="1"/>
  <c r="G378" i="1"/>
  <c r="J378" i="1" s="1"/>
  <c r="F379" i="1"/>
  <c r="I379" i="1" s="1"/>
  <c r="N379" i="1" s="1"/>
  <c r="G379" i="1"/>
  <c r="J379" i="1" s="1"/>
  <c r="F380" i="1"/>
  <c r="I380" i="1" s="1"/>
  <c r="N380" i="1" s="1"/>
  <c r="G380" i="1"/>
  <c r="J380" i="1" s="1"/>
  <c r="F381" i="1"/>
  <c r="I381" i="1" s="1"/>
  <c r="N381" i="1" s="1"/>
  <c r="G381" i="1"/>
  <c r="J381" i="1" s="1"/>
  <c r="F382" i="1"/>
  <c r="I382" i="1" s="1"/>
  <c r="N382" i="1" s="1"/>
  <c r="G382" i="1"/>
  <c r="J382" i="1" s="1"/>
  <c r="F383" i="1"/>
  <c r="I383" i="1" s="1"/>
  <c r="N383" i="1" s="1"/>
  <c r="G383" i="1"/>
  <c r="J383" i="1" s="1"/>
  <c r="F384" i="1"/>
  <c r="I384" i="1" s="1"/>
  <c r="N384" i="1" s="1"/>
  <c r="G384" i="1"/>
  <c r="J384" i="1" s="1"/>
  <c r="F385" i="1"/>
  <c r="I385" i="1" s="1"/>
  <c r="N385" i="1" s="1"/>
  <c r="G385" i="1"/>
  <c r="J385" i="1" s="1"/>
  <c r="F386" i="1"/>
  <c r="I386" i="1" s="1"/>
  <c r="N386" i="1" s="1"/>
  <c r="G386" i="1"/>
  <c r="J386" i="1" s="1"/>
  <c r="F387" i="1"/>
  <c r="I387" i="1" s="1"/>
  <c r="N387" i="1" s="1"/>
  <c r="G387" i="1"/>
  <c r="J387" i="1" s="1"/>
  <c r="F388" i="1"/>
  <c r="I388" i="1" s="1"/>
  <c r="N388" i="1" s="1"/>
  <c r="G388" i="1"/>
  <c r="J388" i="1" s="1"/>
  <c r="F389" i="1"/>
  <c r="I389" i="1" s="1"/>
  <c r="N389" i="1" s="1"/>
  <c r="G389" i="1"/>
  <c r="J389" i="1" s="1"/>
  <c r="F390" i="1"/>
  <c r="I390" i="1" s="1"/>
  <c r="N390" i="1" s="1"/>
  <c r="G390" i="1"/>
  <c r="J390" i="1" s="1"/>
  <c r="F391" i="1"/>
  <c r="I391" i="1" s="1"/>
  <c r="N391" i="1" s="1"/>
  <c r="G391" i="1"/>
  <c r="J391" i="1" s="1"/>
  <c r="F392" i="1"/>
  <c r="I392" i="1" s="1"/>
  <c r="N392" i="1" s="1"/>
  <c r="G392" i="1"/>
  <c r="J392" i="1" s="1"/>
  <c r="F393" i="1"/>
  <c r="I393" i="1" s="1"/>
  <c r="N393" i="1" s="1"/>
  <c r="G393" i="1"/>
  <c r="J393" i="1" s="1"/>
  <c r="F394" i="1"/>
  <c r="I394" i="1" s="1"/>
  <c r="N394" i="1" s="1"/>
  <c r="G394" i="1"/>
  <c r="J394" i="1" s="1"/>
  <c r="F395" i="1"/>
  <c r="I395" i="1" s="1"/>
  <c r="N395" i="1" s="1"/>
  <c r="G395" i="1"/>
  <c r="J395" i="1" s="1"/>
  <c r="F396" i="1"/>
  <c r="I396" i="1" s="1"/>
  <c r="N396" i="1" s="1"/>
  <c r="G396" i="1"/>
  <c r="J396" i="1" s="1"/>
  <c r="F397" i="1"/>
  <c r="I397" i="1" s="1"/>
  <c r="N397" i="1" s="1"/>
  <c r="G397" i="1"/>
  <c r="J397" i="1" s="1"/>
  <c r="F398" i="1"/>
  <c r="I398" i="1" s="1"/>
  <c r="N398" i="1" s="1"/>
  <c r="G398" i="1"/>
  <c r="J398" i="1" s="1"/>
  <c r="F399" i="1"/>
  <c r="I399" i="1" s="1"/>
  <c r="N399" i="1" s="1"/>
  <c r="G399" i="1"/>
  <c r="J399" i="1" s="1"/>
  <c r="F400" i="1"/>
  <c r="I400" i="1" s="1"/>
  <c r="N400" i="1" s="1"/>
  <c r="G400" i="1"/>
  <c r="J400" i="1" s="1"/>
  <c r="F401" i="1"/>
  <c r="I401" i="1" s="1"/>
  <c r="N401" i="1" s="1"/>
  <c r="G401" i="1"/>
  <c r="J401" i="1" s="1"/>
  <c r="F402" i="1"/>
  <c r="I402" i="1" s="1"/>
  <c r="N402" i="1" s="1"/>
  <c r="G402" i="1"/>
  <c r="J402" i="1" s="1"/>
  <c r="F403" i="1"/>
  <c r="I403" i="1" s="1"/>
  <c r="N403" i="1" s="1"/>
  <c r="G403" i="1"/>
  <c r="J403" i="1" s="1"/>
  <c r="F404" i="1"/>
  <c r="I404" i="1" s="1"/>
  <c r="N404" i="1" s="1"/>
  <c r="G404" i="1"/>
  <c r="J404" i="1" s="1"/>
  <c r="F405" i="1"/>
  <c r="I405" i="1" s="1"/>
  <c r="N405" i="1" s="1"/>
  <c r="G405" i="1"/>
  <c r="J405" i="1" s="1"/>
  <c r="F406" i="1"/>
  <c r="I406" i="1" s="1"/>
  <c r="N406" i="1" s="1"/>
  <c r="G406" i="1"/>
  <c r="J406" i="1" s="1"/>
  <c r="F407" i="1"/>
  <c r="I407" i="1" s="1"/>
  <c r="N407" i="1" s="1"/>
  <c r="G407" i="1"/>
  <c r="J407" i="1" s="1"/>
  <c r="F408" i="1"/>
  <c r="I408" i="1" s="1"/>
  <c r="N408" i="1" s="1"/>
  <c r="G408" i="1"/>
  <c r="J408" i="1" s="1"/>
  <c r="F409" i="1"/>
  <c r="I409" i="1" s="1"/>
  <c r="N409" i="1" s="1"/>
  <c r="G409" i="1"/>
  <c r="J409" i="1" s="1"/>
  <c r="F410" i="1"/>
  <c r="I410" i="1" s="1"/>
  <c r="N410" i="1" s="1"/>
  <c r="G410" i="1"/>
  <c r="J410" i="1" s="1"/>
  <c r="F411" i="1"/>
  <c r="I411" i="1" s="1"/>
  <c r="N411" i="1" s="1"/>
  <c r="G411" i="1"/>
  <c r="J411" i="1" s="1"/>
  <c r="F412" i="1"/>
  <c r="I412" i="1" s="1"/>
  <c r="N412" i="1" s="1"/>
  <c r="G412" i="1"/>
  <c r="J412" i="1" s="1"/>
  <c r="F413" i="1"/>
  <c r="I413" i="1" s="1"/>
  <c r="N413" i="1" s="1"/>
  <c r="G413" i="1"/>
  <c r="J413" i="1" s="1"/>
  <c r="F414" i="1"/>
  <c r="I414" i="1" s="1"/>
  <c r="N414" i="1" s="1"/>
  <c r="G414" i="1"/>
  <c r="J414" i="1" s="1"/>
  <c r="F415" i="1"/>
  <c r="I415" i="1" s="1"/>
  <c r="N415" i="1" s="1"/>
  <c r="G415" i="1"/>
  <c r="J415" i="1" s="1"/>
  <c r="F416" i="1"/>
  <c r="I416" i="1" s="1"/>
  <c r="N416" i="1" s="1"/>
  <c r="G416" i="1"/>
  <c r="J416" i="1" s="1"/>
  <c r="F417" i="1"/>
  <c r="I417" i="1" s="1"/>
  <c r="N417" i="1" s="1"/>
  <c r="G417" i="1"/>
  <c r="J417" i="1" s="1"/>
  <c r="F418" i="1"/>
  <c r="I418" i="1" s="1"/>
  <c r="N418" i="1" s="1"/>
  <c r="G418" i="1"/>
  <c r="J418" i="1" s="1"/>
  <c r="F419" i="1"/>
  <c r="I419" i="1" s="1"/>
  <c r="N419" i="1" s="1"/>
  <c r="G419" i="1"/>
  <c r="J419" i="1" s="1"/>
  <c r="F420" i="1"/>
  <c r="I420" i="1" s="1"/>
  <c r="N420" i="1" s="1"/>
  <c r="G420" i="1"/>
  <c r="J420" i="1" s="1"/>
  <c r="F421" i="1"/>
  <c r="I421" i="1" s="1"/>
  <c r="N421" i="1" s="1"/>
  <c r="G421" i="1"/>
  <c r="J421" i="1" s="1"/>
  <c r="F422" i="1"/>
  <c r="I422" i="1" s="1"/>
  <c r="N422" i="1" s="1"/>
  <c r="G422" i="1"/>
  <c r="J422" i="1" s="1"/>
  <c r="F423" i="1"/>
  <c r="I423" i="1" s="1"/>
  <c r="N423" i="1" s="1"/>
  <c r="G423" i="1"/>
  <c r="J423" i="1" s="1"/>
  <c r="F424" i="1"/>
  <c r="I424" i="1" s="1"/>
  <c r="N424" i="1" s="1"/>
  <c r="G424" i="1"/>
  <c r="J424" i="1" s="1"/>
  <c r="F425" i="1"/>
  <c r="I425" i="1" s="1"/>
  <c r="N425" i="1" s="1"/>
  <c r="G425" i="1"/>
  <c r="J425" i="1" s="1"/>
  <c r="F426" i="1"/>
  <c r="I426" i="1" s="1"/>
  <c r="N426" i="1" s="1"/>
  <c r="G426" i="1"/>
  <c r="J426" i="1" s="1"/>
  <c r="F427" i="1"/>
  <c r="I427" i="1" s="1"/>
  <c r="N427" i="1" s="1"/>
  <c r="G427" i="1"/>
  <c r="J427" i="1" s="1"/>
  <c r="F428" i="1"/>
  <c r="I428" i="1" s="1"/>
  <c r="N428" i="1" s="1"/>
  <c r="G428" i="1"/>
  <c r="J428" i="1" s="1"/>
  <c r="F429" i="1"/>
  <c r="I429" i="1" s="1"/>
  <c r="N429" i="1" s="1"/>
  <c r="G429" i="1"/>
  <c r="J429" i="1" s="1"/>
  <c r="F430" i="1"/>
  <c r="I430" i="1" s="1"/>
  <c r="N430" i="1" s="1"/>
  <c r="G430" i="1"/>
  <c r="J430" i="1" s="1"/>
  <c r="F431" i="1"/>
  <c r="I431" i="1" s="1"/>
  <c r="N431" i="1" s="1"/>
  <c r="G431" i="1"/>
  <c r="J431" i="1" s="1"/>
  <c r="F432" i="1"/>
  <c r="I432" i="1" s="1"/>
  <c r="N432" i="1" s="1"/>
  <c r="G432" i="1"/>
  <c r="J432" i="1" s="1"/>
  <c r="F433" i="1"/>
  <c r="I433" i="1" s="1"/>
  <c r="N433" i="1" s="1"/>
  <c r="G433" i="1"/>
  <c r="J433" i="1" s="1"/>
  <c r="F434" i="1"/>
  <c r="I434" i="1" s="1"/>
  <c r="N434" i="1" s="1"/>
  <c r="G434" i="1"/>
  <c r="J434" i="1" s="1"/>
  <c r="F435" i="1"/>
  <c r="I435" i="1" s="1"/>
  <c r="N435" i="1" s="1"/>
  <c r="G435" i="1"/>
  <c r="J435" i="1" s="1"/>
  <c r="F436" i="1"/>
  <c r="I436" i="1" s="1"/>
  <c r="N436" i="1" s="1"/>
  <c r="G436" i="1"/>
  <c r="J436" i="1" s="1"/>
  <c r="F437" i="1"/>
  <c r="I437" i="1" s="1"/>
  <c r="N437" i="1" s="1"/>
  <c r="G437" i="1"/>
  <c r="J437" i="1" s="1"/>
  <c r="F438" i="1"/>
  <c r="I438" i="1" s="1"/>
  <c r="N438" i="1" s="1"/>
  <c r="G438" i="1"/>
  <c r="J438" i="1" s="1"/>
  <c r="F439" i="1"/>
  <c r="I439" i="1" s="1"/>
  <c r="N439" i="1" s="1"/>
  <c r="G439" i="1"/>
  <c r="J439" i="1" s="1"/>
  <c r="F440" i="1"/>
  <c r="I440" i="1" s="1"/>
  <c r="N440" i="1" s="1"/>
  <c r="G440" i="1"/>
  <c r="J440" i="1" s="1"/>
  <c r="F441" i="1"/>
  <c r="I441" i="1" s="1"/>
  <c r="N441" i="1" s="1"/>
  <c r="G441" i="1"/>
  <c r="J441" i="1" s="1"/>
  <c r="F442" i="1"/>
  <c r="I442" i="1" s="1"/>
  <c r="N442" i="1" s="1"/>
  <c r="G442" i="1"/>
  <c r="J442" i="1" s="1"/>
  <c r="F443" i="1"/>
  <c r="I443" i="1" s="1"/>
  <c r="N443" i="1" s="1"/>
  <c r="G443" i="1"/>
  <c r="J443" i="1" s="1"/>
  <c r="F444" i="1"/>
  <c r="I444" i="1" s="1"/>
  <c r="N444" i="1" s="1"/>
  <c r="G444" i="1"/>
  <c r="J444" i="1" s="1"/>
  <c r="F445" i="1"/>
  <c r="I445" i="1" s="1"/>
  <c r="N445" i="1" s="1"/>
  <c r="G445" i="1"/>
  <c r="J445" i="1" s="1"/>
  <c r="F446" i="1"/>
  <c r="I446" i="1" s="1"/>
  <c r="N446" i="1" s="1"/>
  <c r="G446" i="1"/>
  <c r="J446" i="1" s="1"/>
  <c r="F447" i="1"/>
  <c r="I447" i="1" s="1"/>
  <c r="N447" i="1" s="1"/>
  <c r="G447" i="1"/>
  <c r="J447" i="1" s="1"/>
  <c r="F448" i="1"/>
  <c r="I448" i="1" s="1"/>
  <c r="N448" i="1" s="1"/>
  <c r="G448" i="1"/>
  <c r="J448" i="1" s="1"/>
  <c r="F449" i="1"/>
  <c r="I449" i="1" s="1"/>
  <c r="N449" i="1" s="1"/>
  <c r="G449" i="1"/>
  <c r="J449" i="1" s="1"/>
  <c r="F450" i="1"/>
  <c r="I450" i="1" s="1"/>
  <c r="G450" i="1"/>
  <c r="J450" i="1" s="1"/>
  <c r="F451" i="1"/>
  <c r="I451" i="1" s="1"/>
  <c r="G451" i="1"/>
  <c r="J451" i="1" s="1"/>
  <c r="F452" i="1"/>
  <c r="I452" i="1" s="1"/>
  <c r="G452" i="1"/>
  <c r="J452" i="1" s="1"/>
  <c r="F453" i="1"/>
  <c r="I453" i="1" s="1"/>
  <c r="G453" i="1"/>
  <c r="J453" i="1" s="1"/>
  <c r="F454" i="1"/>
  <c r="I454" i="1" s="1"/>
  <c r="G454" i="1"/>
  <c r="J454" i="1" s="1"/>
  <c r="F455" i="1"/>
  <c r="I455" i="1" s="1"/>
  <c r="G455" i="1"/>
  <c r="J455" i="1" s="1"/>
  <c r="F456" i="1"/>
  <c r="I456" i="1" s="1"/>
  <c r="G456" i="1"/>
  <c r="J456" i="1" s="1"/>
  <c r="F457" i="1"/>
  <c r="I457" i="1" s="1"/>
  <c r="G457" i="1"/>
  <c r="J457" i="1" s="1"/>
  <c r="F458" i="1"/>
  <c r="I458" i="1" s="1"/>
  <c r="G458" i="1"/>
  <c r="J458" i="1" s="1"/>
  <c r="F459" i="1"/>
  <c r="I459" i="1" s="1"/>
  <c r="G459" i="1"/>
  <c r="J459" i="1" s="1"/>
  <c r="F460" i="1"/>
  <c r="I460" i="1" s="1"/>
  <c r="G460" i="1"/>
  <c r="J460" i="1" s="1"/>
  <c r="F461" i="1"/>
  <c r="I461" i="1" s="1"/>
  <c r="G461" i="1"/>
  <c r="J461" i="1" s="1"/>
  <c r="F462" i="1"/>
  <c r="I462" i="1" s="1"/>
  <c r="G462" i="1"/>
  <c r="J462" i="1" s="1"/>
  <c r="F463" i="1"/>
  <c r="I463" i="1" s="1"/>
  <c r="G463" i="1"/>
  <c r="J463" i="1" s="1"/>
  <c r="F464" i="1"/>
  <c r="I464" i="1" s="1"/>
  <c r="G464" i="1"/>
  <c r="J464" i="1" s="1"/>
  <c r="F465" i="1"/>
  <c r="I465" i="1" s="1"/>
  <c r="G465" i="1"/>
  <c r="J465" i="1" s="1"/>
  <c r="F466" i="1"/>
  <c r="I466" i="1" s="1"/>
  <c r="G466" i="1"/>
  <c r="J466" i="1" s="1"/>
  <c r="F467" i="1"/>
  <c r="I467" i="1" s="1"/>
  <c r="G467" i="1"/>
  <c r="J467" i="1" s="1"/>
  <c r="F468" i="1"/>
  <c r="I468" i="1" s="1"/>
  <c r="G468" i="1"/>
  <c r="J468" i="1" s="1"/>
  <c r="F469" i="1"/>
  <c r="I469" i="1" s="1"/>
  <c r="G469" i="1"/>
  <c r="J469" i="1" s="1"/>
  <c r="F470" i="1"/>
  <c r="I470" i="1" s="1"/>
  <c r="G470" i="1"/>
  <c r="J470" i="1" s="1"/>
  <c r="F471" i="1"/>
  <c r="I471" i="1" s="1"/>
  <c r="G471" i="1"/>
  <c r="J471" i="1" s="1"/>
  <c r="F472" i="1"/>
  <c r="I472" i="1" s="1"/>
  <c r="G472" i="1"/>
  <c r="J472" i="1" s="1"/>
  <c r="F473" i="1"/>
  <c r="I473" i="1" s="1"/>
  <c r="G473" i="1"/>
  <c r="J473" i="1" s="1"/>
  <c r="F474" i="1"/>
  <c r="I474" i="1" s="1"/>
  <c r="G474" i="1"/>
  <c r="J474" i="1" s="1"/>
  <c r="F475" i="1"/>
  <c r="I475" i="1" s="1"/>
  <c r="G475" i="1"/>
  <c r="J475" i="1" s="1"/>
  <c r="F476" i="1"/>
  <c r="I476" i="1" s="1"/>
  <c r="G476" i="1"/>
  <c r="J476" i="1" s="1"/>
  <c r="F477" i="1"/>
  <c r="I477" i="1" s="1"/>
  <c r="G477" i="1"/>
  <c r="J477" i="1" s="1"/>
  <c r="F478" i="1"/>
  <c r="I478" i="1" s="1"/>
  <c r="G478" i="1"/>
  <c r="J478" i="1" s="1"/>
  <c r="F479" i="1"/>
  <c r="I479" i="1" s="1"/>
  <c r="G479" i="1"/>
  <c r="J479" i="1" s="1"/>
  <c r="F480" i="1"/>
  <c r="I480" i="1" s="1"/>
  <c r="G480" i="1"/>
  <c r="J480" i="1" s="1"/>
  <c r="F481" i="1"/>
  <c r="I481" i="1" s="1"/>
  <c r="G481" i="1"/>
  <c r="J481" i="1" s="1"/>
  <c r="F482" i="1"/>
  <c r="I482" i="1" s="1"/>
  <c r="G482" i="1"/>
  <c r="J482" i="1" s="1"/>
  <c r="F483" i="1"/>
  <c r="I483" i="1" s="1"/>
  <c r="G483" i="1"/>
  <c r="J483" i="1" s="1"/>
  <c r="F484" i="1"/>
  <c r="I484" i="1" s="1"/>
  <c r="G484" i="1"/>
  <c r="J484" i="1" s="1"/>
  <c r="F485" i="1"/>
  <c r="I485" i="1" s="1"/>
  <c r="G485" i="1"/>
  <c r="J485" i="1" s="1"/>
  <c r="F486" i="1"/>
  <c r="I486" i="1" s="1"/>
  <c r="G486" i="1"/>
  <c r="J486" i="1" s="1"/>
  <c r="F487" i="1"/>
  <c r="I487" i="1" s="1"/>
  <c r="G487" i="1"/>
  <c r="J487" i="1" s="1"/>
  <c r="F488" i="1"/>
  <c r="I488" i="1" s="1"/>
  <c r="G488" i="1"/>
  <c r="J488" i="1" s="1"/>
  <c r="F489" i="1"/>
  <c r="I489" i="1" s="1"/>
  <c r="G489" i="1"/>
  <c r="J489" i="1" s="1"/>
  <c r="F490" i="1"/>
  <c r="I490" i="1" s="1"/>
  <c r="G490" i="1"/>
  <c r="J490" i="1" s="1"/>
  <c r="F491" i="1"/>
  <c r="I491" i="1" s="1"/>
  <c r="G491" i="1"/>
  <c r="J491" i="1" s="1"/>
  <c r="F492" i="1"/>
  <c r="I492" i="1" s="1"/>
  <c r="G492" i="1"/>
  <c r="J492" i="1" s="1"/>
  <c r="F493" i="1"/>
  <c r="I493" i="1" s="1"/>
  <c r="G493" i="1"/>
  <c r="J493" i="1" s="1"/>
  <c r="F494" i="1"/>
  <c r="I494" i="1" s="1"/>
  <c r="G494" i="1"/>
  <c r="J494" i="1" s="1"/>
  <c r="F495" i="1"/>
  <c r="I495" i="1" s="1"/>
  <c r="G495" i="1"/>
  <c r="J495" i="1" s="1"/>
  <c r="F496" i="1"/>
  <c r="I496" i="1" s="1"/>
  <c r="G496" i="1"/>
  <c r="J496" i="1" s="1"/>
  <c r="F497" i="1"/>
  <c r="I497" i="1" s="1"/>
  <c r="G497" i="1"/>
  <c r="J497" i="1" s="1"/>
  <c r="F498" i="1"/>
  <c r="I498" i="1" s="1"/>
  <c r="G498" i="1"/>
  <c r="J498" i="1" s="1"/>
  <c r="F499" i="1"/>
  <c r="I499" i="1" s="1"/>
  <c r="G499" i="1"/>
  <c r="J499" i="1" s="1"/>
  <c r="F500" i="1"/>
  <c r="I500" i="1" s="1"/>
  <c r="G500" i="1"/>
  <c r="J500" i="1" s="1"/>
  <c r="F501" i="1"/>
  <c r="I501" i="1" s="1"/>
  <c r="G501" i="1"/>
  <c r="J501" i="1" s="1"/>
  <c r="F502" i="1"/>
  <c r="I502" i="1" s="1"/>
  <c r="G502" i="1"/>
  <c r="J502" i="1" s="1"/>
  <c r="F503" i="1"/>
  <c r="I503" i="1" s="1"/>
  <c r="G503" i="1"/>
  <c r="J503" i="1" s="1"/>
  <c r="F504" i="1"/>
  <c r="I504" i="1" s="1"/>
  <c r="G504" i="1"/>
  <c r="J504" i="1" s="1"/>
  <c r="F505" i="1"/>
  <c r="I505" i="1" s="1"/>
  <c r="G505" i="1"/>
  <c r="J505" i="1" s="1"/>
  <c r="F506" i="1"/>
  <c r="I506" i="1" s="1"/>
  <c r="G506" i="1"/>
  <c r="J506" i="1" s="1"/>
  <c r="F507" i="1"/>
  <c r="I507" i="1" s="1"/>
  <c r="G507" i="1"/>
  <c r="J507" i="1" s="1"/>
  <c r="F508" i="1"/>
  <c r="I508" i="1" s="1"/>
  <c r="G508" i="1"/>
  <c r="J508" i="1" s="1"/>
  <c r="F509" i="1"/>
  <c r="I509" i="1" s="1"/>
  <c r="G509" i="1"/>
  <c r="J509" i="1" s="1"/>
  <c r="F510" i="1"/>
  <c r="I510" i="1" s="1"/>
  <c r="G510" i="1"/>
  <c r="J510" i="1" s="1"/>
  <c r="F511" i="1"/>
  <c r="I511" i="1" s="1"/>
  <c r="G511" i="1"/>
  <c r="J511" i="1" s="1"/>
  <c r="F512" i="1"/>
  <c r="I512" i="1" s="1"/>
  <c r="G512" i="1"/>
  <c r="J512" i="1" s="1"/>
  <c r="F513" i="1"/>
  <c r="I513" i="1" s="1"/>
  <c r="G513" i="1"/>
  <c r="J513" i="1" s="1"/>
  <c r="F514" i="1"/>
  <c r="I514" i="1" s="1"/>
  <c r="G514" i="1"/>
  <c r="J514" i="1" s="1"/>
  <c r="F515" i="1"/>
  <c r="I515" i="1" s="1"/>
  <c r="G515" i="1"/>
  <c r="J515" i="1" s="1"/>
  <c r="F516" i="1"/>
  <c r="I516" i="1" s="1"/>
  <c r="G516" i="1"/>
  <c r="J516" i="1" s="1"/>
  <c r="F517" i="1"/>
  <c r="I517" i="1" s="1"/>
  <c r="G517" i="1"/>
  <c r="J517" i="1" s="1"/>
  <c r="F518" i="1"/>
  <c r="I518" i="1" s="1"/>
  <c r="G518" i="1"/>
  <c r="J518" i="1" s="1"/>
  <c r="F519" i="1"/>
  <c r="I519" i="1" s="1"/>
  <c r="G519" i="1"/>
  <c r="J519" i="1" s="1"/>
  <c r="F520" i="1"/>
  <c r="I520" i="1" s="1"/>
  <c r="G520" i="1"/>
  <c r="J520" i="1" s="1"/>
  <c r="F521" i="1"/>
  <c r="I521" i="1" s="1"/>
  <c r="G521" i="1"/>
  <c r="J521" i="1" s="1"/>
  <c r="F522" i="1"/>
  <c r="I522" i="1" s="1"/>
  <c r="G522" i="1"/>
  <c r="J522" i="1" s="1"/>
  <c r="F523" i="1"/>
  <c r="I523" i="1" s="1"/>
  <c r="G523" i="1"/>
  <c r="J523" i="1" s="1"/>
  <c r="F524" i="1"/>
  <c r="I524" i="1" s="1"/>
  <c r="G524" i="1"/>
  <c r="J524" i="1" s="1"/>
  <c r="F525" i="1"/>
  <c r="I525" i="1" s="1"/>
  <c r="G525" i="1"/>
  <c r="J525" i="1" s="1"/>
  <c r="F526" i="1"/>
  <c r="I526" i="1" s="1"/>
  <c r="G526" i="1"/>
  <c r="J526" i="1" s="1"/>
  <c r="F527" i="1"/>
  <c r="I527" i="1" s="1"/>
  <c r="G527" i="1"/>
  <c r="J527" i="1" s="1"/>
  <c r="F528" i="1"/>
  <c r="I528" i="1" s="1"/>
  <c r="G528" i="1"/>
  <c r="J528" i="1" s="1"/>
  <c r="F529" i="1"/>
  <c r="I529" i="1" s="1"/>
  <c r="G529" i="1"/>
  <c r="J529" i="1" s="1"/>
  <c r="F530" i="1"/>
  <c r="I530" i="1" s="1"/>
  <c r="G530" i="1"/>
  <c r="J530" i="1" s="1"/>
  <c r="F531" i="1"/>
  <c r="I531" i="1" s="1"/>
  <c r="G531" i="1"/>
  <c r="J531" i="1" s="1"/>
  <c r="F532" i="1"/>
  <c r="I532" i="1" s="1"/>
  <c r="G532" i="1"/>
  <c r="J532" i="1" s="1"/>
  <c r="F533" i="1"/>
  <c r="I533" i="1" s="1"/>
  <c r="G533" i="1"/>
  <c r="J533" i="1" s="1"/>
  <c r="F534" i="1"/>
  <c r="I534" i="1" s="1"/>
  <c r="G534" i="1"/>
  <c r="J534" i="1" s="1"/>
  <c r="F535" i="1"/>
  <c r="I535" i="1" s="1"/>
  <c r="G535" i="1"/>
  <c r="J535" i="1" s="1"/>
  <c r="F536" i="1"/>
  <c r="I536" i="1" s="1"/>
  <c r="G536" i="1"/>
  <c r="J536" i="1" s="1"/>
  <c r="F537" i="1"/>
  <c r="I537" i="1" s="1"/>
  <c r="G537" i="1"/>
  <c r="J537" i="1" s="1"/>
  <c r="F538" i="1"/>
  <c r="I538" i="1" s="1"/>
  <c r="G538" i="1"/>
  <c r="J538" i="1" s="1"/>
  <c r="F539" i="1"/>
  <c r="I539" i="1" s="1"/>
  <c r="G539" i="1"/>
  <c r="J539" i="1" s="1"/>
  <c r="F540" i="1"/>
  <c r="I540" i="1" s="1"/>
  <c r="G540" i="1"/>
  <c r="J540" i="1" s="1"/>
  <c r="F541" i="1"/>
  <c r="I541" i="1" s="1"/>
  <c r="G541" i="1"/>
  <c r="J541" i="1" s="1"/>
  <c r="F542" i="1"/>
  <c r="I542" i="1" s="1"/>
  <c r="G542" i="1"/>
  <c r="J542" i="1" s="1"/>
  <c r="F543" i="1"/>
  <c r="I543" i="1" s="1"/>
  <c r="G543" i="1"/>
  <c r="J543" i="1" s="1"/>
  <c r="F544" i="1"/>
  <c r="I544" i="1" s="1"/>
  <c r="G544" i="1"/>
  <c r="J544" i="1" s="1"/>
  <c r="F545" i="1"/>
  <c r="I545" i="1" s="1"/>
  <c r="G545" i="1"/>
  <c r="J545" i="1" s="1"/>
  <c r="F546" i="1"/>
  <c r="I546" i="1" s="1"/>
  <c r="G546" i="1"/>
  <c r="J546" i="1" s="1"/>
  <c r="F547" i="1"/>
  <c r="I547" i="1" s="1"/>
  <c r="G547" i="1"/>
  <c r="J547" i="1" s="1"/>
  <c r="F548" i="1"/>
  <c r="I548" i="1" s="1"/>
  <c r="G548" i="1"/>
  <c r="J548" i="1" s="1"/>
  <c r="F549" i="1"/>
  <c r="I549" i="1" s="1"/>
  <c r="G549" i="1"/>
  <c r="J549" i="1" s="1"/>
  <c r="F550" i="1"/>
  <c r="I550" i="1" s="1"/>
  <c r="G550" i="1"/>
  <c r="J550" i="1" s="1"/>
  <c r="F551" i="1"/>
  <c r="I551" i="1" s="1"/>
  <c r="G551" i="1"/>
  <c r="J551" i="1" s="1"/>
  <c r="F552" i="1"/>
  <c r="I552" i="1" s="1"/>
  <c r="G552" i="1"/>
  <c r="J552" i="1" s="1"/>
  <c r="F553" i="1"/>
  <c r="I553" i="1" s="1"/>
  <c r="G553" i="1"/>
  <c r="J553" i="1" s="1"/>
  <c r="F554" i="1"/>
  <c r="I554" i="1" s="1"/>
  <c r="G554" i="1"/>
  <c r="J554" i="1" s="1"/>
  <c r="F555" i="1"/>
  <c r="I555" i="1" s="1"/>
  <c r="G555" i="1"/>
  <c r="J555" i="1" s="1"/>
  <c r="F556" i="1"/>
  <c r="I556" i="1" s="1"/>
  <c r="G556" i="1"/>
  <c r="J556" i="1" s="1"/>
  <c r="F557" i="1"/>
  <c r="I557" i="1" s="1"/>
  <c r="G557" i="1"/>
  <c r="J557" i="1" s="1"/>
  <c r="F558" i="1"/>
  <c r="I558" i="1" s="1"/>
  <c r="G558" i="1"/>
  <c r="J558" i="1" s="1"/>
  <c r="F559" i="1"/>
  <c r="I559" i="1" s="1"/>
  <c r="G559" i="1"/>
  <c r="J559" i="1" s="1"/>
  <c r="F560" i="1"/>
  <c r="I560" i="1" s="1"/>
  <c r="G560" i="1"/>
  <c r="J560" i="1" s="1"/>
  <c r="F561" i="1"/>
  <c r="I561" i="1" s="1"/>
  <c r="G561" i="1"/>
  <c r="J561" i="1" s="1"/>
  <c r="F562" i="1"/>
  <c r="I562" i="1" s="1"/>
  <c r="G562" i="1"/>
  <c r="J562" i="1" s="1"/>
  <c r="F563" i="1"/>
  <c r="I563" i="1" s="1"/>
  <c r="G563" i="1"/>
  <c r="J563" i="1" s="1"/>
  <c r="F564" i="1"/>
  <c r="I564" i="1" s="1"/>
  <c r="G564" i="1"/>
  <c r="J564" i="1" s="1"/>
  <c r="F565" i="1"/>
  <c r="I565" i="1" s="1"/>
  <c r="G565" i="1"/>
  <c r="J565" i="1" s="1"/>
  <c r="F566" i="1"/>
  <c r="I566" i="1" s="1"/>
  <c r="G566" i="1"/>
  <c r="J566" i="1" s="1"/>
  <c r="F567" i="1"/>
  <c r="I567" i="1" s="1"/>
  <c r="G567" i="1"/>
  <c r="J567" i="1" s="1"/>
  <c r="F568" i="1"/>
  <c r="I568" i="1" s="1"/>
  <c r="G568" i="1"/>
  <c r="J568" i="1" s="1"/>
  <c r="F569" i="1"/>
  <c r="I569" i="1" s="1"/>
  <c r="G569" i="1"/>
  <c r="J569" i="1" s="1"/>
  <c r="F570" i="1"/>
  <c r="I570" i="1" s="1"/>
  <c r="G570" i="1"/>
  <c r="J570" i="1" s="1"/>
  <c r="F571" i="1"/>
  <c r="I571" i="1" s="1"/>
  <c r="G571" i="1"/>
  <c r="J571" i="1" s="1"/>
  <c r="F572" i="1"/>
  <c r="I572" i="1" s="1"/>
  <c r="G572" i="1"/>
  <c r="J572" i="1" s="1"/>
  <c r="F573" i="1"/>
  <c r="I573" i="1" s="1"/>
  <c r="G573" i="1"/>
  <c r="J573" i="1" s="1"/>
  <c r="F574" i="1"/>
  <c r="I574" i="1" s="1"/>
  <c r="G574" i="1"/>
  <c r="J574" i="1" s="1"/>
  <c r="F575" i="1"/>
  <c r="I575" i="1" s="1"/>
  <c r="G575" i="1"/>
  <c r="J575" i="1" s="1"/>
  <c r="F576" i="1"/>
  <c r="I576" i="1" s="1"/>
  <c r="G576" i="1"/>
  <c r="J576" i="1" s="1"/>
  <c r="F577" i="1"/>
  <c r="I577" i="1" s="1"/>
  <c r="G577" i="1"/>
  <c r="J577" i="1" s="1"/>
  <c r="F578" i="1"/>
  <c r="I578" i="1" s="1"/>
  <c r="G578" i="1"/>
  <c r="J578" i="1" s="1"/>
  <c r="F579" i="1"/>
  <c r="I579" i="1" s="1"/>
  <c r="G579" i="1"/>
  <c r="J579" i="1" s="1"/>
  <c r="F580" i="1"/>
  <c r="I580" i="1" s="1"/>
  <c r="G580" i="1"/>
  <c r="J580" i="1" s="1"/>
  <c r="F581" i="1"/>
  <c r="I581" i="1" s="1"/>
  <c r="G581" i="1"/>
  <c r="J581" i="1" s="1"/>
  <c r="F582" i="1"/>
  <c r="I582" i="1" s="1"/>
  <c r="G582" i="1"/>
  <c r="J582" i="1" s="1"/>
  <c r="F583" i="1"/>
  <c r="I583" i="1" s="1"/>
  <c r="G583" i="1"/>
  <c r="J583" i="1" s="1"/>
  <c r="F584" i="1"/>
  <c r="I584" i="1" s="1"/>
  <c r="G584" i="1"/>
  <c r="J584" i="1" s="1"/>
  <c r="F585" i="1"/>
  <c r="I585" i="1" s="1"/>
  <c r="G585" i="1"/>
  <c r="J585" i="1" s="1"/>
  <c r="F586" i="1"/>
  <c r="I586" i="1" s="1"/>
  <c r="G586" i="1"/>
  <c r="J586" i="1" s="1"/>
  <c r="F587" i="1"/>
  <c r="I587" i="1" s="1"/>
  <c r="G587" i="1"/>
  <c r="J587" i="1" s="1"/>
  <c r="F588" i="1"/>
  <c r="I588" i="1" s="1"/>
  <c r="G588" i="1"/>
  <c r="J588" i="1" s="1"/>
  <c r="F589" i="1"/>
  <c r="I589" i="1" s="1"/>
  <c r="G589" i="1"/>
  <c r="J589" i="1" s="1"/>
  <c r="F590" i="1"/>
  <c r="I590" i="1" s="1"/>
  <c r="G590" i="1"/>
  <c r="J590" i="1" s="1"/>
  <c r="F591" i="1"/>
  <c r="I591" i="1" s="1"/>
  <c r="G591" i="1"/>
  <c r="J591" i="1" s="1"/>
  <c r="F592" i="1"/>
  <c r="I592" i="1" s="1"/>
  <c r="G592" i="1"/>
  <c r="J592" i="1" s="1"/>
  <c r="F593" i="1"/>
  <c r="I593" i="1" s="1"/>
  <c r="G593" i="1"/>
  <c r="J593" i="1" s="1"/>
  <c r="F594" i="1"/>
  <c r="I594" i="1" s="1"/>
  <c r="G594" i="1"/>
  <c r="J594" i="1" s="1"/>
  <c r="F595" i="1"/>
  <c r="I595" i="1" s="1"/>
  <c r="G595" i="1"/>
  <c r="J595" i="1" s="1"/>
  <c r="F596" i="1"/>
  <c r="I596" i="1" s="1"/>
  <c r="G596" i="1"/>
  <c r="J596" i="1" s="1"/>
  <c r="F597" i="1"/>
  <c r="I597" i="1" s="1"/>
  <c r="G597" i="1"/>
  <c r="J597" i="1" s="1"/>
  <c r="F598" i="1"/>
  <c r="I598" i="1" s="1"/>
  <c r="G598" i="1"/>
  <c r="J598" i="1" s="1"/>
  <c r="F599" i="1"/>
  <c r="I599" i="1" s="1"/>
  <c r="G599" i="1"/>
  <c r="J599" i="1" s="1"/>
  <c r="F600" i="1"/>
  <c r="I600" i="1" s="1"/>
  <c r="G600" i="1"/>
  <c r="J600" i="1" s="1"/>
  <c r="F601" i="1"/>
  <c r="I601" i="1" s="1"/>
  <c r="G601" i="1"/>
  <c r="J601" i="1" s="1"/>
  <c r="F602" i="1"/>
  <c r="I602" i="1" s="1"/>
  <c r="G602" i="1"/>
  <c r="J602" i="1" s="1"/>
  <c r="F603" i="1"/>
  <c r="I603" i="1" s="1"/>
  <c r="G603" i="1"/>
  <c r="J603" i="1" s="1"/>
  <c r="F604" i="1"/>
  <c r="I604" i="1" s="1"/>
  <c r="G604" i="1"/>
  <c r="J604" i="1" s="1"/>
  <c r="F605" i="1"/>
  <c r="I605" i="1" s="1"/>
  <c r="G605" i="1"/>
  <c r="J605" i="1" s="1"/>
  <c r="F606" i="1"/>
  <c r="I606" i="1" s="1"/>
  <c r="G606" i="1"/>
  <c r="J606" i="1" s="1"/>
  <c r="F607" i="1"/>
  <c r="I607" i="1" s="1"/>
  <c r="G607" i="1"/>
  <c r="J607" i="1" s="1"/>
  <c r="F608" i="1"/>
  <c r="I608" i="1" s="1"/>
  <c r="G608" i="1"/>
  <c r="J608" i="1" s="1"/>
  <c r="F609" i="1"/>
  <c r="I609" i="1" s="1"/>
  <c r="G609" i="1"/>
  <c r="J609" i="1" s="1"/>
  <c r="F610" i="1"/>
  <c r="I610" i="1" s="1"/>
  <c r="G610" i="1"/>
  <c r="J610" i="1" s="1"/>
  <c r="F611" i="1"/>
  <c r="I611" i="1" s="1"/>
  <c r="G611" i="1"/>
  <c r="J611" i="1" s="1"/>
  <c r="F612" i="1"/>
  <c r="I612" i="1" s="1"/>
  <c r="G612" i="1"/>
  <c r="J612" i="1" s="1"/>
  <c r="F613" i="1"/>
  <c r="I613" i="1" s="1"/>
  <c r="G613" i="1"/>
  <c r="J613" i="1" s="1"/>
  <c r="F614" i="1"/>
  <c r="I614" i="1" s="1"/>
  <c r="G614" i="1"/>
  <c r="J614" i="1" s="1"/>
  <c r="F615" i="1"/>
  <c r="I615" i="1" s="1"/>
  <c r="G615" i="1"/>
  <c r="J615" i="1" s="1"/>
  <c r="F616" i="1"/>
  <c r="I616" i="1" s="1"/>
  <c r="G616" i="1"/>
  <c r="J616" i="1" s="1"/>
  <c r="F617" i="1"/>
  <c r="I617" i="1" s="1"/>
  <c r="G617" i="1"/>
  <c r="J617" i="1" s="1"/>
  <c r="F618" i="1"/>
  <c r="I618" i="1" s="1"/>
  <c r="G618" i="1"/>
  <c r="J618" i="1" s="1"/>
  <c r="F619" i="1"/>
  <c r="I619" i="1" s="1"/>
  <c r="G619" i="1"/>
  <c r="J619" i="1" s="1"/>
  <c r="F620" i="1"/>
  <c r="I620" i="1" s="1"/>
  <c r="G620" i="1"/>
  <c r="J620" i="1" s="1"/>
  <c r="F621" i="1"/>
  <c r="I621" i="1" s="1"/>
  <c r="G621" i="1"/>
  <c r="J621" i="1" s="1"/>
  <c r="F622" i="1"/>
  <c r="I622" i="1" s="1"/>
  <c r="G622" i="1"/>
  <c r="J622" i="1" s="1"/>
  <c r="F623" i="1"/>
  <c r="I623" i="1" s="1"/>
  <c r="G623" i="1"/>
  <c r="J623" i="1" s="1"/>
  <c r="F624" i="1"/>
  <c r="I624" i="1" s="1"/>
  <c r="G624" i="1"/>
  <c r="J624" i="1" s="1"/>
  <c r="F625" i="1"/>
  <c r="I625" i="1" s="1"/>
  <c r="G625" i="1"/>
  <c r="J625" i="1" s="1"/>
  <c r="F626" i="1"/>
  <c r="I626" i="1" s="1"/>
  <c r="G626" i="1"/>
  <c r="J626" i="1" s="1"/>
  <c r="F627" i="1"/>
  <c r="I627" i="1" s="1"/>
  <c r="G627" i="1"/>
  <c r="J627" i="1" s="1"/>
  <c r="F628" i="1"/>
  <c r="I628" i="1" s="1"/>
  <c r="G628" i="1"/>
  <c r="J628" i="1" s="1"/>
  <c r="F629" i="1"/>
  <c r="I629" i="1" s="1"/>
  <c r="G629" i="1"/>
  <c r="J629" i="1" s="1"/>
  <c r="F630" i="1"/>
  <c r="I630" i="1" s="1"/>
  <c r="G630" i="1"/>
  <c r="J630" i="1" s="1"/>
  <c r="F631" i="1"/>
  <c r="I631" i="1" s="1"/>
  <c r="G631" i="1"/>
  <c r="J631" i="1" s="1"/>
  <c r="F632" i="1"/>
  <c r="I632" i="1" s="1"/>
  <c r="G632" i="1"/>
  <c r="J632" i="1" s="1"/>
  <c r="F633" i="1"/>
  <c r="I633" i="1" s="1"/>
  <c r="G633" i="1"/>
  <c r="J633" i="1" s="1"/>
  <c r="F634" i="1"/>
  <c r="I634" i="1" s="1"/>
  <c r="G634" i="1"/>
  <c r="J634" i="1" s="1"/>
  <c r="F635" i="1"/>
  <c r="I635" i="1" s="1"/>
  <c r="G635" i="1"/>
  <c r="J635" i="1" s="1"/>
  <c r="F636" i="1"/>
  <c r="I636" i="1" s="1"/>
  <c r="G636" i="1"/>
  <c r="J636" i="1" s="1"/>
  <c r="F637" i="1"/>
  <c r="I637" i="1" s="1"/>
  <c r="G637" i="1"/>
  <c r="J637" i="1" s="1"/>
  <c r="F638" i="1"/>
  <c r="I638" i="1" s="1"/>
  <c r="G638" i="1"/>
  <c r="J638" i="1" s="1"/>
  <c r="F639" i="1"/>
  <c r="I639" i="1" s="1"/>
  <c r="G639" i="1"/>
  <c r="J639" i="1" s="1"/>
  <c r="F640" i="1"/>
  <c r="I640" i="1" s="1"/>
  <c r="G640" i="1"/>
  <c r="J640" i="1" s="1"/>
  <c r="F641" i="1"/>
  <c r="I641" i="1" s="1"/>
  <c r="G641" i="1"/>
  <c r="J641" i="1" s="1"/>
  <c r="G2" i="1"/>
  <c r="J2" i="1" s="1"/>
  <c r="F2" i="1"/>
  <c r="I2" i="1" s="1"/>
  <c r="N2" i="1" s="1"/>
  <c r="E3" i="1"/>
  <c r="H3" i="1" s="1"/>
  <c r="M3" i="1" s="1"/>
  <c r="O3" i="1" s="1"/>
  <c r="E4" i="1"/>
  <c r="H4" i="1" s="1"/>
  <c r="M4" i="1" s="1"/>
  <c r="E5" i="1"/>
  <c r="H5" i="1" s="1"/>
  <c r="M5" i="1" s="1"/>
  <c r="O5" i="1" s="1"/>
  <c r="E6" i="1"/>
  <c r="H6" i="1" s="1"/>
  <c r="M6" i="1" s="1"/>
  <c r="O6" i="1" s="1"/>
  <c r="E7" i="1"/>
  <c r="H7" i="1" s="1"/>
  <c r="M7" i="1" s="1"/>
  <c r="E8" i="1"/>
  <c r="H8" i="1" s="1"/>
  <c r="M8" i="1" s="1"/>
  <c r="E9" i="1"/>
  <c r="H9" i="1" s="1"/>
  <c r="M9" i="1" s="1"/>
  <c r="O9" i="1" s="1"/>
  <c r="E10" i="1"/>
  <c r="H10" i="1" s="1"/>
  <c r="M10" i="1" s="1"/>
  <c r="O10" i="1" s="1"/>
  <c r="E11" i="1"/>
  <c r="H11" i="1" s="1"/>
  <c r="M11" i="1" s="1"/>
  <c r="O11" i="1" s="1"/>
  <c r="E12" i="1"/>
  <c r="H12" i="1" s="1"/>
  <c r="M12" i="1" s="1"/>
  <c r="E13" i="1"/>
  <c r="H13" i="1" s="1"/>
  <c r="M13" i="1" s="1"/>
  <c r="O13" i="1" s="1"/>
  <c r="E14" i="1"/>
  <c r="H14" i="1" s="1"/>
  <c r="M14" i="1" s="1"/>
  <c r="O14" i="1" s="1"/>
  <c r="E15" i="1"/>
  <c r="H15" i="1" s="1"/>
  <c r="M15" i="1" s="1"/>
  <c r="E16" i="1"/>
  <c r="H16" i="1" s="1"/>
  <c r="M16" i="1" s="1"/>
  <c r="E17" i="1"/>
  <c r="H17" i="1" s="1"/>
  <c r="M17" i="1" s="1"/>
  <c r="O17" i="1" s="1"/>
  <c r="E18" i="1"/>
  <c r="H18" i="1" s="1"/>
  <c r="M18" i="1" s="1"/>
  <c r="O18" i="1" s="1"/>
  <c r="E19" i="1"/>
  <c r="H19" i="1" s="1"/>
  <c r="M19" i="1" s="1"/>
  <c r="O19" i="1" s="1"/>
  <c r="E20" i="1"/>
  <c r="H20" i="1" s="1"/>
  <c r="M20" i="1" s="1"/>
  <c r="E21" i="1"/>
  <c r="H21" i="1" s="1"/>
  <c r="M21" i="1" s="1"/>
  <c r="O21" i="1" s="1"/>
  <c r="E22" i="1"/>
  <c r="H22" i="1" s="1"/>
  <c r="M22" i="1" s="1"/>
  <c r="O22" i="1" s="1"/>
  <c r="E23" i="1"/>
  <c r="H23" i="1" s="1"/>
  <c r="M23" i="1" s="1"/>
  <c r="E24" i="1"/>
  <c r="H24" i="1" s="1"/>
  <c r="M24" i="1" s="1"/>
  <c r="E25" i="1"/>
  <c r="H25" i="1" s="1"/>
  <c r="M25" i="1" s="1"/>
  <c r="O25" i="1" s="1"/>
  <c r="E26" i="1"/>
  <c r="H26" i="1" s="1"/>
  <c r="M26" i="1" s="1"/>
  <c r="E27" i="1"/>
  <c r="H27" i="1" s="1"/>
  <c r="M27" i="1" s="1"/>
  <c r="O27" i="1" s="1"/>
  <c r="E28" i="1"/>
  <c r="H28" i="1" s="1"/>
  <c r="M28" i="1" s="1"/>
  <c r="E29" i="1"/>
  <c r="H29" i="1" s="1"/>
  <c r="M29" i="1" s="1"/>
  <c r="O29" i="1" s="1"/>
  <c r="E30" i="1"/>
  <c r="H30" i="1" s="1"/>
  <c r="M30" i="1" s="1"/>
  <c r="O30" i="1" s="1"/>
  <c r="E31" i="1"/>
  <c r="H31" i="1" s="1"/>
  <c r="M31" i="1" s="1"/>
  <c r="E32" i="1"/>
  <c r="H32" i="1" s="1"/>
  <c r="M32" i="1" s="1"/>
  <c r="E33" i="1"/>
  <c r="H33" i="1" s="1"/>
  <c r="M33" i="1" s="1"/>
  <c r="O33" i="1" s="1"/>
  <c r="E34" i="1"/>
  <c r="H34" i="1" s="1"/>
  <c r="M34" i="1" s="1"/>
  <c r="O34" i="1" s="1"/>
  <c r="E35" i="1"/>
  <c r="H35" i="1" s="1"/>
  <c r="M35" i="1" s="1"/>
  <c r="O35" i="1" s="1"/>
  <c r="E36" i="1"/>
  <c r="H36" i="1" s="1"/>
  <c r="M36" i="1" s="1"/>
  <c r="E37" i="1"/>
  <c r="H37" i="1" s="1"/>
  <c r="M37" i="1" s="1"/>
  <c r="O37" i="1" s="1"/>
  <c r="E38" i="1"/>
  <c r="H38" i="1" s="1"/>
  <c r="M38" i="1" s="1"/>
  <c r="O38" i="1" s="1"/>
  <c r="E39" i="1"/>
  <c r="H39" i="1" s="1"/>
  <c r="M39" i="1" s="1"/>
  <c r="E40" i="1"/>
  <c r="H40" i="1" s="1"/>
  <c r="M40" i="1" s="1"/>
  <c r="E41" i="1"/>
  <c r="H41" i="1" s="1"/>
  <c r="M41" i="1" s="1"/>
  <c r="O41" i="1" s="1"/>
  <c r="E42" i="1"/>
  <c r="H42" i="1" s="1"/>
  <c r="M42" i="1" s="1"/>
  <c r="O42" i="1" s="1"/>
  <c r="E43" i="1"/>
  <c r="H43" i="1" s="1"/>
  <c r="M43" i="1" s="1"/>
  <c r="O43" i="1" s="1"/>
  <c r="E44" i="1"/>
  <c r="H44" i="1" s="1"/>
  <c r="M44" i="1" s="1"/>
  <c r="E45" i="1"/>
  <c r="H45" i="1" s="1"/>
  <c r="M45" i="1" s="1"/>
  <c r="O45" i="1" s="1"/>
  <c r="E46" i="1"/>
  <c r="H46" i="1" s="1"/>
  <c r="M46" i="1" s="1"/>
  <c r="O46" i="1" s="1"/>
  <c r="E47" i="1"/>
  <c r="H47" i="1" s="1"/>
  <c r="M47" i="1" s="1"/>
  <c r="E48" i="1"/>
  <c r="H48" i="1" s="1"/>
  <c r="M48" i="1" s="1"/>
  <c r="E49" i="1"/>
  <c r="H49" i="1" s="1"/>
  <c r="M49" i="1" s="1"/>
  <c r="O49" i="1" s="1"/>
  <c r="E50" i="1"/>
  <c r="H50" i="1" s="1"/>
  <c r="M50" i="1" s="1"/>
  <c r="O50" i="1" s="1"/>
  <c r="E51" i="1"/>
  <c r="H51" i="1" s="1"/>
  <c r="M51" i="1" s="1"/>
  <c r="O51" i="1" s="1"/>
  <c r="E52" i="1"/>
  <c r="H52" i="1" s="1"/>
  <c r="M52" i="1" s="1"/>
  <c r="E53" i="1"/>
  <c r="H53" i="1" s="1"/>
  <c r="M53" i="1" s="1"/>
  <c r="O53" i="1" s="1"/>
  <c r="E54" i="1"/>
  <c r="H54" i="1" s="1"/>
  <c r="M54" i="1" s="1"/>
  <c r="O54" i="1" s="1"/>
  <c r="E55" i="1"/>
  <c r="H55" i="1" s="1"/>
  <c r="M55" i="1" s="1"/>
  <c r="E56" i="1"/>
  <c r="H56" i="1" s="1"/>
  <c r="M56" i="1" s="1"/>
  <c r="E57" i="1"/>
  <c r="H57" i="1" s="1"/>
  <c r="M57" i="1" s="1"/>
  <c r="O57" i="1" s="1"/>
  <c r="E58" i="1"/>
  <c r="H58" i="1" s="1"/>
  <c r="M58" i="1" s="1"/>
  <c r="O58" i="1" s="1"/>
  <c r="E59" i="1"/>
  <c r="H59" i="1" s="1"/>
  <c r="M59" i="1" s="1"/>
  <c r="O59" i="1" s="1"/>
  <c r="E60" i="1"/>
  <c r="H60" i="1" s="1"/>
  <c r="M60" i="1" s="1"/>
  <c r="E61" i="1"/>
  <c r="H61" i="1" s="1"/>
  <c r="M61" i="1" s="1"/>
  <c r="O61" i="1" s="1"/>
  <c r="E62" i="1"/>
  <c r="H62" i="1" s="1"/>
  <c r="M62" i="1" s="1"/>
  <c r="O62" i="1" s="1"/>
  <c r="E63" i="1"/>
  <c r="H63" i="1" s="1"/>
  <c r="M63" i="1" s="1"/>
  <c r="E64" i="1"/>
  <c r="H64" i="1" s="1"/>
  <c r="M64" i="1" s="1"/>
  <c r="E65" i="1"/>
  <c r="H65" i="1" s="1"/>
  <c r="M65" i="1" s="1"/>
  <c r="O65" i="1" s="1"/>
  <c r="E66" i="1"/>
  <c r="H66" i="1" s="1"/>
  <c r="M66" i="1" s="1"/>
  <c r="O66" i="1" s="1"/>
  <c r="E67" i="1"/>
  <c r="H67" i="1" s="1"/>
  <c r="M67" i="1" s="1"/>
  <c r="O67" i="1" s="1"/>
  <c r="E68" i="1"/>
  <c r="H68" i="1" s="1"/>
  <c r="M68" i="1" s="1"/>
  <c r="E69" i="1"/>
  <c r="H69" i="1" s="1"/>
  <c r="M69" i="1" s="1"/>
  <c r="O69" i="1" s="1"/>
  <c r="E70" i="1"/>
  <c r="H70" i="1" s="1"/>
  <c r="M70" i="1" s="1"/>
  <c r="O70" i="1" s="1"/>
  <c r="E71" i="1"/>
  <c r="H71" i="1" s="1"/>
  <c r="M71" i="1" s="1"/>
  <c r="E72" i="1"/>
  <c r="H72" i="1" s="1"/>
  <c r="M72" i="1" s="1"/>
  <c r="E73" i="1"/>
  <c r="H73" i="1" s="1"/>
  <c r="M73" i="1" s="1"/>
  <c r="O73" i="1" s="1"/>
  <c r="E74" i="1"/>
  <c r="H74" i="1" s="1"/>
  <c r="M74" i="1" s="1"/>
  <c r="O74" i="1" s="1"/>
  <c r="E75" i="1"/>
  <c r="H75" i="1" s="1"/>
  <c r="M75" i="1" s="1"/>
  <c r="O75" i="1" s="1"/>
  <c r="E76" i="1"/>
  <c r="H76" i="1" s="1"/>
  <c r="M76" i="1" s="1"/>
  <c r="E77" i="1"/>
  <c r="H77" i="1" s="1"/>
  <c r="M77" i="1" s="1"/>
  <c r="O77" i="1" s="1"/>
  <c r="E78" i="1"/>
  <c r="H78" i="1" s="1"/>
  <c r="M78" i="1" s="1"/>
  <c r="O78" i="1" s="1"/>
  <c r="E79" i="1"/>
  <c r="H79" i="1" s="1"/>
  <c r="M79" i="1" s="1"/>
  <c r="E80" i="1"/>
  <c r="H80" i="1" s="1"/>
  <c r="M80" i="1" s="1"/>
  <c r="E81" i="1"/>
  <c r="H81" i="1" s="1"/>
  <c r="M81" i="1" s="1"/>
  <c r="O81" i="1" s="1"/>
  <c r="E82" i="1"/>
  <c r="H82" i="1" s="1"/>
  <c r="M82" i="1" s="1"/>
  <c r="O82" i="1" s="1"/>
  <c r="E83" i="1"/>
  <c r="H83" i="1" s="1"/>
  <c r="M83" i="1" s="1"/>
  <c r="O83" i="1" s="1"/>
  <c r="E84" i="1"/>
  <c r="H84" i="1" s="1"/>
  <c r="M84" i="1" s="1"/>
  <c r="E85" i="1"/>
  <c r="H85" i="1" s="1"/>
  <c r="M85" i="1" s="1"/>
  <c r="O85" i="1" s="1"/>
  <c r="E86" i="1"/>
  <c r="H86" i="1" s="1"/>
  <c r="M86" i="1" s="1"/>
  <c r="O86" i="1" s="1"/>
  <c r="E87" i="1"/>
  <c r="H87" i="1" s="1"/>
  <c r="M87" i="1" s="1"/>
  <c r="E88" i="1"/>
  <c r="H88" i="1" s="1"/>
  <c r="M88" i="1" s="1"/>
  <c r="E89" i="1"/>
  <c r="H89" i="1" s="1"/>
  <c r="M89" i="1" s="1"/>
  <c r="O89" i="1" s="1"/>
  <c r="E90" i="1"/>
  <c r="H90" i="1" s="1"/>
  <c r="M90" i="1" s="1"/>
  <c r="E91" i="1"/>
  <c r="H91" i="1" s="1"/>
  <c r="M91" i="1" s="1"/>
  <c r="O91" i="1" s="1"/>
  <c r="E92" i="1"/>
  <c r="H92" i="1" s="1"/>
  <c r="M92" i="1" s="1"/>
  <c r="E93" i="1"/>
  <c r="H93" i="1" s="1"/>
  <c r="M93" i="1" s="1"/>
  <c r="O93" i="1" s="1"/>
  <c r="E94" i="1"/>
  <c r="H94" i="1" s="1"/>
  <c r="M94" i="1" s="1"/>
  <c r="O94" i="1" s="1"/>
  <c r="E95" i="1"/>
  <c r="H95" i="1" s="1"/>
  <c r="M95" i="1" s="1"/>
  <c r="E96" i="1"/>
  <c r="H96" i="1" s="1"/>
  <c r="M96" i="1" s="1"/>
  <c r="E97" i="1"/>
  <c r="H97" i="1" s="1"/>
  <c r="M97" i="1" s="1"/>
  <c r="O97" i="1" s="1"/>
  <c r="E98" i="1"/>
  <c r="H98" i="1" s="1"/>
  <c r="M98" i="1" s="1"/>
  <c r="O98" i="1" s="1"/>
  <c r="E99" i="1"/>
  <c r="H99" i="1" s="1"/>
  <c r="M99" i="1" s="1"/>
  <c r="O99" i="1" s="1"/>
  <c r="E100" i="1"/>
  <c r="H100" i="1" s="1"/>
  <c r="M100" i="1" s="1"/>
  <c r="E101" i="1"/>
  <c r="H101" i="1" s="1"/>
  <c r="M101" i="1" s="1"/>
  <c r="O101" i="1" s="1"/>
  <c r="E102" i="1"/>
  <c r="H102" i="1" s="1"/>
  <c r="M102" i="1" s="1"/>
  <c r="O102" i="1" s="1"/>
  <c r="E103" i="1"/>
  <c r="H103" i="1" s="1"/>
  <c r="M103" i="1" s="1"/>
  <c r="E104" i="1"/>
  <c r="H104" i="1" s="1"/>
  <c r="M104" i="1" s="1"/>
  <c r="E105" i="1"/>
  <c r="H105" i="1" s="1"/>
  <c r="M105" i="1" s="1"/>
  <c r="O105" i="1" s="1"/>
  <c r="E106" i="1"/>
  <c r="H106" i="1" s="1"/>
  <c r="M106" i="1" s="1"/>
  <c r="O106" i="1" s="1"/>
  <c r="E107" i="1"/>
  <c r="H107" i="1" s="1"/>
  <c r="M107" i="1" s="1"/>
  <c r="O107" i="1" s="1"/>
  <c r="E108" i="1"/>
  <c r="H108" i="1" s="1"/>
  <c r="M108" i="1" s="1"/>
  <c r="E109" i="1"/>
  <c r="H109" i="1" s="1"/>
  <c r="M109" i="1" s="1"/>
  <c r="O109" i="1" s="1"/>
  <c r="E110" i="1"/>
  <c r="H110" i="1" s="1"/>
  <c r="M110" i="1" s="1"/>
  <c r="O110" i="1" s="1"/>
  <c r="E111" i="1"/>
  <c r="H111" i="1" s="1"/>
  <c r="M111" i="1" s="1"/>
  <c r="E112" i="1"/>
  <c r="H112" i="1" s="1"/>
  <c r="M112" i="1" s="1"/>
  <c r="E113" i="1"/>
  <c r="H113" i="1" s="1"/>
  <c r="M113" i="1" s="1"/>
  <c r="O113" i="1" s="1"/>
  <c r="E114" i="1"/>
  <c r="H114" i="1" s="1"/>
  <c r="M114" i="1" s="1"/>
  <c r="O114" i="1" s="1"/>
  <c r="E115" i="1"/>
  <c r="H115" i="1" s="1"/>
  <c r="M115" i="1" s="1"/>
  <c r="O115" i="1" s="1"/>
  <c r="E116" i="1"/>
  <c r="H116" i="1" s="1"/>
  <c r="M116" i="1" s="1"/>
  <c r="E117" i="1"/>
  <c r="H117" i="1" s="1"/>
  <c r="M117" i="1" s="1"/>
  <c r="O117" i="1" s="1"/>
  <c r="E118" i="1"/>
  <c r="H118" i="1" s="1"/>
  <c r="M118" i="1" s="1"/>
  <c r="O118" i="1" s="1"/>
  <c r="E119" i="1"/>
  <c r="H119" i="1" s="1"/>
  <c r="M119" i="1" s="1"/>
  <c r="E120" i="1"/>
  <c r="H120" i="1" s="1"/>
  <c r="M120" i="1" s="1"/>
  <c r="E121" i="1"/>
  <c r="H121" i="1" s="1"/>
  <c r="M121" i="1" s="1"/>
  <c r="O121" i="1" s="1"/>
  <c r="E122" i="1"/>
  <c r="H122" i="1" s="1"/>
  <c r="M122" i="1" s="1"/>
  <c r="O122" i="1" s="1"/>
  <c r="E123" i="1"/>
  <c r="H123" i="1" s="1"/>
  <c r="M123" i="1" s="1"/>
  <c r="O123" i="1" s="1"/>
  <c r="E124" i="1"/>
  <c r="H124" i="1" s="1"/>
  <c r="M124" i="1" s="1"/>
  <c r="E125" i="1"/>
  <c r="H125" i="1" s="1"/>
  <c r="M125" i="1" s="1"/>
  <c r="O125" i="1" s="1"/>
  <c r="E126" i="1"/>
  <c r="H126" i="1" s="1"/>
  <c r="M126" i="1" s="1"/>
  <c r="O126" i="1" s="1"/>
  <c r="E127" i="1"/>
  <c r="H127" i="1" s="1"/>
  <c r="M127" i="1" s="1"/>
  <c r="E128" i="1"/>
  <c r="H128" i="1" s="1"/>
  <c r="M128" i="1" s="1"/>
  <c r="E129" i="1"/>
  <c r="H129" i="1" s="1"/>
  <c r="M129" i="1" s="1"/>
  <c r="O129" i="1" s="1"/>
  <c r="E130" i="1"/>
  <c r="H130" i="1" s="1"/>
  <c r="M130" i="1" s="1"/>
  <c r="O130" i="1" s="1"/>
  <c r="E131" i="1"/>
  <c r="H131" i="1" s="1"/>
  <c r="M131" i="1" s="1"/>
  <c r="O131" i="1" s="1"/>
  <c r="E132" i="1"/>
  <c r="H132" i="1" s="1"/>
  <c r="M132" i="1" s="1"/>
  <c r="E133" i="1"/>
  <c r="H133" i="1" s="1"/>
  <c r="M133" i="1" s="1"/>
  <c r="O133" i="1" s="1"/>
  <c r="E134" i="1"/>
  <c r="H134" i="1" s="1"/>
  <c r="M134" i="1" s="1"/>
  <c r="O134" i="1" s="1"/>
  <c r="E135" i="1"/>
  <c r="H135" i="1" s="1"/>
  <c r="M135" i="1" s="1"/>
  <c r="E136" i="1"/>
  <c r="H136" i="1" s="1"/>
  <c r="M136" i="1" s="1"/>
  <c r="E137" i="1"/>
  <c r="H137" i="1" s="1"/>
  <c r="M137" i="1" s="1"/>
  <c r="O137" i="1" s="1"/>
  <c r="E138" i="1"/>
  <c r="H138" i="1" s="1"/>
  <c r="M138" i="1" s="1"/>
  <c r="O138" i="1" s="1"/>
  <c r="E139" i="1"/>
  <c r="H139" i="1" s="1"/>
  <c r="M139" i="1" s="1"/>
  <c r="O139" i="1" s="1"/>
  <c r="E140" i="1"/>
  <c r="H140" i="1" s="1"/>
  <c r="M140" i="1" s="1"/>
  <c r="E141" i="1"/>
  <c r="H141" i="1" s="1"/>
  <c r="M141" i="1" s="1"/>
  <c r="O141" i="1" s="1"/>
  <c r="E142" i="1"/>
  <c r="H142" i="1" s="1"/>
  <c r="M142" i="1" s="1"/>
  <c r="O142" i="1" s="1"/>
  <c r="E143" i="1"/>
  <c r="H143" i="1" s="1"/>
  <c r="M143" i="1" s="1"/>
  <c r="E144" i="1"/>
  <c r="H144" i="1" s="1"/>
  <c r="M144" i="1" s="1"/>
  <c r="E145" i="1"/>
  <c r="H145" i="1" s="1"/>
  <c r="M145" i="1" s="1"/>
  <c r="O145" i="1" s="1"/>
  <c r="E146" i="1"/>
  <c r="H146" i="1" s="1"/>
  <c r="M146" i="1" s="1"/>
  <c r="O146" i="1" s="1"/>
  <c r="E147" i="1"/>
  <c r="H147" i="1" s="1"/>
  <c r="M147" i="1" s="1"/>
  <c r="O147" i="1" s="1"/>
  <c r="E148" i="1"/>
  <c r="H148" i="1" s="1"/>
  <c r="M148" i="1" s="1"/>
  <c r="E149" i="1"/>
  <c r="H149" i="1" s="1"/>
  <c r="M149" i="1" s="1"/>
  <c r="O149" i="1" s="1"/>
  <c r="E150" i="1"/>
  <c r="H150" i="1" s="1"/>
  <c r="M150" i="1" s="1"/>
  <c r="O150" i="1" s="1"/>
  <c r="E151" i="1"/>
  <c r="H151" i="1" s="1"/>
  <c r="M151" i="1" s="1"/>
  <c r="E152" i="1"/>
  <c r="H152" i="1" s="1"/>
  <c r="M152" i="1" s="1"/>
  <c r="E153" i="1"/>
  <c r="H153" i="1" s="1"/>
  <c r="M153" i="1" s="1"/>
  <c r="O153" i="1" s="1"/>
  <c r="E154" i="1"/>
  <c r="H154" i="1" s="1"/>
  <c r="M154" i="1" s="1"/>
  <c r="E155" i="1"/>
  <c r="H155" i="1" s="1"/>
  <c r="M155" i="1" s="1"/>
  <c r="O155" i="1" s="1"/>
  <c r="E156" i="1"/>
  <c r="H156" i="1" s="1"/>
  <c r="M156" i="1" s="1"/>
  <c r="E157" i="1"/>
  <c r="H157" i="1" s="1"/>
  <c r="M157" i="1" s="1"/>
  <c r="O157" i="1" s="1"/>
  <c r="E158" i="1"/>
  <c r="H158" i="1" s="1"/>
  <c r="M158" i="1" s="1"/>
  <c r="O158" i="1" s="1"/>
  <c r="E159" i="1"/>
  <c r="H159" i="1" s="1"/>
  <c r="M159" i="1" s="1"/>
  <c r="E160" i="1"/>
  <c r="H160" i="1" s="1"/>
  <c r="M160" i="1" s="1"/>
  <c r="E161" i="1"/>
  <c r="H161" i="1" s="1"/>
  <c r="M161" i="1" s="1"/>
  <c r="O161" i="1" s="1"/>
  <c r="E162" i="1"/>
  <c r="H162" i="1" s="1"/>
  <c r="M162" i="1" s="1"/>
  <c r="O162" i="1" s="1"/>
  <c r="E163" i="1"/>
  <c r="H163" i="1" s="1"/>
  <c r="M163" i="1" s="1"/>
  <c r="O163" i="1" s="1"/>
  <c r="E164" i="1"/>
  <c r="H164" i="1" s="1"/>
  <c r="M164" i="1" s="1"/>
  <c r="E165" i="1"/>
  <c r="H165" i="1" s="1"/>
  <c r="M165" i="1" s="1"/>
  <c r="O165" i="1" s="1"/>
  <c r="E166" i="1"/>
  <c r="H166" i="1" s="1"/>
  <c r="M166" i="1" s="1"/>
  <c r="O166" i="1" s="1"/>
  <c r="E167" i="1"/>
  <c r="H167" i="1" s="1"/>
  <c r="M167" i="1" s="1"/>
  <c r="E168" i="1"/>
  <c r="H168" i="1" s="1"/>
  <c r="M168" i="1" s="1"/>
  <c r="E169" i="1"/>
  <c r="H169" i="1" s="1"/>
  <c r="M169" i="1" s="1"/>
  <c r="O169" i="1" s="1"/>
  <c r="E170" i="1"/>
  <c r="H170" i="1" s="1"/>
  <c r="M170" i="1" s="1"/>
  <c r="O170" i="1" s="1"/>
  <c r="E171" i="1"/>
  <c r="H171" i="1" s="1"/>
  <c r="M171" i="1" s="1"/>
  <c r="O171" i="1" s="1"/>
  <c r="E172" i="1"/>
  <c r="H172" i="1" s="1"/>
  <c r="M172" i="1" s="1"/>
  <c r="E173" i="1"/>
  <c r="H173" i="1" s="1"/>
  <c r="M173" i="1" s="1"/>
  <c r="O173" i="1" s="1"/>
  <c r="E174" i="1"/>
  <c r="H174" i="1" s="1"/>
  <c r="M174" i="1" s="1"/>
  <c r="O174" i="1" s="1"/>
  <c r="E175" i="1"/>
  <c r="H175" i="1" s="1"/>
  <c r="M175" i="1" s="1"/>
  <c r="E176" i="1"/>
  <c r="H176" i="1" s="1"/>
  <c r="M176" i="1" s="1"/>
  <c r="E177" i="1"/>
  <c r="H177" i="1" s="1"/>
  <c r="M177" i="1" s="1"/>
  <c r="O177" i="1" s="1"/>
  <c r="E178" i="1"/>
  <c r="H178" i="1" s="1"/>
  <c r="M178" i="1" s="1"/>
  <c r="O178" i="1" s="1"/>
  <c r="E179" i="1"/>
  <c r="H179" i="1" s="1"/>
  <c r="M179" i="1" s="1"/>
  <c r="O179" i="1" s="1"/>
  <c r="E180" i="1"/>
  <c r="H180" i="1" s="1"/>
  <c r="M180" i="1" s="1"/>
  <c r="E181" i="1"/>
  <c r="H181" i="1" s="1"/>
  <c r="M181" i="1" s="1"/>
  <c r="O181" i="1" s="1"/>
  <c r="E182" i="1"/>
  <c r="H182" i="1" s="1"/>
  <c r="M182" i="1" s="1"/>
  <c r="O182" i="1" s="1"/>
  <c r="E183" i="1"/>
  <c r="H183" i="1" s="1"/>
  <c r="M183" i="1" s="1"/>
  <c r="E184" i="1"/>
  <c r="H184" i="1" s="1"/>
  <c r="M184" i="1" s="1"/>
  <c r="E185" i="1"/>
  <c r="H185" i="1" s="1"/>
  <c r="M185" i="1" s="1"/>
  <c r="O185" i="1" s="1"/>
  <c r="E186" i="1"/>
  <c r="H186" i="1" s="1"/>
  <c r="M186" i="1" s="1"/>
  <c r="O186" i="1" s="1"/>
  <c r="E187" i="1"/>
  <c r="H187" i="1" s="1"/>
  <c r="M187" i="1" s="1"/>
  <c r="O187" i="1" s="1"/>
  <c r="E188" i="1"/>
  <c r="H188" i="1" s="1"/>
  <c r="M188" i="1" s="1"/>
  <c r="E189" i="1"/>
  <c r="H189" i="1" s="1"/>
  <c r="M189" i="1" s="1"/>
  <c r="O189" i="1" s="1"/>
  <c r="E190" i="1"/>
  <c r="H190" i="1" s="1"/>
  <c r="M190" i="1" s="1"/>
  <c r="O190" i="1" s="1"/>
  <c r="E191" i="1"/>
  <c r="H191" i="1" s="1"/>
  <c r="M191" i="1" s="1"/>
  <c r="E192" i="1"/>
  <c r="H192" i="1" s="1"/>
  <c r="M192" i="1" s="1"/>
  <c r="E193" i="1"/>
  <c r="H193" i="1" s="1"/>
  <c r="M193" i="1" s="1"/>
  <c r="O193" i="1" s="1"/>
  <c r="E194" i="1"/>
  <c r="H194" i="1" s="1"/>
  <c r="M194" i="1" s="1"/>
  <c r="O194" i="1" s="1"/>
  <c r="E195" i="1"/>
  <c r="H195" i="1" s="1"/>
  <c r="M195" i="1" s="1"/>
  <c r="O195" i="1" s="1"/>
  <c r="E196" i="1"/>
  <c r="H196" i="1" s="1"/>
  <c r="M196" i="1" s="1"/>
  <c r="E197" i="1"/>
  <c r="H197" i="1" s="1"/>
  <c r="M197" i="1" s="1"/>
  <c r="O197" i="1" s="1"/>
  <c r="E198" i="1"/>
  <c r="H198" i="1" s="1"/>
  <c r="M198" i="1" s="1"/>
  <c r="O198" i="1" s="1"/>
  <c r="E199" i="1"/>
  <c r="H199" i="1" s="1"/>
  <c r="M199" i="1" s="1"/>
  <c r="E200" i="1"/>
  <c r="H200" i="1" s="1"/>
  <c r="M200" i="1" s="1"/>
  <c r="E201" i="1"/>
  <c r="H201" i="1" s="1"/>
  <c r="M201" i="1" s="1"/>
  <c r="O201" i="1" s="1"/>
  <c r="E202" i="1"/>
  <c r="H202" i="1" s="1"/>
  <c r="M202" i="1" s="1"/>
  <c r="O202" i="1" s="1"/>
  <c r="E203" i="1"/>
  <c r="H203" i="1" s="1"/>
  <c r="M203" i="1" s="1"/>
  <c r="O203" i="1" s="1"/>
  <c r="E204" i="1"/>
  <c r="H204" i="1" s="1"/>
  <c r="M204" i="1" s="1"/>
  <c r="E205" i="1"/>
  <c r="H205" i="1" s="1"/>
  <c r="M205" i="1" s="1"/>
  <c r="O205" i="1" s="1"/>
  <c r="E206" i="1"/>
  <c r="H206" i="1" s="1"/>
  <c r="M206" i="1" s="1"/>
  <c r="O206" i="1" s="1"/>
  <c r="E207" i="1"/>
  <c r="H207" i="1" s="1"/>
  <c r="M207" i="1" s="1"/>
  <c r="E208" i="1"/>
  <c r="H208" i="1" s="1"/>
  <c r="M208" i="1" s="1"/>
  <c r="E209" i="1"/>
  <c r="H209" i="1" s="1"/>
  <c r="M209" i="1" s="1"/>
  <c r="O209" i="1" s="1"/>
  <c r="E210" i="1"/>
  <c r="H210" i="1" s="1"/>
  <c r="M210" i="1" s="1"/>
  <c r="O210" i="1" s="1"/>
  <c r="E211" i="1"/>
  <c r="H211" i="1" s="1"/>
  <c r="M211" i="1" s="1"/>
  <c r="O211" i="1" s="1"/>
  <c r="E212" i="1"/>
  <c r="H212" i="1" s="1"/>
  <c r="M212" i="1" s="1"/>
  <c r="E213" i="1"/>
  <c r="H213" i="1" s="1"/>
  <c r="M213" i="1" s="1"/>
  <c r="O213" i="1" s="1"/>
  <c r="E214" i="1"/>
  <c r="H214" i="1" s="1"/>
  <c r="M214" i="1" s="1"/>
  <c r="O214" i="1" s="1"/>
  <c r="E215" i="1"/>
  <c r="H215" i="1" s="1"/>
  <c r="M215" i="1" s="1"/>
  <c r="E216" i="1"/>
  <c r="H216" i="1" s="1"/>
  <c r="M216" i="1" s="1"/>
  <c r="E217" i="1"/>
  <c r="H217" i="1" s="1"/>
  <c r="M217" i="1" s="1"/>
  <c r="O217" i="1" s="1"/>
  <c r="E218" i="1"/>
  <c r="H218" i="1" s="1"/>
  <c r="M218" i="1" s="1"/>
  <c r="O218" i="1" s="1"/>
  <c r="E219" i="1"/>
  <c r="H219" i="1" s="1"/>
  <c r="M219" i="1" s="1"/>
  <c r="O219" i="1" s="1"/>
  <c r="E220" i="1"/>
  <c r="H220" i="1" s="1"/>
  <c r="M220" i="1" s="1"/>
  <c r="E221" i="1"/>
  <c r="H221" i="1" s="1"/>
  <c r="M221" i="1" s="1"/>
  <c r="O221" i="1" s="1"/>
  <c r="E222" i="1"/>
  <c r="H222" i="1" s="1"/>
  <c r="M222" i="1" s="1"/>
  <c r="O222" i="1" s="1"/>
  <c r="E223" i="1"/>
  <c r="H223" i="1" s="1"/>
  <c r="M223" i="1" s="1"/>
  <c r="E224" i="1"/>
  <c r="H224" i="1" s="1"/>
  <c r="M224" i="1" s="1"/>
  <c r="E225" i="1"/>
  <c r="H225" i="1" s="1"/>
  <c r="M225" i="1" s="1"/>
  <c r="O225" i="1" s="1"/>
  <c r="E226" i="1"/>
  <c r="H226" i="1" s="1"/>
  <c r="M226" i="1" s="1"/>
  <c r="O226" i="1" s="1"/>
  <c r="E227" i="1"/>
  <c r="H227" i="1" s="1"/>
  <c r="M227" i="1" s="1"/>
  <c r="O227" i="1" s="1"/>
  <c r="E228" i="1"/>
  <c r="H228" i="1" s="1"/>
  <c r="M228" i="1" s="1"/>
  <c r="E229" i="1"/>
  <c r="H229" i="1" s="1"/>
  <c r="M229" i="1" s="1"/>
  <c r="O229" i="1" s="1"/>
  <c r="E230" i="1"/>
  <c r="H230" i="1" s="1"/>
  <c r="M230" i="1" s="1"/>
  <c r="O230" i="1" s="1"/>
  <c r="E231" i="1"/>
  <c r="H231" i="1" s="1"/>
  <c r="M231" i="1" s="1"/>
  <c r="E232" i="1"/>
  <c r="H232" i="1" s="1"/>
  <c r="M232" i="1" s="1"/>
  <c r="E233" i="1"/>
  <c r="H233" i="1" s="1"/>
  <c r="M233" i="1" s="1"/>
  <c r="O233" i="1" s="1"/>
  <c r="E234" i="1"/>
  <c r="H234" i="1" s="1"/>
  <c r="M234" i="1" s="1"/>
  <c r="O234" i="1" s="1"/>
  <c r="E235" i="1"/>
  <c r="H235" i="1" s="1"/>
  <c r="M235" i="1" s="1"/>
  <c r="O235" i="1" s="1"/>
  <c r="E236" i="1"/>
  <c r="H236" i="1" s="1"/>
  <c r="M236" i="1" s="1"/>
  <c r="E237" i="1"/>
  <c r="H237" i="1" s="1"/>
  <c r="M237" i="1" s="1"/>
  <c r="O237" i="1" s="1"/>
  <c r="E238" i="1"/>
  <c r="H238" i="1" s="1"/>
  <c r="M238" i="1" s="1"/>
  <c r="O238" i="1" s="1"/>
  <c r="E239" i="1"/>
  <c r="H239" i="1" s="1"/>
  <c r="M239" i="1" s="1"/>
  <c r="E240" i="1"/>
  <c r="H240" i="1" s="1"/>
  <c r="M240" i="1" s="1"/>
  <c r="E241" i="1"/>
  <c r="H241" i="1" s="1"/>
  <c r="M241" i="1" s="1"/>
  <c r="O241" i="1" s="1"/>
  <c r="E242" i="1"/>
  <c r="H242" i="1" s="1"/>
  <c r="M242" i="1" s="1"/>
  <c r="O242" i="1" s="1"/>
  <c r="E243" i="1"/>
  <c r="H243" i="1" s="1"/>
  <c r="M243" i="1" s="1"/>
  <c r="O243" i="1" s="1"/>
  <c r="E244" i="1"/>
  <c r="H244" i="1" s="1"/>
  <c r="M244" i="1" s="1"/>
  <c r="E245" i="1"/>
  <c r="H245" i="1" s="1"/>
  <c r="M245" i="1" s="1"/>
  <c r="O245" i="1" s="1"/>
  <c r="E246" i="1"/>
  <c r="H246" i="1" s="1"/>
  <c r="M246" i="1" s="1"/>
  <c r="O246" i="1" s="1"/>
  <c r="E247" i="1"/>
  <c r="H247" i="1" s="1"/>
  <c r="M247" i="1" s="1"/>
  <c r="E248" i="1"/>
  <c r="H248" i="1" s="1"/>
  <c r="M248" i="1" s="1"/>
  <c r="E249" i="1"/>
  <c r="H249" i="1" s="1"/>
  <c r="M249" i="1" s="1"/>
  <c r="O249" i="1" s="1"/>
  <c r="E250" i="1"/>
  <c r="H250" i="1" s="1"/>
  <c r="M250" i="1" s="1"/>
  <c r="O250" i="1" s="1"/>
  <c r="E251" i="1"/>
  <c r="H251" i="1" s="1"/>
  <c r="M251" i="1" s="1"/>
  <c r="O251" i="1" s="1"/>
  <c r="E252" i="1"/>
  <c r="H252" i="1" s="1"/>
  <c r="M252" i="1" s="1"/>
  <c r="E253" i="1"/>
  <c r="H253" i="1" s="1"/>
  <c r="M253" i="1" s="1"/>
  <c r="O253" i="1" s="1"/>
  <c r="E254" i="1"/>
  <c r="H254" i="1" s="1"/>
  <c r="M254" i="1" s="1"/>
  <c r="O254" i="1" s="1"/>
  <c r="E255" i="1"/>
  <c r="H255" i="1" s="1"/>
  <c r="M255" i="1" s="1"/>
  <c r="E256" i="1"/>
  <c r="H256" i="1" s="1"/>
  <c r="M256" i="1" s="1"/>
  <c r="E257" i="1"/>
  <c r="H257" i="1" s="1"/>
  <c r="M257" i="1" s="1"/>
  <c r="O257" i="1" s="1"/>
  <c r="E258" i="1"/>
  <c r="H258" i="1" s="1"/>
  <c r="M258" i="1" s="1"/>
  <c r="O258" i="1" s="1"/>
  <c r="E259" i="1"/>
  <c r="H259" i="1" s="1"/>
  <c r="M259" i="1" s="1"/>
  <c r="O259" i="1" s="1"/>
  <c r="E260" i="1"/>
  <c r="H260" i="1" s="1"/>
  <c r="M260" i="1" s="1"/>
  <c r="E261" i="1"/>
  <c r="H261" i="1" s="1"/>
  <c r="M261" i="1" s="1"/>
  <c r="O261" i="1" s="1"/>
  <c r="E262" i="1"/>
  <c r="H262" i="1" s="1"/>
  <c r="M262" i="1" s="1"/>
  <c r="O262" i="1" s="1"/>
  <c r="E263" i="1"/>
  <c r="H263" i="1" s="1"/>
  <c r="M263" i="1" s="1"/>
  <c r="E264" i="1"/>
  <c r="H264" i="1" s="1"/>
  <c r="M264" i="1" s="1"/>
  <c r="E265" i="1"/>
  <c r="H265" i="1" s="1"/>
  <c r="M265" i="1" s="1"/>
  <c r="O265" i="1" s="1"/>
  <c r="E266" i="1"/>
  <c r="H266" i="1" s="1"/>
  <c r="M266" i="1" s="1"/>
  <c r="O266" i="1" s="1"/>
  <c r="E267" i="1"/>
  <c r="H267" i="1" s="1"/>
  <c r="M267" i="1" s="1"/>
  <c r="O267" i="1" s="1"/>
  <c r="E268" i="1"/>
  <c r="H268" i="1" s="1"/>
  <c r="M268" i="1" s="1"/>
  <c r="E269" i="1"/>
  <c r="H269" i="1" s="1"/>
  <c r="M269" i="1" s="1"/>
  <c r="O269" i="1" s="1"/>
  <c r="E270" i="1"/>
  <c r="H270" i="1" s="1"/>
  <c r="M270" i="1" s="1"/>
  <c r="O270" i="1" s="1"/>
  <c r="E271" i="1"/>
  <c r="H271" i="1" s="1"/>
  <c r="M271" i="1" s="1"/>
  <c r="E272" i="1"/>
  <c r="H272" i="1" s="1"/>
  <c r="M272" i="1" s="1"/>
  <c r="E273" i="1"/>
  <c r="H273" i="1" s="1"/>
  <c r="M273" i="1" s="1"/>
  <c r="O273" i="1" s="1"/>
  <c r="E274" i="1"/>
  <c r="H274" i="1" s="1"/>
  <c r="M274" i="1" s="1"/>
  <c r="O274" i="1" s="1"/>
  <c r="E275" i="1"/>
  <c r="H275" i="1" s="1"/>
  <c r="M275" i="1" s="1"/>
  <c r="O275" i="1" s="1"/>
  <c r="E276" i="1"/>
  <c r="H276" i="1" s="1"/>
  <c r="M276" i="1" s="1"/>
  <c r="E277" i="1"/>
  <c r="H277" i="1" s="1"/>
  <c r="M277" i="1" s="1"/>
  <c r="O277" i="1" s="1"/>
  <c r="E278" i="1"/>
  <c r="H278" i="1" s="1"/>
  <c r="M278" i="1" s="1"/>
  <c r="O278" i="1" s="1"/>
  <c r="E279" i="1"/>
  <c r="H279" i="1" s="1"/>
  <c r="M279" i="1" s="1"/>
  <c r="E280" i="1"/>
  <c r="H280" i="1" s="1"/>
  <c r="M280" i="1" s="1"/>
  <c r="E281" i="1"/>
  <c r="H281" i="1" s="1"/>
  <c r="M281" i="1" s="1"/>
  <c r="O281" i="1" s="1"/>
  <c r="E282" i="1"/>
  <c r="H282" i="1" s="1"/>
  <c r="M282" i="1" s="1"/>
  <c r="O282" i="1" s="1"/>
  <c r="E283" i="1"/>
  <c r="H283" i="1" s="1"/>
  <c r="M283" i="1" s="1"/>
  <c r="O283" i="1" s="1"/>
  <c r="E284" i="1"/>
  <c r="H284" i="1" s="1"/>
  <c r="M284" i="1" s="1"/>
  <c r="E285" i="1"/>
  <c r="H285" i="1" s="1"/>
  <c r="M285" i="1" s="1"/>
  <c r="O285" i="1" s="1"/>
  <c r="E286" i="1"/>
  <c r="H286" i="1" s="1"/>
  <c r="M286" i="1" s="1"/>
  <c r="O286" i="1" s="1"/>
  <c r="E287" i="1"/>
  <c r="H287" i="1" s="1"/>
  <c r="M287" i="1" s="1"/>
  <c r="E288" i="1"/>
  <c r="H288" i="1" s="1"/>
  <c r="M288" i="1" s="1"/>
  <c r="E289" i="1"/>
  <c r="H289" i="1" s="1"/>
  <c r="M289" i="1" s="1"/>
  <c r="O289" i="1" s="1"/>
  <c r="E290" i="1"/>
  <c r="H290" i="1" s="1"/>
  <c r="M290" i="1" s="1"/>
  <c r="O290" i="1" s="1"/>
  <c r="E291" i="1"/>
  <c r="H291" i="1" s="1"/>
  <c r="M291" i="1" s="1"/>
  <c r="O291" i="1" s="1"/>
  <c r="E292" i="1"/>
  <c r="H292" i="1" s="1"/>
  <c r="M292" i="1" s="1"/>
  <c r="E293" i="1"/>
  <c r="H293" i="1" s="1"/>
  <c r="M293" i="1" s="1"/>
  <c r="O293" i="1" s="1"/>
  <c r="E294" i="1"/>
  <c r="H294" i="1" s="1"/>
  <c r="M294" i="1" s="1"/>
  <c r="O294" i="1" s="1"/>
  <c r="E295" i="1"/>
  <c r="H295" i="1" s="1"/>
  <c r="M295" i="1" s="1"/>
  <c r="E296" i="1"/>
  <c r="H296" i="1" s="1"/>
  <c r="M296" i="1" s="1"/>
  <c r="E297" i="1"/>
  <c r="H297" i="1" s="1"/>
  <c r="M297" i="1" s="1"/>
  <c r="O297" i="1" s="1"/>
  <c r="E298" i="1"/>
  <c r="H298" i="1" s="1"/>
  <c r="M298" i="1" s="1"/>
  <c r="O298" i="1" s="1"/>
  <c r="E299" i="1"/>
  <c r="H299" i="1" s="1"/>
  <c r="M299" i="1" s="1"/>
  <c r="O299" i="1" s="1"/>
  <c r="E300" i="1"/>
  <c r="H300" i="1" s="1"/>
  <c r="M300" i="1" s="1"/>
  <c r="E301" i="1"/>
  <c r="H301" i="1" s="1"/>
  <c r="M301" i="1" s="1"/>
  <c r="O301" i="1" s="1"/>
  <c r="E302" i="1"/>
  <c r="H302" i="1" s="1"/>
  <c r="M302" i="1" s="1"/>
  <c r="O302" i="1" s="1"/>
  <c r="E303" i="1"/>
  <c r="H303" i="1" s="1"/>
  <c r="M303" i="1" s="1"/>
  <c r="E304" i="1"/>
  <c r="H304" i="1" s="1"/>
  <c r="M304" i="1" s="1"/>
  <c r="E305" i="1"/>
  <c r="H305" i="1" s="1"/>
  <c r="M305" i="1" s="1"/>
  <c r="O305" i="1" s="1"/>
  <c r="E306" i="1"/>
  <c r="H306" i="1" s="1"/>
  <c r="M306" i="1" s="1"/>
  <c r="O306" i="1" s="1"/>
  <c r="E307" i="1"/>
  <c r="H307" i="1" s="1"/>
  <c r="M307" i="1" s="1"/>
  <c r="O307" i="1" s="1"/>
  <c r="E308" i="1"/>
  <c r="H308" i="1" s="1"/>
  <c r="M308" i="1" s="1"/>
  <c r="E309" i="1"/>
  <c r="H309" i="1" s="1"/>
  <c r="M309" i="1" s="1"/>
  <c r="O309" i="1" s="1"/>
  <c r="E310" i="1"/>
  <c r="H310" i="1" s="1"/>
  <c r="M310" i="1" s="1"/>
  <c r="O310" i="1" s="1"/>
  <c r="E311" i="1"/>
  <c r="H311" i="1" s="1"/>
  <c r="M311" i="1" s="1"/>
  <c r="E312" i="1"/>
  <c r="H312" i="1" s="1"/>
  <c r="M312" i="1" s="1"/>
  <c r="E313" i="1"/>
  <c r="H313" i="1" s="1"/>
  <c r="M313" i="1" s="1"/>
  <c r="O313" i="1" s="1"/>
  <c r="E314" i="1"/>
  <c r="H314" i="1" s="1"/>
  <c r="M314" i="1" s="1"/>
  <c r="O314" i="1" s="1"/>
  <c r="E315" i="1"/>
  <c r="H315" i="1" s="1"/>
  <c r="M315" i="1" s="1"/>
  <c r="O315" i="1" s="1"/>
  <c r="E316" i="1"/>
  <c r="H316" i="1" s="1"/>
  <c r="M316" i="1" s="1"/>
  <c r="E317" i="1"/>
  <c r="H317" i="1" s="1"/>
  <c r="M317" i="1" s="1"/>
  <c r="O317" i="1" s="1"/>
  <c r="E318" i="1"/>
  <c r="H318" i="1" s="1"/>
  <c r="M318" i="1" s="1"/>
  <c r="O318" i="1" s="1"/>
  <c r="E319" i="1"/>
  <c r="H319" i="1" s="1"/>
  <c r="M319" i="1" s="1"/>
  <c r="E320" i="1"/>
  <c r="H320" i="1" s="1"/>
  <c r="M320" i="1" s="1"/>
  <c r="E321" i="1"/>
  <c r="H321" i="1" s="1"/>
  <c r="M321" i="1" s="1"/>
  <c r="O321" i="1" s="1"/>
  <c r="E322" i="1"/>
  <c r="H322" i="1" s="1"/>
  <c r="M322" i="1" s="1"/>
  <c r="O322" i="1" s="1"/>
  <c r="E323" i="1"/>
  <c r="H323" i="1" s="1"/>
  <c r="M323" i="1" s="1"/>
  <c r="O323" i="1" s="1"/>
  <c r="E324" i="1"/>
  <c r="H324" i="1" s="1"/>
  <c r="M324" i="1" s="1"/>
  <c r="E325" i="1"/>
  <c r="H325" i="1" s="1"/>
  <c r="M325" i="1" s="1"/>
  <c r="O325" i="1" s="1"/>
  <c r="E326" i="1"/>
  <c r="H326" i="1" s="1"/>
  <c r="M326" i="1" s="1"/>
  <c r="O326" i="1" s="1"/>
  <c r="E327" i="1"/>
  <c r="H327" i="1" s="1"/>
  <c r="M327" i="1" s="1"/>
  <c r="E328" i="1"/>
  <c r="H328" i="1" s="1"/>
  <c r="M328" i="1" s="1"/>
  <c r="E329" i="1"/>
  <c r="H329" i="1" s="1"/>
  <c r="M329" i="1" s="1"/>
  <c r="O329" i="1" s="1"/>
  <c r="E330" i="1"/>
  <c r="H330" i="1" s="1"/>
  <c r="M330" i="1" s="1"/>
  <c r="O330" i="1" s="1"/>
  <c r="E331" i="1"/>
  <c r="H331" i="1" s="1"/>
  <c r="M331" i="1" s="1"/>
  <c r="O331" i="1" s="1"/>
  <c r="E332" i="1"/>
  <c r="H332" i="1" s="1"/>
  <c r="M332" i="1" s="1"/>
  <c r="E333" i="1"/>
  <c r="H333" i="1" s="1"/>
  <c r="M333" i="1" s="1"/>
  <c r="O333" i="1" s="1"/>
  <c r="E334" i="1"/>
  <c r="H334" i="1" s="1"/>
  <c r="M334" i="1" s="1"/>
  <c r="O334" i="1" s="1"/>
  <c r="E335" i="1"/>
  <c r="H335" i="1" s="1"/>
  <c r="M335" i="1" s="1"/>
  <c r="E336" i="1"/>
  <c r="H336" i="1" s="1"/>
  <c r="M336" i="1" s="1"/>
  <c r="E337" i="1"/>
  <c r="H337" i="1" s="1"/>
  <c r="M337" i="1" s="1"/>
  <c r="O337" i="1" s="1"/>
  <c r="E338" i="1"/>
  <c r="H338" i="1" s="1"/>
  <c r="M338" i="1" s="1"/>
  <c r="O338" i="1" s="1"/>
  <c r="E339" i="1"/>
  <c r="H339" i="1" s="1"/>
  <c r="M339" i="1" s="1"/>
  <c r="O339" i="1" s="1"/>
  <c r="E340" i="1"/>
  <c r="H340" i="1" s="1"/>
  <c r="M340" i="1" s="1"/>
  <c r="E341" i="1"/>
  <c r="H341" i="1" s="1"/>
  <c r="M341" i="1" s="1"/>
  <c r="O341" i="1" s="1"/>
  <c r="E342" i="1"/>
  <c r="H342" i="1" s="1"/>
  <c r="M342" i="1" s="1"/>
  <c r="O342" i="1" s="1"/>
  <c r="E343" i="1"/>
  <c r="H343" i="1" s="1"/>
  <c r="M343" i="1" s="1"/>
  <c r="E344" i="1"/>
  <c r="H344" i="1" s="1"/>
  <c r="M344" i="1" s="1"/>
  <c r="E345" i="1"/>
  <c r="H345" i="1" s="1"/>
  <c r="M345" i="1" s="1"/>
  <c r="O345" i="1" s="1"/>
  <c r="E346" i="1"/>
  <c r="H346" i="1" s="1"/>
  <c r="M346" i="1" s="1"/>
  <c r="O346" i="1" s="1"/>
  <c r="E347" i="1"/>
  <c r="H347" i="1" s="1"/>
  <c r="M347" i="1" s="1"/>
  <c r="O347" i="1" s="1"/>
  <c r="E348" i="1"/>
  <c r="H348" i="1" s="1"/>
  <c r="M348" i="1" s="1"/>
  <c r="E349" i="1"/>
  <c r="H349" i="1" s="1"/>
  <c r="M349" i="1" s="1"/>
  <c r="O349" i="1" s="1"/>
  <c r="E350" i="1"/>
  <c r="H350" i="1" s="1"/>
  <c r="M350" i="1" s="1"/>
  <c r="O350" i="1" s="1"/>
  <c r="E351" i="1"/>
  <c r="H351" i="1" s="1"/>
  <c r="M351" i="1" s="1"/>
  <c r="E352" i="1"/>
  <c r="H352" i="1" s="1"/>
  <c r="M352" i="1" s="1"/>
  <c r="E353" i="1"/>
  <c r="H353" i="1" s="1"/>
  <c r="M353" i="1" s="1"/>
  <c r="O353" i="1" s="1"/>
  <c r="E354" i="1"/>
  <c r="H354" i="1" s="1"/>
  <c r="M354" i="1" s="1"/>
  <c r="O354" i="1" s="1"/>
  <c r="E355" i="1"/>
  <c r="H355" i="1" s="1"/>
  <c r="M355" i="1" s="1"/>
  <c r="O355" i="1" s="1"/>
  <c r="E356" i="1"/>
  <c r="H356" i="1" s="1"/>
  <c r="M356" i="1" s="1"/>
  <c r="E357" i="1"/>
  <c r="H357" i="1" s="1"/>
  <c r="M357" i="1" s="1"/>
  <c r="O357" i="1" s="1"/>
  <c r="E358" i="1"/>
  <c r="H358" i="1" s="1"/>
  <c r="M358" i="1" s="1"/>
  <c r="O358" i="1" s="1"/>
  <c r="E359" i="1"/>
  <c r="H359" i="1" s="1"/>
  <c r="M359" i="1" s="1"/>
  <c r="E360" i="1"/>
  <c r="H360" i="1" s="1"/>
  <c r="M360" i="1" s="1"/>
  <c r="E361" i="1"/>
  <c r="H361" i="1" s="1"/>
  <c r="M361" i="1" s="1"/>
  <c r="O361" i="1" s="1"/>
  <c r="E362" i="1"/>
  <c r="H362" i="1" s="1"/>
  <c r="M362" i="1" s="1"/>
  <c r="O362" i="1" s="1"/>
  <c r="E363" i="1"/>
  <c r="H363" i="1" s="1"/>
  <c r="M363" i="1" s="1"/>
  <c r="O363" i="1" s="1"/>
  <c r="E364" i="1"/>
  <c r="H364" i="1" s="1"/>
  <c r="M364" i="1" s="1"/>
  <c r="E365" i="1"/>
  <c r="H365" i="1" s="1"/>
  <c r="M365" i="1" s="1"/>
  <c r="O365" i="1" s="1"/>
  <c r="E366" i="1"/>
  <c r="H366" i="1" s="1"/>
  <c r="M366" i="1" s="1"/>
  <c r="O366" i="1" s="1"/>
  <c r="E367" i="1"/>
  <c r="H367" i="1" s="1"/>
  <c r="M367" i="1" s="1"/>
  <c r="E368" i="1"/>
  <c r="H368" i="1" s="1"/>
  <c r="M368" i="1" s="1"/>
  <c r="E369" i="1"/>
  <c r="H369" i="1" s="1"/>
  <c r="M369" i="1" s="1"/>
  <c r="O369" i="1" s="1"/>
  <c r="E370" i="1"/>
  <c r="H370" i="1" s="1"/>
  <c r="M370" i="1" s="1"/>
  <c r="O370" i="1" s="1"/>
  <c r="E371" i="1"/>
  <c r="H371" i="1" s="1"/>
  <c r="M371" i="1" s="1"/>
  <c r="O371" i="1" s="1"/>
  <c r="E372" i="1"/>
  <c r="H372" i="1" s="1"/>
  <c r="M372" i="1" s="1"/>
  <c r="E373" i="1"/>
  <c r="H373" i="1" s="1"/>
  <c r="M373" i="1" s="1"/>
  <c r="O373" i="1" s="1"/>
  <c r="E374" i="1"/>
  <c r="H374" i="1" s="1"/>
  <c r="M374" i="1" s="1"/>
  <c r="O374" i="1" s="1"/>
  <c r="E375" i="1"/>
  <c r="H375" i="1" s="1"/>
  <c r="M375" i="1" s="1"/>
  <c r="E376" i="1"/>
  <c r="H376" i="1" s="1"/>
  <c r="M376" i="1" s="1"/>
  <c r="E377" i="1"/>
  <c r="H377" i="1" s="1"/>
  <c r="M377" i="1" s="1"/>
  <c r="O377" i="1" s="1"/>
  <c r="E378" i="1"/>
  <c r="H378" i="1" s="1"/>
  <c r="M378" i="1" s="1"/>
  <c r="O378" i="1" s="1"/>
  <c r="E379" i="1"/>
  <c r="H379" i="1" s="1"/>
  <c r="M379" i="1" s="1"/>
  <c r="O379" i="1" s="1"/>
  <c r="E380" i="1"/>
  <c r="H380" i="1" s="1"/>
  <c r="M380" i="1" s="1"/>
  <c r="E381" i="1"/>
  <c r="H381" i="1" s="1"/>
  <c r="M381" i="1" s="1"/>
  <c r="O381" i="1" s="1"/>
  <c r="E382" i="1"/>
  <c r="H382" i="1" s="1"/>
  <c r="M382" i="1" s="1"/>
  <c r="O382" i="1" s="1"/>
  <c r="E383" i="1"/>
  <c r="H383" i="1" s="1"/>
  <c r="M383" i="1" s="1"/>
  <c r="E384" i="1"/>
  <c r="H384" i="1" s="1"/>
  <c r="M384" i="1" s="1"/>
  <c r="E385" i="1"/>
  <c r="H385" i="1" s="1"/>
  <c r="M385" i="1" s="1"/>
  <c r="O385" i="1" s="1"/>
  <c r="E386" i="1"/>
  <c r="H386" i="1" s="1"/>
  <c r="M386" i="1" s="1"/>
  <c r="O386" i="1" s="1"/>
  <c r="E387" i="1"/>
  <c r="H387" i="1" s="1"/>
  <c r="M387" i="1" s="1"/>
  <c r="O387" i="1" s="1"/>
  <c r="E388" i="1"/>
  <c r="H388" i="1" s="1"/>
  <c r="M388" i="1" s="1"/>
  <c r="E389" i="1"/>
  <c r="H389" i="1" s="1"/>
  <c r="M389" i="1" s="1"/>
  <c r="O389" i="1" s="1"/>
  <c r="E390" i="1"/>
  <c r="H390" i="1" s="1"/>
  <c r="M390" i="1" s="1"/>
  <c r="O390" i="1" s="1"/>
  <c r="E391" i="1"/>
  <c r="H391" i="1" s="1"/>
  <c r="M391" i="1" s="1"/>
  <c r="E392" i="1"/>
  <c r="H392" i="1" s="1"/>
  <c r="M392" i="1" s="1"/>
  <c r="E393" i="1"/>
  <c r="H393" i="1" s="1"/>
  <c r="M393" i="1" s="1"/>
  <c r="O393" i="1" s="1"/>
  <c r="E394" i="1"/>
  <c r="H394" i="1" s="1"/>
  <c r="M394" i="1" s="1"/>
  <c r="O394" i="1" s="1"/>
  <c r="E395" i="1"/>
  <c r="H395" i="1" s="1"/>
  <c r="M395" i="1" s="1"/>
  <c r="O395" i="1" s="1"/>
  <c r="E396" i="1"/>
  <c r="H396" i="1" s="1"/>
  <c r="M396" i="1" s="1"/>
  <c r="E397" i="1"/>
  <c r="H397" i="1" s="1"/>
  <c r="M397" i="1" s="1"/>
  <c r="O397" i="1" s="1"/>
  <c r="E398" i="1"/>
  <c r="H398" i="1" s="1"/>
  <c r="M398" i="1" s="1"/>
  <c r="O398" i="1" s="1"/>
  <c r="E399" i="1"/>
  <c r="H399" i="1" s="1"/>
  <c r="M399" i="1" s="1"/>
  <c r="E400" i="1"/>
  <c r="H400" i="1" s="1"/>
  <c r="M400" i="1" s="1"/>
  <c r="E401" i="1"/>
  <c r="H401" i="1" s="1"/>
  <c r="M401" i="1" s="1"/>
  <c r="O401" i="1" s="1"/>
  <c r="E402" i="1"/>
  <c r="H402" i="1" s="1"/>
  <c r="M402" i="1" s="1"/>
  <c r="O402" i="1" s="1"/>
  <c r="E403" i="1"/>
  <c r="H403" i="1" s="1"/>
  <c r="M403" i="1" s="1"/>
  <c r="O403" i="1" s="1"/>
  <c r="E404" i="1"/>
  <c r="H404" i="1" s="1"/>
  <c r="M404" i="1" s="1"/>
  <c r="E405" i="1"/>
  <c r="H405" i="1" s="1"/>
  <c r="M405" i="1" s="1"/>
  <c r="O405" i="1" s="1"/>
  <c r="E406" i="1"/>
  <c r="H406" i="1" s="1"/>
  <c r="M406" i="1" s="1"/>
  <c r="O406" i="1" s="1"/>
  <c r="E407" i="1"/>
  <c r="H407" i="1" s="1"/>
  <c r="M407" i="1" s="1"/>
  <c r="E408" i="1"/>
  <c r="H408" i="1" s="1"/>
  <c r="M408" i="1" s="1"/>
  <c r="E409" i="1"/>
  <c r="H409" i="1" s="1"/>
  <c r="M409" i="1" s="1"/>
  <c r="O409" i="1" s="1"/>
  <c r="E410" i="1"/>
  <c r="H410" i="1" s="1"/>
  <c r="M410" i="1" s="1"/>
  <c r="O410" i="1" s="1"/>
  <c r="E411" i="1"/>
  <c r="H411" i="1" s="1"/>
  <c r="M411" i="1" s="1"/>
  <c r="O411" i="1" s="1"/>
  <c r="E412" i="1"/>
  <c r="H412" i="1" s="1"/>
  <c r="M412" i="1" s="1"/>
  <c r="E413" i="1"/>
  <c r="H413" i="1" s="1"/>
  <c r="M413" i="1" s="1"/>
  <c r="O413" i="1" s="1"/>
  <c r="E414" i="1"/>
  <c r="H414" i="1" s="1"/>
  <c r="M414" i="1" s="1"/>
  <c r="O414" i="1" s="1"/>
  <c r="E415" i="1"/>
  <c r="H415" i="1" s="1"/>
  <c r="M415" i="1" s="1"/>
  <c r="E416" i="1"/>
  <c r="H416" i="1" s="1"/>
  <c r="M416" i="1" s="1"/>
  <c r="E417" i="1"/>
  <c r="H417" i="1" s="1"/>
  <c r="M417" i="1" s="1"/>
  <c r="O417" i="1" s="1"/>
  <c r="E418" i="1"/>
  <c r="H418" i="1" s="1"/>
  <c r="M418" i="1" s="1"/>
  <c r="O418" i="1" s="1"/>
  <c r="E419" i="1"/>
  <c r="H419" i="1" s="1"/>
  <c r="M419" i="1" s="1"/>
  <c r="O419" i="1" s="1"/>
  <c r="E420" i="1"/>
  <c r="H420" i="1" s="1"/>
  <c r="M420" i="1" s="1"/>
  <c r="E421" i="1"/>
  <c r="H421" i="1" s="1"/>
  <c r="M421" i="1" s="1"/>
  <c r="O421" i="1" s="1"/>
  <c r="E422" i="1"/>
  <c r="H422" i="1" s="1"/>
  <c r="M422" i="1" s="1"/>
  <c r="O422" i="1" s="1"/>
  <c r="E423" i="1"/>
  <c r="H423" i="1" s="1"/>
  <c r="M423" i="1" s="1"/>
  <c r="E424" i="1"/>
  <c r="H424" i="1" s="1"/>
  <c r="M424" i="1" s="1"/>
  <c r="E425" i="1"/>
  <c r="H425" i="1" s="1"/>
  <c r="M425" i="1" s="1"/>
  <c r="O425" i="1" s="1"/>
  <c r="E426" i="1"/>
  <c r="H426" i="1" s="1"/>
  <c r="M426" i="1" s="1"/>
  <c r="O426" i="1" s="1"/>
  <c r="E427" i="1"/>
  <c r="H427" i="1" s="1"/>
  <c r="M427" i="1" s="1"/>
  <c r="O427" i="1" s="1"/>
  <c r="E428" i="1"/>
  <c r="H428" i="1" s="1"/>
  <c r="M428" i="1" s="1"/>
  <c r="E429" i="1"/>
  <c r="H429" i="1" s="1"/>
  <c r="M429" i="1" s="1"/>
  <c r="O429" i="1" s="1"/>
  <c r="E430" i="1"/>
  <c r="H430" i="1" s="1"/>
  <c r="M430" i="1" s="1"/>
  <c r="O430" i="1" s="1"/>
  <c r="E431" i="1"/>
  <c r="H431" i="1" s="1"/>
  <c r="M431" i="1" s="1"/>
  <c r="E432" i="1"/>
  <c r="H432" i="1" s="1"/>
  <c r="M432" i="1" s="1"/>
  <c r="E433" i="1"/>
  <c r="H433" i="1" s="1"/>
  <c r="M433" i="1" s="1"/>
  <c r="O433" i="1" s="1"/>
  <c r="E434" i="1"/>
  <c r="H434" i="1" s="1"/>
  <c r="M434" i="1" s="1"/>
  <c r="O434" i="1" s="1"/>
  <c r="E435" i="1"/>
  <c r="H435" i="1" s="1"/>
  <c r="M435" i="1" s="1"/>
  <c r="O435" i="1" s="1"/>
  <c r="E436" i="1"/>
  <c r="H436" i="1" s="1"/>
  <c r="M436" i="1" s="1"/>
  <c r="E437" i="1"/>
  <c r="H437" i="1" s="1"/>
  <c r="M437" i="1" s="1"/>
  <c r="O437" i="1" s="1"/>
  <c r="E438" i="1"/>
  <c r="H438" i="1" s="1"/>
  <c r="M438" i="1" s="1"/>
  <c r="O438" i="1" s="1"/>
  <c r="E439" i="1"/>
  <c r="H439" i="1" s="1"/>
  <c r="M439" i="1" s="1"/>
  <c r="E440" i="1"/>
  <c r="H440" i="1" s="1"/>
  <c r="M440" i="1" s="1"/>
  <c r="E441" i="1"/>
  <c r="H441" i="1" s="1"/>
  <c r="M441" i="1" s="1"/>
  <c r="O441" i="1" s="1"/>
  <c r="E442" i="1"/>
  <c r="H442" i="1" s="1"/>
  <c r="M442" i="1" s="1"/>
  <c r="O442" i="1" s="1"/>
  <c r="E443" i="1"/>
  <c r="H443" i="1" s="1"/>
  <c r="M443" i="1" s="1"/>
  <c r="O443" i="1" s="1"/>
  <c r="E444" i="1"/>
  <c r="H444" i="1" s="1"/>
  <c r="M444" i="1" s="1"/>
  <c r="E445" i="1"/>
  <c r="H445" i="1" s="1"/>
  <c r="M445" i="1" s="1"/>
  <c r="O445" i="1" s="1"/>
  <c r="E446" i="1"/>
  <c r="H446" i="1" s="1"/>
  <c r="M446" i="1" s="1"/>
  <c r="O446" i="1" s="1"/>
  <c r="E447" i="1"/>
  <c r="H447" i="1" s="1"/>
  <c r="M447" i="1" s="1"/>
  <c r="E448" i="1"/>
  <c r="H448" i="1" s="1"/>
  <c r="M448" i="1" s="1"/>
  <c r="E449" i="1"/>
  <c r="H449" i="1" s="1"/>
  <c r="M449" i="1" s="1"/>
  <c r="O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2" i="1"/>
  <c r="H2" i="1" s="1"/>
  <c r="M2" i="1" s="1"/>
  <c r="O2" i="1" s="1"/>
  <c r="H316" i="8" l="1"/>
  <c r="H284" i="8"/>
  <c r="H252" i="8"/>
  <c r="H220" i="8"/>
  <c r="H188" i="8"/>
  <c r="H156" i="8"/>
  <c r="H124" i="8"/>
  <c r="H92" i="8"/>
  <c r="H60" i="8"/>
  <c r="H28" i="8"/>
  <c r="H336" i="8"/>
  <c r="H304" i="8"/>
  <c r="H272" i="8"/>
  <c r="H240" i="8"/>
  <c r="H208" i="8"/>
  <c r="H176" i="8"/>
  <c r="H144" i="8"/>
  <c r="H112" i="8"/>
  <c r="H80" i="8"/>
  <c r="H48" i="8"/>
  <c r="H16" i="8"/>
  <c r="K335" i="8"/>
  <c r="H312" i="8"/>
  <c r="H280" i="8"/>
  <c r="H248" i="8"/>
  <c r="H216" i="8"/>
  <c r="H184" i="8"/>
  <c r="H152" i="8"/>
  <c r="H120" i="8"/>
  <c r="H88" i="8"/>
  <c r="H56" i="8"/>
  <c r="H24" i="8"/>
  <c r="H340" i="8"/>
  <c r="H320" i="8"/>
  <c r="H288" i="8"/>
  <c r="H256" i="8"/>
  <c r="H224" i="8"/>
  <c r="H192" i="8"/>
  <c r="H160" i="8"/>
  <c r="H128" i="8"/>
  <c r="H96" i="8"/>
  <c r="H64" i="8"/>
  <c r="H32" i="8"/>
  <c r="O444" i="1"/>
  <c r="O436" i="1"/>
  <c r="O428" i="1"/>
  <c r="O420" i="1"/>
  <c r="O412" i="1"/>
  <c r="O404" i="1"/>
  <c r="O396" i="1"/>
  <c r="O388" i="1"/>
  <c r="O380" i="1"/>
  <c r="O372" i="1"/>
  <c r="O364" i="1"/>
  <c r="O356" i="1"/>
  <c r="O348" i="1"/>
  <c r="O340" i="1"/>
  <c r="O332" i="1"/>
  <c r="O324" i="1"/>
  <c r="O316" i="1"/>
  <c r="O308" i="1"/>
  <c r="O300" i="1"/>
  <c r="O292" i="1"/>
  <c r="O284" i="1"/>
  <c r="O276" i="1"/>
  <c r="O268" i="1"/>
  <c r="O260" i="1"/>
  <c r="O252" i="1"/>
  <c r="O244" i="1"/>
  <c r="O236" i="1"/>
  <c r="O228" i="1"/>
  <c r="O220" i="1"/>
  <c r="O212" i="1"/>
  <c r="O204" i="1"/>
  <c r="O196" i="1"/>
  <c r="O188" i="1"/>
  <c r="O180" i="1"/>
  <c r="O172" i="1"/>
  <c r="O164" i="1"/>
  <c r="O156" i="1"/>
  <c r="O148" i="1"/>
  <c r="O140" i="1"/>
  <c r="O132" i="1"/>
  <c r="O124" i="1"/>
  <c r="O116" i="1"/>
  <c r="O108" i="1"/>
  <c r="O100" i="1"/>
  <c r="O92" i="1"/>
  <c r="O84" i="1"/>
  <c r="O76" i="1"/>
  <c r="O68" i="1"/>
  <c r="O60" i="1"/>
  <c r="O52" i="1"/>
  <c r="O44" i="1"/>
  <c r="O36" i="1"/>
  <c r="O28" i="1"/>
  <c r="O20" i="1"/>
  <c r="O12" i="1"/>
  <c r="O4" i="1"/>
  <c r="O154" i="1"/>
  <c r="O90" i="1"/>
  <c r="O26" i="1"/>
  <c r="O448" i="1"/>
  <c r="O440" i="1"/>
  <c r="O432" i="1"/>
  <c r="O424" i="1"/>
  <c r="O416" i="1"/>
  <c r="O408" i="1"/>
  <c r="O400" i="1"/>
  <c r="O392" i="1"/>
  <c r="O384" i="1"/>
  <c r="O376" i="1"/>
  <c r="O368" i="1"/>
  <c r="O360" i="1"/>
  <c r="O352" i="1"/>
  <c r="O344" i="1"/>
  <c r="O336" i="1"/>
  <c r="O328" i="1"/>
  <c r="O320" i="1"/>
  <c r="O312" i="1"/>
  <c r="O304" i="1"/>
  <c r="O296" i="1"/>
  <c r="O288" i="1"/>
  <c r="O280" i="1"/>
  <c r="O272" i="1"/>
  <c r="O264" i="1"/>
  <c r="O256" i="1"/>
  <c r="O248" i="1"/>
  <c r="O240" i="1"/>
  <c r="O232" i="1"/>
  <c r="O224" i="1"/>
  <c r="O216" i="1"/>
  <c r="O208" i="1"/>
  <c r="O200" i="1"/>
  <c r="O192" i="1"/>
  <c r="O184" i="1"/>
  <c r="O176" i="1"/>
  <c r="O168" i="1"/>
  <c r="O160" i="1"/>
  <c r="O152" i="1"/>
  <c r="O144" i="1"/>
  <c r="O136" i="1"/>
  <c r="O128" i="1"/>
  <c r="O120" i="1"/>
  <c r="O112" i="1"/>
  <c r="O104" i="1"/>
  <c r="O96" i="1"/>
  <c r="O88" i="1"/>
  <c r="O80" i="1"/>
  <c r="O72" i="1"/>
  <c r="O64" i="1"/>
  <c r="O56" i="1"/>
  <c r="O48" i="1"/>
  <c r="O447" i="1"/>
  <c r="O439" i="1"/>
  <c r="O431" i="1"/>
  <c r="O423" i="1"/>
  <c r="O415" i="1"/>
  <c r="O407" i="1"/>
  <c r="O399" i="1"/>
  <c r="O391" i="1"/>
  <c r="O383" i="1"/>
  <c r="O375" i="1"/>
  <c r="O367" i="1"/>
  <c r="O359" i="1"/>
  <c r="O351" i="1"/>
  <c r="O343" i="1"/>
  <c r="O335" i="1"/>
  <c r="O327" i="1"/>
  <c r="O319" i="1"/>
  <c r="O311" i="1"/>
  <c r="O303" i="1"/>
  <c r="O295" i="1"/>
  <c r="O287" i="1"/>
  <c r="O279" i="1"/>
  <c r="O271" i="1"/>
  <c r="O263" i="1"/>
  <c r="O255" i="1"/>
  <c r="O247" i="1"/>
  <c r="O40" i="1"/>
  <c r="O32" i="1"/>
  <c r="O24" i="1"/>
  <c r="O16" i="1"/>
  <c r="O8" i="1"/>
  <c r="O239" i="1"/>
  <c r="O231" i="1"/>
  <c r="O223" i="1"/>
  <c r="O215" i="1"/>
  <c r="O207" i="1"/>
  <c r="O199" i="1"/>
  <c r="O191" i="1"/>
  <c r="O183" i="1"/>
  <c r="O175" i="1"/>
  <c r="O167" i="1"/>
  <c r="O159" i="1"/>
  <c r="O151" i="1"/>
  <c r="O143" i="1"/>
  <c r="O135" i="1"/>
  <c r="O127" i="1"/>
  <c r="O119" i="1"/>
  <c r="O111" i="1"/>
  <c r="O103" i="1"/>
  <c r="O95" i="1"/>
  <c r="O87" i="1"/>
  <c r="O79" i="1"/>
  <c r="O71" i="1"/>
  <c r="O63" i="1"/>
  <c r="O55" i="1"/>
  <c r="O47" i="1"/>
  <c r="O39" i="1"/>
  <c r="O31" i="1"/>
  <c r="O23" i="1"/>
  <c r="O15" i="1"/>
  <c r="O7" i="1"/>
  <c r="F321" i="5"/>
  <c r="J321" i="5"/>
  <c r="M321" i="5" s="1"/>
  <c r="F313" i="5"/>
  <c r="J313" i="5"/>
  <c r="M313" i="5" s="1"/>
  <c r="G217" i="5"/>
  <c r="K217" i="5" s="1"/>
  <c r="N217" i="5" s="1"/>
  <c r="F217" i="5"/>
  <c r="G356" i="5"/>
  <c r="K356" i="5" s="1"/>
  <c r="N356" i="5" s="1"/>
  <c r="J352" i="5"/>
  <c r="M352" i="5" s="1"/>
  <c r="G354" i="5"/>
  <c r="K354" i="5" s="1"/>
  <c r="N354" i="5" s="1"/>
  <c r="J418" i="5"/>
  <c r="M418" i="5" s="1"/>
  <c r="J399" i="5"/>
  <c r="M399" i="5" s="1"/>
  <c r="J300" i="5"/>
  <c r="M300" i="5" s="1"/>
  <c r="J387" i="5"/>
  <c r="M387" i="5" s="1"/>
  <c r="J367" i="5"/>
  <c r="M367" i="5" s="1"/>
  <c r="H400" i="5"/>
  <c r="L400" i="5" s="1"/>
  <c r="O400" i="5" s="1"/>
  <c r="J400" i="5"/>
  <c r="M400" i="5" s="1"/>
  <c r="H376" i="5"/>
  <c r="L376" i="5" s="1"/>
  <c r="O376" i="5" s="1"/>
  <c r="J376" i="5"/>
  <c r="M376" i="5" s="1"/>
  <c r="G368" i="5"/>
  <c r="K368" i="5" s="1"/>
  <c r="N368" i="5" s="1"/>
  <c r="J368" i="5"/>
  <c r="M368" i="5" s="1"/>
  <c r="G344" i="5"/>
  <c r="K344" i="5" s="1"/>
  <c r="N344" i="5" s="1"/>
  <c r="J344" i="5"/>
  <c r="M344" i="5" s="1"/>
  <c r="G328" i="5"/>
  <c r="K328" i="5" s="1"/>
  <c r="N328" i="5" s="1"/>
  <c r="J328" i="5"/>
  <c r="M328" i="5" s="1"/>
  <c r="G320" i="5"/>
  <c r="K320" i="5" s="1"/>
  <c r="N320" i="5" s="1"/>
  <c r="J320" i="5"/>
  <c r="M320" i="5" s="1"/>
  <c r="H312" i="5"/>
  <c r="L312" i="5" s="1"/>
  <c r="O312" i="5" s="1"/>
  <c r="J312" i="5"/>
  <c r="M312" i="5" s="1"/>
  <c r="G304" i="5"/>
  <c r="K304" i="5" s="1"/>
  <c r="N304" i="5" s="1"/>
  <c r="J304" i="5"/>
  <c r="M304" i="5" s="1"/>
  <c r="E296" i="5"/>
  <c r="J296" i="5"/>
  <c r="M296" i="5" s="1"/>
  <c r="G264" i="5"/>
  <c r="K264" i="5" s="1"/>
  <c r="N264" i="5" s="1"/>
  <c r="J264" i="5"/>
  <c r="M264" i="5" s="1"/>
  <c r="G240" i="5"/>
  <c r="K240" i="5" s="1"/>
  <c r="N240" i="5" s="1"/>
  <c r="J240" i="5"/>
  <c r="M240" i="5" s="1"/>
  <c r="G232" i="5"/>
  <c r="K232" i="5" s="1"/>
  <c r="N232" i="5" s="1"/>
  <c r="J232" i="5"/>
  <c r="M232" i="5" s="1"/>
  <c r="G216" i="5"/>
  <c r="K216" i="5" s="1"/>
  <c r="N216" i="5" s="1"/>
  <c r="J216" i="5"/>
  <c r="M216" i="5" s="1"/>
  <c r="G208" i="5"/>
  <c r="K208" i="5" s="1"/>
  <c r="N208" i="5" s="1"/>
  <c r="J208" i="5"/>
  <c r="M208" i="5" s="1"/>
  <c r="G184" i="5"/>
  <c r="K184" i="5" s="1"/>
  <c r="N184" i="5" s="1"/>
  <c r="J184" i="5"/>
  <c r="M184" i="5" s="1"/>
  <c r="G176" i="5"/>
  <c r="K176" i="5" s="1"/>
  <c r="N176" i="5" s="1"/>
  <c r="J176" i="5"/>
  <c r="M176" i="5" s="1"/>
  <c r="E369" i="5"/>
  <c r="E321" i="5"/>
  <c r="J447" i="5"/>
  <c r="M447" i="5" s="1"/>
  <c r="J445" i="5"/>
  <c r="M445" i="5" s="1"/>
  <c r="J411" i="5"/>
  <c r="M411" i="5" s="1"/>
  <c r="J261" i="5"/>
  <c r="M261" i="5" s="1"/>
  <c r="E423" i="5"/>
  <c r="J423" i="5"/>
  <c r="M423" i="5" s="1"/>
  <c r="E415" i="5"/>
  <c r="J415" i="5"/>
  <c r="M415" i="5" s="1"/>
  <c r="F391" i="5"/>
  <c r="J391" i="5"/>
  <c r="M391" i="5" s="1"/>
  <c r="F383" i="5"/>
  <c r="J383" i="5"/>
  <c r="M383" i="5" s="1"/>
  <c r="F375" i="5"/>
  <c r="J375" i="5"/>
  <c r="M375" i="5" s="1"/>
  <c r="F359" i="5"/>
  <c r="J359" i="5"/>
  <c r="M359" i="5" s="1"/>
  <c r="F351" i="5"/>
  <c r="J351" i="5"/>
  <c r="M351" i="5" s="1"/>
  <c r="F343" i="5"/>
  <c r="J343" i="5"/>
  <c r="M343" i="5" s="1"/>
  <c r="F335" i="5"/>
  <c r="J335" i="5"/>
  <c r="M335" i="5" s="1"/>
  <c r="F327" i="5"/>
  <c r="J327" i="5"/>
  <c r="M327" i="5" s="1"/>
  <c r="F311" i="5"/>
  <c r="J311" i="5"/>
  <c r="M311" i="5" s="1"/>
  <c r="F303" i="5"/>
  <c r="J303" i="5"/>
  <c r="M303" i="5" s="1"/>
  <c r="H295" i="5"/>
  <c r="L295" i="5" s="1"/>
  <c r="O295" i="5" s="1"/>
  <c r="J295" i="5"/>
  <c r="M295" i="5" s="1"/>
  <c r="H287" i="5"/>
  <c r="L287" i="5" s="1"/>
  <c r="O287" i="5" s="1"/>
  <c r="J287" i="5"/>
  <c r="M287" i="5" s="1"/>
  <c r="H279" i="5"/>
  <c r="L279" i="5" s="1"/>
  <c r="O279" i="5" s="1"/>
  <c r="J279" i="5"/>
  <c r="M279" i="5" s="1"/>
  <c r="H271" i="5"/>
  <c r="L271" i="5" s="1"/>
  <c r="O271" i="5" s="1"/>
  <c r="J271" i="5"/>
  <c r="M271" i="5" s="1"/>
  <c r="H263" i="5"/>
  <c r="L263" i="5" s="1"/>
  <c r="O263" i="5" s="1"/>
  <c r="J263" i="5"/>
  <c r="M263" i="5" s="1"/>
  <c r="H255" i="5"/>
  <c r="L255" i="5" s="1"/>
  <c r="O255" i="5" s="1"/>
  <c r="J255" i="5"/>
  <c r="M255" i="5" s="1"/>
  <c r="H247" i="5"/>
  <c r="L247" i="5" s="1"/>
  <c r="O247" i="5" s="1"/>
  <c r="J247" i="5"/>
  <c r="M247" i="5" s="1"/>
  <c r="F239" i="5"/>
  <c r="J239" i="5"/>
  <c r="M239" i="5" s="1"/>
  <c r="F231" i="5"/>
  <c r="J231" i="5"/>
  <c r="M231" i="5" s="1"/>
  <c r="F223" i="5"/>
  <c r="J223" i="5"/>
  <c r="M223" i="5" s="1"/>
  <c r="F207" i="5"/>
  <c r="J207" i="5"/>
  <c r="M207" i="5" s="1"/>
  <c r="F199" i="5"/>
  <c r="J199" i="5"/>
  <c r="M199" i="5" s="1"/>
  <c r="F191" i="5"/>
  <c r="J191" i="5"/>
  <c r="M191" i="5" s="1"/>
  <c r="F183" i="5"/>
  <c r="J183" i="5"/>
  <c r="M183" i="5" s="1"/>
  <c r="F175" i="5"/>
  <c r="J175" i="5"/>
  <c r="M175" i="5" s="1"/>
  <c r="H159" i="5"/>
  <c r="L159" i="5" s="1"/>
  <c r="O159" i="5" s="1"/>
  <c r="J159" i="5"/>
  <c r="M159" i="5" s="1"/>
  <c r="H151" i="5"/>
  <c r="L151" i="5" s="1"/>
  <c r="O151" i="5" s="1"/>
  <c r="J151" i="5"/>
  <c r="M151" i="5" s="1"/>
  <c r="H143" i="5"/>
  <c r="L143" i="5" s="1"/>
  <c r="O143" i="5" s="1"/>
  <c r="J143" i="5"/>
  <c r="M143" i="5" s="1"/>
  <c r="H422" i="5"/>
  <c r="L422" i="5" s="1"/>
  <c r="O422" i="5" s="1"/>
  <c r="H313" i="5"/>
  <c r="L313" i="5" s="1"/>
  <c r="O313" i="5" s="1"/>
  <c r="G244" i="5"/>
  <c r="K244" i="5" s="1"/>
  <c r="N244" i="5" s="1"/>
  <c r="J449" i="5"/>
  <c r="M449" i="5" s="1"/>
  <c r="J434" i="5"/>
  <c r="M434" i="5" s="1"/>
  <c r="J421" i="5"/>
  <c r="M421" i="5" s="1"/>
  <c r="J407" i="5"/>
  <c r="M407" i="5" s="1"/>
  <c r="J392" i="5"/>
  <c r="M392" i="5" s="1"/>
  <c r="J323" i="5"/>
  <c r="M323" i="5" s="1"/>
  <c r="J289" i="5"/>
  <c r="M289" i="5" s="1"/>
  <c r="E446" i="5"/>
  <c r="G446" i="5"/>
  <c r="K446" i="5" s="1"/>
  <c r="N446" i="5" s="1"/>
  <c r="E438" i="5"/>
  <c r="J438" i="5"/>
  <c r="M438" i="5" s="1"/>
  <c r="E406" i="5"/>
  <c r="J406" i="5"/>
  <c r="M406" i="5" s="1"/>
  <c r="E398" i="5"/>
  <c r="J398" i="5"/>
  <c r="M398" i="5" s="1"/>
  <c r="E390" i="5"/>
  <c r="H390" i="5"/>
  <c r="L390" i="5" s="1"/>
  <c r="O390" i="5" s="1"/>
  <c r="E374" i="5"/>
  <c r="J374" i="5"/>
  <c r="M374" i="5" s="1"/>
  <c r="E366" i="5"/>
  <c r="J366" i="5"/>
  <c r="M366" i="5" s="1"/>
  <c r="E358" i="5"/>
  <c r="J358" i="5"/>
  <c r="M358" i="5" s="1"/>
  <c r="E342" i="5"/>
  <c r="J342" i="5"/>
  <c r="M342" i="5" s="1"/>
  <c r="E334" i="5"/>
  <c r="J334" i="5"/>
  <c r="M334" i="5" s="1"/>
  <c r="E326" i="5"/>
  <c r="J326" i="5"/>
  <c r="M326" i="5" s="1"/>
  <c r="E318" i="5"/>
  <c r="J318" i="5"/>
  <c r="M318" i="5" s="1"/>
  <c r="E310" i="5"/>
  <c r="J310" i="5"/>
  <c r="M310" i="5" s="1"/>
  <c r="E302" i="5"/>
  <c r="J302" i="5"/>
  <c r="M302" i="5" s="1"/>
  <c r="G294" i="5"/>
  <c r="K294" i="5" s="1"/>
  <c r="N294" i="5" s="1"/>
  <c r="J294" i="5"/>
  <c r="M294" i="5" s="1"/>
  <c r="F286" i="5"/>
  <c r="J286" i="5"/>
  <c r="M286" i="5" s="1"/>
  <c r="G278" i="5"/>
  <c r="K278" i="5" s="1"/>
  <c r="N278" i="5" s="1"/>
  <c r="J278" i="5"/>
  <c r="M278" i="5" s="1"/>
  <c r="F270" i="5"/>
  <c r="J270" i="5"/>
  <c r="M270" i="5" s="1"/>
  <c r="G262" i="5"/>
  <c r="K262" i="5" s="1"/>
  <c r="N262" i="5" s="1"/>
  <c r="J262" i="5"/>
  <c r="M262" i="5" s="1"/>
  <c r="F254" i="5"/>
  <c r="J254" i="5"/>
  <c r="M254" i="5" s="1"/>
  <c r="G246" i="5"/>
  <c r="K246" i="5" s="1"/>
  <c r="N246" i="5" s="1"/>
  <c r="J246" i="5"/>
  <c r="M246" i="5" s="1"/>
  <c r="G238" i="5"/>
  <c r="K238" i="5" s="1"/>
  <c r="N238" i="5" s="1"/>
  <c r="J238" i="5"/>
  <c r="M238" i="5" s="1"/>
  <c r="G230" i="5"/>
  <c r="K230" i="5" s="1"/>
  <c r="N230" i="5" s="1"/>
  <c r="J230" i="5"/>
  <c r="M230" i="5" s="1"/>
  <c r="G222" i="5"/>
  <c r="K222" i="5" s="1"/>
  <c r="N222" i="5" s="1"/>
  <c r="J222" i="5"/>
  <c r="M222" i="5" s="1"/>
  <c r="G214" i="5"/>
  <c r="K214" i="5" s="1"/>
  <c r="N214" i="5" s="1"/>
  <c r="J214" i="5"/>
  <c r="M214" i="5" s="1"/>
  <c r="G206" i="5"/>
  <c r="K206" i="5" s="1"/>
  <c r="N206" i="5" s="1"/>
  <c r="J206" i="5"/>
  <c r="M206" i="5" s="1"/>
  <c r="G198" i="5"/>
  <c r="K198" i="5" s="1"/>
  <c r="N198" i="5" s="1"/>
  <c r="J198" i="5"/>
  <c r="M198" i="5" s="1"/>
  <c r="G190" i="5"/>
  <c r="K190" i="5" s="1"/>
  <c r="N190" i="5" s="1"/>
  <c r="J190" i="5"/>
  <c r="M190" i="5" s="1"/>
  <c r="G182" i="5"/>
  <c r="K182" i="5" s="1"/>
  <c r="N182" i="5" s="1"/>
  <c r="J182" i="5"/>
  <c r="M182" i="5" s="1"/>
  <c r="G174" i="5"/>
  <c r="K174" i="5" s="1"/>
  <c r="N174" i="5" s="1"/>
  <c r="J174" i="5"/>
  <c r="M174" i="5" s="1"/>
  <c r="J414" i="5"/>
  <c r="M414" i="5" s="1"/>
  <c r="J382" i="5"/>
  <c r="M382" i="5" s="1"/>
  <c r="E429" i="5"/>
  <c r="J429" i="5"/>
  <c r="M429" i="5" s="1"/>
  <c r="E405" i="5"/>
  <c r="J405" i="5"/>
  <c r="M405" i="5" s="1"/>
  <c r="E397" i="5"/>
  <c r="J397" i="5"/>
  <c r="M397" i="5" s="1"/>
  <c r="E341" i="5"/>
  <c r="J341" i="5"/>
  <c r="M341" i="5" s="1"/>
  <c r="H293" i="5"/>
  <c r="L293" i="5" s="1"/>
  <c r="O293" i="5" s="1"/>
  <c r="J293" i="5"/>
  <c r="M293" i="5" s="1"/>
  <c r="H277" i="5"/>
  <c r="L277" i="5" s="1"/>
  <c r="O277" i="5" s="1"/>
  <c r="J277" i="5"/>
  <c r="M277" i="5" s="1"/>
  <c r="F237" i="5"/>
  <c r="J237" i="5"/>
  <c r="M237" i="5" s="1"/>
  <c r="G221" i="5"/>
  <c r="K221" i="5" s="1"/>
  <c r="N221" i="5" s="1"/>
  <c r="J221" i="5"/>
  <c r="M221" i="5" s="1"/>
  <c r="F205" i="5"/>
  <c r="J205" i="5"/>
  <c r="M205" i="5" s="1"/>
  <c r="F189" i="5"/>
  <c r="J189" i="5"/>
  <c r="M189" i="5" s="1"/>
  <c r="F173" i="5"/>
  <c r="J173" i="5"/>
  <c r="M173" i="5" s="1"/>
  <c r="G165" i="5"/>
  <c r="K165" i="5" s="1"/>
  <c r="N165" i="5" s="1"/>
  <c r="J165" i="5"/>
  <c r="M165" i="5" s="1"/>
  <c r="H125" i="5"/>
  <c r="L125" i="5" s="1"/>
  <c r="O125" i="5" s="1"/>
  <c r="J125" i="5"/>
  <c r="M125" i="5" s="1"/>
  <c r="H109" i="5"/>
  <c r="L109" i="5" s="1"/>
  <c r="O109" i="5" s="1"/>
  <c r="J109" i="5"/>
  <c r="M109" i="5" s="1"/>
  <c r="H93" i="5"/>
  <c r="L93" i="5" s="1"/>
  <c r="O93" i="5" s="1"/>
  <c r="J93" i="5"/>
  <c r="M93" i="5" s="1"/>
  <c r="H388" i="5"/>
  <c r="L388" i="5" s="1"/>
  <c r="O388" i="5" s="1"/>
  <c r="J388" i="5"/>
  <c r="M388" i="5" s="1"/>
  <c r="H380" i="5"/>
  <c r="L380" i="5" s="1"/>
  <c r="O380" i="5" s="1"/>
  <c r="J380" i="5"/>
  <c r="M380" i="5" s="1"/>
  <c r="H348" i="5"/>
  <c r="L348" i="5" s="1"/>
  <c r="O348" i="5" s="1"/>
  <c r="J348" i="5"/>
  <c r="M348" i="5" s="1"/>
  <c r="G324" i="5"/>
  <c r="K324" i="5" s="1"/>
  <c r="N324" i="5" s="1"/>
  <c r="P324" i="5" s="1"/>
  <c r="J324" i="5"/>
  <c r="M324" i="5" s="1"/>
  <c r="H316" i="5"/>
  <c r="L316" i="5" s="1"/>
  <c r="O316" i="5" s="1"/>
  <c r="J316" i="5"/>
  <c r="M316" i="5" s="1"/>
  <c r="F252" i="5"/>
  <c r="J252" i="5"/>
  <c r="M252" i="5" s="1"/>
  <c r="G180" i="5"/>
  <c r="K180" i="5" s="1"/>
  <c r="N180" i="5" s="1"/>
  <c r="J180" i="5"/>
  <c r="M180" i="5" s="1"/>
  <c r="H398" i="5"/>
  <c r="L398" i="5" s="1"/>
  <c r="O398" i="5" s="1"/>
  <c r="G342" i="5"/>
  <c r="K342" i="5" s="1"/>
  <c r="N342" i="5" s="1"/>
  <c r="F287" i="5"/>
  <c r="G212" i="5"/>
  <c r="K212" i="5" s="1"/>
  <c r="N212" i="5" s="1"/>
  <c r="J446" i="5"/>
  <c r="M446" i="5" s="1"/>
  <c r="J431" i="5"/>
  <c r="M431" i="5" s="1"/>
  <c r="J426" i="5"/>
  <c r="M426" i="5" s="1"/>
  <c r="J413" i="5"/>
  <c r="M413" i="5" s="1"/>
  <c r="J386" i="5"/>
  <c r="M386" i="5" s="1"/>
  <c r="J336" i="5"/>
  <c r="M336" i="5" s="1"/>
  <c r="J297" i="5"/>
  <c r="M297" i="5" s="1"/>
  <c r="J249" i="5"/>
  <c r="M249" i="5" s="1"/>
  <c r="J217" i="5"/>
  <c r="M217" i="5" s="1"/>
  <c r="E427" i="5"/>
  <c r="J427" i="5"/>
  <c r="M427" i="5" s="1"/>
  <c r="E403" i="5"/>
  <c r="J403" i="5"/>
  <c r="M403" i="5" s="1"/>
  <c r="E395" i="5"/>
  <c r="J395" i="5"/>
  <c r="M395" i="5" s="1"/>
  <c r="E363" i="5"/>
  <c r="J363" i="5"/>
  <c r="M363" i="5" s="1"/>
  <c r="E339" i="5"/>
  <c r="J339" i="5"/>
  <c r="M339" i="5" s="1"/>
  <c r="E331" i="5"/>
  <c r="J331" i="5"/>
  <c r="M331" i="5" s="1"/>
  <c r="E299" i="5"/>
  <c r="J299" i="5"/>
  <c r="M299" i="5" s="1"/>
  <c r="G283" i="5"/>
  <c r="K283" i="5" s="1"/>
  <c r="N283" i="5" s="1"/>
  <c r="J283" i="5"/>
  <c r="M283" i="5" s="1"/>
  <c r="G267" i="5"/>
  <c r="K267" i="5" s="1"/>
  <c r="N267" i="5" s="1"/>
  <c r="J267" i="5"/>
  <c r="M267" i="5" s="1"/>
  <c r="F251" i="5"/>
  <c r="J251" i="5"/>
  <c r="M251" i="5" s="1"/>
  <c r="G163" i="5"/>
  <c r="K163" i="5" s="1"/>
  <c r="N163" i="5" s="1"/>
  <c r="J163" i="5"/>
  <c r="M163" i="5" s="1"/>
  <c r="G155" i="5"/>
  <c r="K155" i="5" s="1"/>
  <c r="N155" i="5" s="1"/>
  <c r="J155" i="5"/>
  <c r="M155" i="5" s="1"/>
  <c r="G388" i="5"/>
  <c r="K388" i="5" s="1"/>
  <c r="N388" i="5" s="1"/>
  <c r="E335" i="5"/>
  <c r="F284" i="5"/>
  <c r="G200" i="5"/>
  <c r="K200" i="5" s="1"/>
  <c r="N200" i="5" s="1"/>
  <c r="J435" i="5"/>
  <c r="M435" i="5" s="1"/>
  <c r="J433" i="5"/>
  <c r="M433" i="5" s="1"/>
  <c r="J409" i="5"/>
  <c r="M409" i="5" s="1"/>
  <c r="J394" i="5"/>
  <c r="M394" i="5" s="1"/>
  <c r="J390" i="5"/>
  <c r="M390" i="5" s="1"/>
  <c r="J350" i="5"/>
  <c r="M350" i="5" s="1"/>
  <c r="J319" i="5"/>
  <c r="M319" i="5" s="1"/>
  <c r="J268" i="5"/>
  <c r="M268" i="5" s="1"/>
  <c r="J248" i="5"/>
  <c r="M248" i="5" s="1"/>
  <c r="J215" i="5"/>
  <c r="M215" i="5" s="1"/>
  <c r="H2" i="5"/>
  <c r="L2" i="5" s="1"/>
  <c r="O2" i="5" s="1"/>
  <c r="J2" i="5"/>
  <c r="M2" i="5" s="1"/>
  <c r="E442" i="5"/>
  <c r="J442" i="5"/>
  <c r="M442" i="5" s="1"/>
  <c r="E410" i="5"/>
  <c r="J410" i="5"/>
  <c r="M410" i="5" s="1"/>
  <c r="E402" i="5"/>
  <c r="J402" i="5"/>
  <c r="M402" i="5" s="1"/>
  <c r="E378" i="5"/>
  <c r="J378" i="5"/>
  <c r="M378" i="5" s="1"/>
  <c r="E370" i="5"/>
  <c r="J370" i="5"/>
  <c r="M370" i="5" s="1"/>
  <c r="E362" i="5"/>
  <c r="J362" i="5"/>
  <c r="M362" i="5" s="1"/>
  <c r="E346" i="5"/>
  <c r="J346" i="5"/>
  <c r="M346" i="5" s="1"/>
  <c r="H346" i="5"/>
  <c r="L346" i="5" s="1"/>
  <c r="O346" i="5" s="1"/>
  <c r="E338" i="5"/>
  <c r="J338" i="5"/>
  <c r="M338" i="5" s="1"/>
  <c r="E330" i="5"/>
  <c r="J330" i="5"/>
  <c r="M330" i="5" s="1"/>
  <c r="E322" i="5"/>
  <c r="J322" i="5"/>
  <c r="M322" i="5" s="1"/>
  <c r="E314" i="5"/>
  <c r="J314" i="5"/>
  <c r="M314" i="5" s="1"/>
  <c r="E306" i="5"/>
  <c r="J306" i="5"/>
  <c r="M306" i="5" s="1"/>
  <c r="E298" i="5"/>
  <c r="J298" i="5"/>
  <c r="M298" i="5" s="1"/>
  <c r="F290" i="5"/>
  <c r="J290" i="5"/>
  <c r="M290" i="5" s="1"/>
  <c r="F282" i="5"/>
  <c r="J282" i="5"/>
  <c r="M282" i="5" s="1"/>
  <c r="G274" i="5"/>
  <c r="K274" i="5" s="1"/>
  <c r="N274" i="5" s="1"/>
  <c r="J274" i="5"/>
  <c r="M274" i="5" s="1"/>
  <c r="F258" i="5"/>
  <c r="J258" i="5"/>
  <c r="M258" i="5" s="1"/>
  <c r="H439" i="5"/>
  <c r="L439" i="5" s="1"/>
  <c r="O439" i="5" s="1"/>
  <c r="G384" i="5"/>
  <c r="K384" i="5" s="1"/>
  <c r="N384" i="5" s="1"/>
  <c r="E327" i="5"/>
  <c r="F274" i="5"/>
  <c r="J439" i="5"/>
  <c r="M439" i="5" s="1"/>
  <c r="J437" i="5"/>
  <c r="M437" i="5" s="1"/>
  <c r="J430" i="5"/>
  <c r="M430" i="5" s="1"/>
  <c r="J419" i="5"/>
  <c r="M419" i="5" s="1"/>
  <c r="J401" i="5"/>
  <c r="M401" i="5" s="1"/>
  <c r="F425" i="5"/>
  <c r="J425" i="5"/>
  <c r="M425" i="5" s="1"/>
  <c r="F417" i="5"/>
  <c r="J417" i="5"/>
  <c r="M417" i="5" s="1"/>
  <c r="F393" i="5"/>
  <c r="J393" i="5"/>
  <c r="M393" i="5" s="1"/>
  <c r="F385" i="5"/>
  <c r="J385" i="5"/>
  <c r="M385" i="5" s="1"/>
  <c r="F377" i="5"/>
  <c r="J377" i="5"/>
  <c r="M377" i="5" s="1"/>
  <c r="F361" i="5"/>
  <c r="J361" i="5"/>
  <c r="M361" i="5" s="1"/>
  <c r="F353" i="5"/>
  <c r="J353" i="5"/>
  <c r="M353" i="5" s="1"/>
  <c r="F345" i="5"/>
  <c r="J345" i="5"/>
  <c r="M345" i="5" s="1"/>
  <c r="F337" i="5"/>
  <c r="J337" i="5"/>
  <c r="M337" i="5" s="1"/>
  <c r="F329" i="5"/>
  <c r="J329" i="5"/>
  <c r="M329" i="5" s="1"/>
  <c r="F305" i="5"/>
  <c r="J305" i="5"/>
  <c r="M305" i="5" s="1"/>
  <c r="H281" i="5"/>
  <c r="L281" i="5" s="1"/>
  <c r="O281" i="5" s="1"/>
  <c r="J281" i="5"/>
  <c r="M281" i="5" s="1"/>
  <c r="H273" i="5"/>
  <c r="L273" i="5" s="1"/>
  <c r="O273" i="5" s="1"/>
  <c r="J273" i="5"/>
  <c r="M273" i="5" s="1"/>
  <c r="H265" i="5"/>
  <c r="L265" i="5" s="1"/>
  <c r="O265" i="5" s="1"/>
  <c r="J265" i="5"/>
  <c r="M265" i="5" s="1"/>
  <c r="H257" i="5"/>
  <c r="L257" i="5" s="1"/>
  <c r="O257" i="5" s="1"/>
  <c r="J257" i="5"/>
  <c r="M257" i="5" s="1"/>
  <c r="F241" i="5"/>
  <c r="J241" i="5"/>
  <c r="M241" i="5" s="1"/>
  <c r="G233" i="5"/>
  <c r="K233" i="5" s="1"/>
  <c r="N233" i="5" s="1"/>
  <c r="J233" i="5"/>
  <c r="M233" i="5" s="1"/>
  <c r="F233" i="5"/>
  <c r="G225" i="5"/>
  <c r="K225" i="5" s="1"/>
  <c r="N225" i="5" s="1"/>
  <c r="J225" i="5"/>
  <c r="M225" i="5" s="1"/>
  <c r="F209" i="5"/>
  <c r="J209" i="5"/>
  <c r="M209" i="5" s="1"/>
  <c r="F201" i="5"/>
  <c r="J201" i="5"/>
  <c r="M201" i="5" s="1"/>
  <c r="G193" i="5"/>
  <c r="K193" i="5" s="1"/>
  <c r="N193" i="5" s="1"/>
  <c r="J193" i="5"/>
  <c r="M193" i="5" s="1"/>
  <c r="G185" i="5"/>
  <c r="K185" i="5" s="1"/>
  <c r="N185" i="5" s="1"/>
  <c r="J185" i="5"/>
  <c r="M185" i="5" s="1"/>
  <c r="F177" i="5"/>
  <c r="J177" i="5"/>
  <c r="M177" i="5" s="1"/>
  <c r="J153" i="5"/>
  <c r="M153" i="5" s="1"/>
  <c r="E153" i="5"/>
  <c r="E145" i="5"/>
  <c r="J145" i="5"/>
  <c r="M145" i="5" s="1"/>
  <c r="G129" i="5"/>
  <c r="K129" i="5" s="1"/>
  <c r="N129" i="5" s="1"/>
  <c r="P129" i="5" s="1"/>
  <c r="J129" i="5"/>
  <c r="M129" i="5" s="1"/>
  <c r="G113" i="5"/>
  <c r="K113" i="5" s="1"/>
  <c r="N113" i="5" s="1"/>
  <c r="P113" i="5" s="1"/>
  <c r="J113" i="5"/>
  <c r="M113" i="5" s="1"/>
  <c r="G97" i="5"/>
  <c r="K97" i="5" s="1"/>
  <c r="N97" i="5" s="1"/>
  <c r="P97" i="5" s="1"/>
  <c r="J97" i="5"/>
  <c r="M97" i="5" s="1"/>
  <c r="G81" i="5"/>
  <c r="K81" i="5" s="1"/>
  <c r="N81" i="5" s="1"/>
  <c r="P81" i="5" s="1"/>
  <c r="J81" i="5"/>
  <c r="M81" i="5" s="1"/>
  <c r="G65" i="5"/>
  <c r="K65" i="5" s="1"/>
  <c r="N65" i="5" s="1"/>
  <c r="P65" i="5" s="1"/>
  <c r="J65" i="5"/>
  <c r="M65" i="5" s="1"/>
  <c r="H49" i="5"/>
  <c r="L49" i="5" s="1"/>
  <c r="O49" i="5" s="1"/>
  <c r="P49" i="5" s="1"/>
  <c r="J49" i="5"/>
  <c r="M49" i="5" s="1"/>
  <c r="G33" i="5"/>
  <c r="K33" i="5" s="1"/>
  <c r="N33" i="5" s="1"/>
  <c r="J33" i="5"/>
  <c r="M33" i="5" s="1"/>
  <c r="G17" i="5"/>
  <c r="K17" i="5" s="1"/>
  <c r="N17" i="5" s="1"/>
  <c r="J17" i="5"/>
  <c r="M17" i="5" s="1"/>
  <c r="G434" i="5"/>
  <c r="K434" i="5" s="1"/>
  <c r="N434" i="5" s="1"/>
  <c r="E377" i="5"/>
  <c r="H324" i="5"/>
  <c r="L324" i="5" s="1"/>
  <c r="O324" i="5" s="1"/>
  <c r="G257" i="5"/>
  <c r="K257" i="5" s="1"/>
  <c r="N257" i="5" s="1"/>
  <c r="P257" i="5" s="1"/>
  <c r="F185" i="5"/>
  <c r="H17" i="5"/>
  <c r="L17" i="5" s="1"/>
  <c r="O17" i="5" s="1"/>
  <c r="J443" i="5"/>
  <c r="M443" i="5" s="1"/>
  <c r="J441" i="5"/>
  <c r="M441" i="5" s="1"/>
  <c r="J422" i="5"/>
  <c r="M422" i="5" s="1"/>
  <c r="J369" i="5"/>
  <c r="M369" i="5" s="1"/>
  <c r="J364" i="5"/>
  <c r="M364" i="5" s="1"/>
  <c r="J354" i="5"/>
  <c r="M354" i="5" s="1"/>
  <c r="J349" i="5"/>
  <c r="M349" i="5" s="1"/>
  <c r="F261" i="5"/>
  <c r="H433" i="5"/>
  <c r="L433" i="5" s="1"/>
  <c r="O433" i="5" s="1"/>
  <c r="G422" i="5"/>
  <c r="K422" i="5" s="1"/>
  <c r="N422" i="5" s="1"/>
  <c r="P422" i="5" s="1"/>
  <c r="H415" i="5"/>
  <c r="L415" i="5" s="1"/>
  <c r="O415" i="5" s="1"/>
  <c r="G410" i="5"/>
  <c r="K410" i="5" s="1"/>
  <c r="N410" i="5" s="1"/>
  <c r="P410" i="5" s="1"/>
  <c r="G398" i="5"/>
  <c r="K398" i="5" s="1"/>
  <c r="N398" i="5" s="1"/>
  <c r="G390" i="5"/>
  <c r="K390" i="5" s="1"/>
  <c r="N390" i="5" s="1"/>
  <c r="P390" i="5" s="1"/>
  <c r="E383" i="5"/>
  <c r="G376" i="5"/>
  <c r="K376" i="5" s="1"/>
  <c r="N376" i="5" s="1"/>
  <c r="P376" i="5" s="1"/>
  <c r="H368" i="5"/>
  <c r="L368" i="5" s="1"/>
  <c r="O368" i="5" s="1"/>
  <c r="H361" i="5"/>
  <c r="L361" i="5" s="1"/>
  <c r="O361" i="5" s="1"/>
  <c r="H353" i="5"/>
  <c r="L353" i="5" s="1"/>
  <c r="O353" i="5" s="1"/>
  <c r="G346" i="5"/>
  <c r="K346" i="5" s="1"/>
  <c r="N346" i="5" s="1"/>
  <c r="H334" i="5"/>
  <c r="L334" i="5" s="1"/>
  <c r="O334" i="5" s="1"/>
  <c r="H326" i="5"/>
  <c r="L326" i="5" s="1"/>
  <c r="O326" i="5" s="1"/>
  <c r="E313" i="5"/>
  <c r="E305" i="5"/>
  <c r="G298" i="5"/>
  <c r="K298" i="5" s="1"/>
  <c r="N298" i="5" s="1"/>
  <c r="P298" i="5" s="1"/>
  <c r="E287" i="5"/>
  <c r="G273" i="5"/>
  <c r="K273" i="5" s="1"/>
  <c r="N273" i="5" s="1"/>
  <c r="G258" i="5"/>
  <c r="K258" i="5" s="1"/>
  <c r="N258" i="5" s="1"/>
  <c r="E249" i="5"/>
  <c r="G209" i="5"/>
  <c r="K209" i="5" s="1"/>
  <c r="N209" i="5" s="1"/>
  <c r="G189" i="5"/>
  <c r="K189" i="5" s="1"/>
  <c r="N189" i="5" s="1"/>
  <c r="H443" i="5"/>
  <c r="L443" i="5" s="1"/>
  <c r="O443" i="5" s="1"/>
  <c r="H438" i="5"/>
  <c r="L438" i="5" s="1"/>
  <c r="O438" i="5" s="1"/>
  <c r="E433" i="5"/>
  <c r="H426" i="5"/>
  <c r="L426" i="5" s="1"/>
  <c r="O426" i="5" s="1"/>
  <c r="H409" i="5"/>
  <c r="L409" i="5" s="1"/>
  <c r="O409" i="5" s="1"/>
  <c r="H402" i="5"/>
  <c r="L402" i="5" s="1"/>
  <c r="O402" i="5" s="1"/>
  <c r="H382" i="5"/>
  <c r="L382" i="5" s="1"/>
  <c r="O382" i="5" s="1"/>
  <c r="E375" i="5"/>
  <c r="E367" i="5"/>
  <c r="E361" i="5"/>
  <c r="E353" i="5"/>
  <c r="H345" i="5"/>
  <c r="L345" i="5" s="1"/>
  <c r="O345" i="5" s="1"/>
  <c r="G334" i="5"/>
  <c r="K334" i="5" s="1"/>
  <c r="N334" i="5" s="1"/>
  <c r="G326" i="5"/>
  <c r="K326" i="5" s="1"/>
  <c r="N326" i="5" s="1"/>
  <c r="P326" i="5" s="1"/>
  <c r="E319" i="5"/>
  <c r="G312" i="5"/>
  <c r="K312" i="5" s="1"/>
  <c r="N312" i="5" s="1"/>
  <c r="P312" i="5" s="1"/>
  <c r="H304" i="5"/>
  <c r="L304" i="5" s="1"/>
  <c r="O304" i="5" s="1"/>
  <c r="G297" i="5"/>
  <c r="K297" i="5" s="1"/>
  <c r="N297" i="5" s="1"/>
  <c r="G286" i="5"/>
  <c r="K286" i="5" s="1"/>
  <c r="N286" i="5" s="1"/>
  <c r="F271" i="5"/>
  <c r="F248" i="5"/>
  <c r="H449" i="5"/>
  <c r="L449" i="5" s="1"/>
  <c r="O449" i="5" s="1"/>
  <c r="G438" i="5"/>
  <c r="K438" i="5" s="1"/>
  <c r="N438" i="5" s="1"/>
  <c r="H431" i="5"/>
  <c r="L431" i="5" s="1"/>
  <c r="O431" i="5" s="1"/>
  <c r="G426" i="5"/>
  <c r="K426" i="5" s="1"/>
  <c r="N426" i="5" s="1"/>
  <c r="H419" i="5"/>
  <c r="L419" i="5" s="1"/>
  <c r="O419" i="5" s="1"/>
  <c r="H414" i="5"/>
  <c r="L414" i="5" s="1"/>
  <c r="O414" i="5" s="1"/>
  <c r="E409" i="5"/>
  <c r="G402" i="5"/>
  <c r="K402" i="5" s="1"/>
  <c r="N402" i="5" s="1"/>
  <c r="H394" i="5"/>
  <c r="L394" i="5" s="1"/>
  <c r="O394" i="5" s="1"/>
  <c r="G382" i="5"/>
  <c r="K382" i="5" s="1"/>
  <c r="N382" i="5" s="1"/>
  <c r="P382" i="5" s="1"/>
  <c r="H374" i="5"/>
  <c r="L374" i="5" s="1"/>
  <c r="O374" i="5" s="1"/>
  <c r="H366" i="5"/>
  <c r="L366" i="5" s="1"/>
  <c r="O366" i="5" s="1"/>
  <c r="E359" i="5"/>
  <c r="E351" i="5"/>
  <c r="E345" i="5"/>
  <c r="H338" i="5"/>
  <c r="L338" i="5" s="1"/>
  <c r="O338" i="5" s="1"/>
  <c r="H318" i="5"/>
  <c r="L318" i="5" s="1"/>
  <c r="O318" i="5" s="1"/>
  <c r="E311" i="5"/>
  <c r="E303" i="5"/>
  <c r="H296" i="5"/>
  <c r="L296" i="5" s="1"/>
  <c r="O296" i="5" s="1"/>
  <c r="E271" i="5"/>
  <c r="E449" i="5"/>
  <c r="H442" i="5"/>
  <c r="L442" i="5" s="1"/>
  <c r="O442" i="5" s="1"/>
  <c r="H425" i="5"/>
  <c r="L425" i="5" s="1"/>
  <c r="O425" i="5" s="1"/>
  <c r="G414" i="5"/>
  <c r="K414" i="5" s="1"/>
  <c r="N414" i="5" s="1"/>
  <c r="H407" i="5"/>
  <c r="L407" i="5" s="1"/>
  <c r="O407" i="5" s="1"/>
  <c r="H401" i="5"/>
  <c r="L401" i="5" s="1"/>
  <c r="O401" i="5" s="1"/>
  <c r="G394" i="5"/>
  <c r="K394" i="5" s="1"/>
  <c r="N394" i="5" s="1"/>
  <c r="H386" i="5"/>
  <c r="L386" i="5" s="1"/>
  <c r="O386" i="5" s="1"/>
  <c r="G374" i="5"/>
  <c r="K374" i="5" s="1"/>
  <c r="N374" i="5" s="1"/>
  <c r="G366" i="5"/>
  <c r="K366" i="5" s="1"/>
  <c r="N366" i="5" s="1"/>
  <c r="H358" i="5"/>
  <c r="L358" i="5" s="1"/>
  <c r="O358" i="5" s="1"/>
  <c r="H350" i="5"/>
  <c r="L350" i="5" s="1"/>
  <c r="O350" i="5" s="1"/>
  <c r="H344" i="5"/>
  <c r="L344" i="5" s="1"/>
  <c r="O344" i="5" s="1"/>
  <c r="G338" i="5"/>
  <c r="K338" i="5" s="1"/>
  <c r="N338" i="5" s="1"/>
  <c r="P338" i="5" s="1"/>
  <c r="H330" i="5"/>
  <c r="L330" i="5" s="1"/>
  <c r="O330" i="5" s="1"/>
  <c r="G318" i="5"/>
  <c r="K318" i="5" s="1"/>
  <c r="N318" i="5" s="1"/>
  <c r="P318" i="5" s="1"/>
  <c r="H310" i="5"/>
  <c r="L310" i="5" s="1"/>
  <c r="O310" i="5" s="1"/>
  <c r="H302" i="5"/>
  <c r="L302" i="5" s="1"/>
  <c r="O302" i="5" s="1"/>
  <c r="G293" i="5"/>
  <c r="K293" i="5" s="1"/>
  <c r="N293" i="5" s="1"/>
  <c r="G270" i="5"/>
  <c r="K270" i="5" s="1"/>
  <c r="N270" i="5" s="1"/>
  <c r="F255" i="5"/>
  <c r="G241" i="5"/>
  <c r="K241" i="5" s="1"/>
  <c r="N241" i="5" s="1"/>
  <c r="G201" i="5"/>
  <c r="K201" i="5" s="1"/>
  <c r="N201" i="5" s="1"/>
  <c r="H33" i="5"/>
  <c r="L33" i="5" s="1"/>
  <c r="O33" i="5" s="1"/>
  <c r="H447" i="5"/>
  <c r="L447" i="5" s="1"/>
  <c r="O447" i="5" s="1"/>
  <c r="G442" i="5"/>
  <c r="K442" i="5" s="1"/>
  <c r="N442" i="5" s="1"/>
  <c r="P442" i="5" s="1"/>
  <c r="H435" i="5"/>
  <c r="L435" i="5" s="1"/>
  <c r="O435" i="5" s="1"/>
  <c r="H430" i="5"/>
  <c r="L430" i="5" s="1"/>
  <c r="O430" i="5" s="1"/>
  <c r="E425" i="5"/>
  <c r="H418" i="5"/>
  <c r="L418" i="5" s="1"/>
  <c r="O418" i="5" s="1"/>
  <c r="E401" i="5"/>
  <c r="H393" i="5"/>
  <c r="L393" i="5" s="1"/>
  <c r="O393" i="5" s="1"/>
  <c r="G386" i="5"/>
  <c r="K386" i="5" s="1"/>
  <c r="N386" i="5" s="1"/>
  <c r="H378" i="5"/>
  <c r="L378" i="5" s="1"/>
  <c r="O378" i="5" s="1"/>
  <c r="H370" i="5"/>
  <c r="L370" i="5" s="1"/>
  <c r="O370" i="5" s="1"/>
  <c r="G358" i="5"/>
  <c r="K358" i="5" s="1"/>
  <c r="N358" i="5" s="1"/>
  <c r="P358" i="5" s="1"/>
  <c r="G350" i="5"/>
  <c r="K350" i="5" s="1"/>
  <c r="N350" i="5" s="1"/>
  <c r="H337" i="5"/>
  <c r="L337" i="5" s="1"/>
  <c r="O337" i="5" s="1"/>
  <c r="G330" i="5"/>
  <c r="K330" i="5" s="1"/>
  <c r="N330" i="5" s="1"/>
  <c r="P330" i="5" s="1"/>
  <c r="H322" i="5"/>
  <c r="L322" i="5" s="1"/>
  <c r="O322" i="5" s="1"/>
  <c r="G310" i="5"/>
  <c r="K310" i="5" s="1"/>
  <c r="N310" i="5" s="1"/>
  <c r="P310" i="5" s="1"/>
  <c r="G302" i="5"/>
  <c r="K302" i="5" s="1"/>
  <c r="N302" i="5" s="1"/>
  <c r="P302" i="5" s="1"/>
  <c r="G290" i="5"/>
  <c r="K290" i="5" s="1"/>
  <c r="N290" i="5" s="1"/>
  <c r="E281" i="5"/>
  <c r="E255" i="5"/>
  <c r="H441" i="5"/>
  <c r="L441" i="5" s="1"/>
  <c r="O441" i="5" s="1"/>
  <c r="G430" i="5"/>
  <c r="K430" i="5" s="1"/>
  <c r="N430" i="5" s="1"/>
  <c r="H423" i="5"/>
  <c r="L423" i="5" s="1"/>
  <c r="O423" i="5" s="1"/>
  <c r="G418" i="5"/>
  <c r="K418" i="5" s="1"/>
  <c r="N418" i="5" s="1"/>
  <c r="H411" i="5"/>
  <c r="L411" i="5" s="1"/>
  <c r="O411" i="5" s="1"/>
  <c r="H406" i="5"/>
  <c r="L406" i="5" s="1"/>
  <c r="O406" i="5" s="1"/>
  <c r="E393" i="5"/>
  <c r="H385" i="5"/>
  <c r="L385" i="5" s="1"/>
  <c r="O385" i="5" s="1"/>
  <c r="G378" i="5"/>
  <c r="K378" i="5" s="1"/>
  <c r="N378" i="5" s="1"/>
  <c r="P378" i="5" s="1"/>
  <c r="G370" i="5"/>
  <c r="K370" i="5" s="1"/>
  <c r="N370" i="5" s="1"/>
  <c r="P370" i="5" s="1"/>
  <c r="E343" i="5"/>
  <c r="E337" i="5"/>
  <c r="H329" i="5"/>
  <c r="L329" i="5" s="1"/>
  <c r="O329" i="5" s="1"/>
  <c r="G322" i="5"/>
  <c r="K322" i="5" s="1"/>
  <c r="N322" i="5" s="1"/>
  <c r="H314" i="5"/>
  <c r="L314" i="5" s="1"/>
  <c r="O314" i="5" s="1"/>
  <c r="H306" i="5"/>
  <c r="L306" i="5" s="1"/>
  <c r="O306" i="5" s="1"/>
  <c r="G277" i="5"/>
  <c r="K277" i="5" s="1"/>
  <c r="N277" i="5" s="1"/>
  <c r="P277" i="5" s="1"/>
  <c r="E265" i="5"/>
  <c r="G254" i="5"/>
  <c r="K254" i="5" s="1"/>
  <c r="N254" i="5" s="1"/>
  <c r="H446" i="5"/>
  <c r="L446" i="5" s="1"/>
  <c r="O446" i="5" s="1"/>
  <c r="E441" i="5"/>
  <c r="H434" i="5"/>
  <c r="L434" i="5" s="1"/>
  <c r="O434" i="5" s="1"/>
  <c r="H417" i="5"/>
  <c r="L417" i="5" s="1"/>
  <c r="O417" i="5" s="1"/>
  <c r="G406" i="5"/>
  <c r="K406" i="5" s="1"/>
  <c r="N406" i="5" s="1"/>
  <c r="P406" i="5" s="1"/>
  <c r="E399" i="5"/>
  <c r="E391" i="5"/>
  <c r="E385" i="5"/>
  <c r="H377" i="5"/>
  <c r="L377" i="5" s="1"/>
  <c r="O377" i="5" s="1"/>
  <c r="H369" i="5"/>
  <c r="L369" i="5" s="1"/>
  <c r="O369" i="5" s="1"/>
  <c r="H362" i="5"/>
  <c r="L362" i="5" s="1"/>
  <c r="O362" i="5" s="1"/>
  <c r="P362" i="5" s="1"/>
  <c r="H354" i="5"/>
  <c r="L354" i="5" s="1"/>
  <c r="O354" i="5" s="1"/>
  <c r="H342" i="5"/>
  <c r="L342" i="5" s="1"/>
  <c r="O342" i="5" s="1"/>
  <c r="E329" i="5"/>
  <c r="H321" i="5"/>
  <c r="L321" i="5" s="1"/>
  <c r="O321" i="5" s="1"/>
  <c r="G314" i="5"/>
  <c r="K314" i="5" s="1"/>
  <c r="N314" i="5" s="1"/>
  <c r="P314" i="5" s="1"/>
  <c r="G306" i="5"/>
  <c r="K306" i="5" s="1"/>
  <c r="N306" i="5" s="1"/>
  <c r="G289" i="5"/>
  <c r="K289" i="5" s="1"/>
  <c r="N289" i="5" s="1"/>
  <c r="P289" i="5" s="1"/>
  <c r="F437" i="5"/>
  <c r="G437" i="5"/>
  <c r="K437" i="5" s="1"/>
  <c r="N437" i="5" s="1"/>
  <c r="F421" i="5"/>
  <c r="G421" i="5"/>
  <c r="K421" i="5" s="1"/>
  <c r="N421" i="5" s="1"/>
  <c r="F405" i="5"/>
  <c r="G405" i="5"/>
  <c r="K405" i="5" s="1"/>
  <c r="N405" i="5" s="1"/>
  <c r="F389" i="5"/>
  <c r="G389" i="5"/>
  <c r="K389" i="5" s="1"/>
  <c r="N389" i="5" s="1"/>
  <c r="P389" i="5" s="1"/>
  <c r="H389" i="5"/>
  <c r="L389" i="5" s="1"/>
  <c r="O389" i="5" s="1"/>
  <c r="F373" i="5"/>
  <c r="G373" i="5"/>
  <c r="K373" i="5" s="1"/>
  <c r="N373" i="5" s="1"/>
  <c r="H373" i="5"/>
  <c r="L373" i="5" s="1"/>
  <c r="O373" i="5" s="1"/>
  <c r="F357" i="5"/>
  <c r="G357" i="5"/>
  <c r="K357" i="5" s="1"/>
  <c r="N357" i="5" s="1"/>
  <c r="P357" i="5" s="1"/>
  <c r="H357" i="5"/>
  <c r="L357" i="5" s="1"/>
  <c r="O357" i="5" s="1"/>
  <c r="F333" i="5"/>
  <c r="G333" i="5"/>
  <c r="K333" i="5" s="1"/>
  <c r="N333" i="5" s="1"/>
  <c r="H333" i="5"/>
  <c r="L333" i="5" s="1"/>
  <c r="O333" i="5" s="1"/>
  <c r="H285" i="5"/>
  <c r="L285" i="5" s="1"/>
  <c r="O285" i="5" s="1"/>
  <c r="E285" i="5"/>
  <c r="F285" i="5"/>
  <c r="G285" i="5"/>
  <c r="K285" i="5" s="1"/>
  <c r="N285" i="5" s="1"/>
  <c r="P285" i="5" s="1"/>
  <c r="H245" i="5"/>
  <c r="L245" i="5" s="1"/>
  <c r="O245" i="5" s="1"/>
  <c r="E245" i="5"/>
  <c r="H229" i="5"/>
  <c r="L229" i="5" s="1"/>
  <c r="O229" i="5" s="1"/>
  <c r="E229" i="5"/>
  <c r="H213" i="5"/>
  <c r="L213" i="5" s="1"/>
  <c r="O213" i="5" s="1"/>
  <c r="E213" i="5"/>
  <c r="H197" i="5"/>
  <c r="L197" i="5" s="1"/>
  <c r="O197" i="5" s="1"/>
  <c r="E197" i="5"/>
  <c r="H181" i="5"/>
  <c r="L181" i="5" s="1"/>
  <c r="O181" i="5" s="1"/>
  <c r="E181" i="5"/>
  <c r="F165" i="5"/>
  <c r="E165" i="5"/>
  <c r="F149" i="5"/>
  <c r="E149" i="5"/>
  <c r="G149" i="5"/>
  <c r="K149" i="5" s="1"/>
  <c r="N149" i="5" s="1"/>
  <c r="H149" i="5"/>
  <c r="L149" i="5" s="1"/>
  <c r="O149" i="5" s="1"/>
  <c r="E133" i="5"/>
  <c r="F133" i="5"/>
  <c r="G133" i="5"/>
  <c r="K133" i="5" s="1"/>
  <c r="N133" i="5" s="1"/>
  <c r="H133" i="5"/>
  <c r="L133" i="5" s="1"/>
  <c r="O133" i="5" s="1"/>
  <c r="E117" i="5"/>
  <c r="F117" i="5"/>
  <c r="G117" i="5"/>
  <c r="K117" i="5" s="1"/>
  <c r="N117" i="5" s="1"/>
  <c r="H117" i="5"/>
  <c r="L117" i="5" s="1"/>
  <c r="O117" i="5" s="1"/>
  <c r="E93" i="5"/>
  <c r="F93" i="5"/>
  <c r="G93" i="5"/>
  <c r="K93" i="5" s="1"/>
  <c r="N93" i="5" s="1"/>
  <c r="E77" i="5"/>
  <c r="F77" i="5"/>
  <c r="G77" i="5"/>
  <c r="K77" i="5" s="1"/>
  <c r="N77" i="5" s="1"/>
  <c r="E61" i="5"/>
  <c r="F61" i="5"/>
  <c r="G61" i="5"/>
  <c r="K61" i="5" s="1"/>
  <c r="N61" i="5" s="1"/>
  <c r="E45" i="5"/>
  <c r="F45" i="5"/>
  <c r="G45" i="5"/>
  <c r="K45" i="5" s="1"/>
  <c r="N45" i="5" s="1"/>
  <c r="E29" i="5"/>
  <c r="F29" i="5"/>
  <c r="G29" i="5"/>
  <c r="K29" i="5" s="1"/>
  <c r="N29" i="5" s="1"/>
  <c r="E13" i="5"/>
  <c r="F13" i="5"/>
  <c r="G13" i="5"/>
  <c r="K13" i="5" s="1"/>
  <c r="N13" i="5" s="1"/>
  <c r="E373" i="5"/>
  <c r="F277" i="5"/>
  <c r="H45" i="5"/>
  <c r="L45" i="5" s="1"/>
  <c r="O45" i="5" s="1"/>
  <c r="E444" i="5"/>
  <c r="F444" i="5"/>
  <c r="E436" i="5"/>
  <c r="F436" i="5"/>
  <c r="E428" i="5"/>
  <c r="F428" i="5"/>
  <c r="E420" i="5"/>
  <c r="F420" i="5"/>
  <c r="E412" i="5"/>
  <c r="F412" i="5"/>
  <c r="E404" i="5"/>
  <c r="F404" i="5"/>
  <c r="E396" i="5"/>
  <c r="F396" i="5"/>
  <c r="E388" i="5"/>
  <c r="F388" i="5"/>
  <c r="E380" i="5"/>
  <c r="F380" i="5"/>
  <c r="E372" i="5"/>
  <c r="F372" i="5"/>
  <c r="E364" i="5"/>
  <c r="F364" i="5"/>
  <c r="E356" i="5"/>
  <c r="F356" i="5"/>
  <c r="E348" i="5"/>
  <c r="F348" i="5"/>
  <c r="E340" i="5"/>
  <c r="F340" i="5"/>
  <c r="E332" i="5"/>
  <c r="F332" i="5"/>
  <c r="E324" i="5"/>
  <c r="F324" i="5"/>
  <c r="E316" i="5"/>
  <c r="F316" i="5"/>
  <c r="E308" i="5"/>
  <c r="F308" i="5"/>
  <c r="E300" i="5"/>
  <c r="F300" i="5"/>
  <c r="E292" i="5"/>
  <c r="H292" i="5"/>
  <c r="L292" i="5" s="1"/>
  <c r="O292" i="5" s="1"/>
  <c r="F292" i="5"/>
  <c r="G292" i="5"/>
  <c r="K292" i="5" s="1"/>
  <c r="N292" i="5" s="1"/>
  <c r="P292" i="5" s="1"/>
  <c r="E284" i="5"/>
  <c r="H284" i="5"/>
  <c r="L284" i="5" s="1"/>
  <c r="O284" i="5" s="1"/>
  <c r="G284" i="5"/>
  <c r="K284" i="5" s="1"/>
  <c r="N284" i="5" s="1"/>
  <c r="P284" i="5" s="1"/>
  <c r="E276" i="5"/>
  <c r="H276" i="5"/>
  <c r="L276" i="5" s="1"/>
  <c r="O276" i="5" s="1"/>
  <c r="F276" i="5"/>
  <c r="G276" i="5"/>
  <c r="K276" i="5" s="1"/>
  <c r="N276" i="5" s="1"/>
  <c r="P276" i="5" s="1"/>
  <c r="E268" i="5"/>
  <c r="H268" i="5"/>
  <c r="L268" i="5" s="1"/>
  <c r="O268" i="5" s="1"/>
  <c r="G268" i="5"/>
  <c r="K268" i="5" s="1"/>
  <c r="N268" i="5" s="1"/>
  <c r="E260" i="5"/>
  <c r="H260" i="5"/>
  <c r="L260" i="5" s="1"/>
  <c r="O260" i="5" s="1"/>
  <c r="F260" i="5"/>
  <c r="G260" i="5"/>
  <c r="K260" i="5" s="1"/>
  <c r="N260" i="5" s="1"/>
  <c r="P260" i="5" s="1"/>
  <c r="E252" i="5"/>
  <c r="H252" i="5"/>
  <c r="L252" i="5" s="1"/>
  <c r="O252" i="5" s="1"/>
  <c r="G252" i="5"/>
  <c r="K252" i="5" s="1"/>
  <c r="N252" i="5" s="1"/>
  <c r="E244" i="5"/>
  <c r="H244" i="5"/>
  <c r="L244" i="5" s="1"/>
  <c r="O244" i="5" s="1"/>
  <c r="F244" i="5"/>
  <c r="E236" i="5"/>
  <c r="H236" i="5"/>
  <c r="L236" i="5" s="1"/>
  <c r="O236" i="5" s="1"/>
  <c r="F236" i="5"/>
  <c r="E228" i="5"/>
  <c r="H228" i="5"/>
  <c r="L228" i="5" s="1"/>
  <c r="O228" i="5" s="1"/>
  <c r="F228" i="5"/>
  <c r="E220" i="5"/>
  <c r="H220" i="5"/>
  <c r="L220" i="5" s="1"/>
  <c r="O220" i="5" s="1"/>
  <c r="F220" i="5"/>
  <c r="E212" i="5"/>
  <c r="H212" i="5"/>
  <c r="L212" i="5" s="1"/>
  <c r="O212" i="5" s="1"/>
  <c r="F212" i="5"/>
  <c r="E204" i="5"/>
  <c r="H204" i="5"/>
  <c r="L204" i="5" s="1"/>
  <c r="O204" i="5" s="1"/>
  <c r="F204" i="5"/>
  <c r="E196" i="5"/>
  <c r="H196" i="5"/>
  <c r="L196" i="5" s="1"/>
  <c r="O196" i="5" s="1"/>
  <c r="F196" i="5"/>
  <c r="E188" i="5"/>
  <c r="H188" i="5"/>
  <c r="L188" i="5" s="1"/>
  <c r="O188" i="5" s="1"/>
  <c r="F188" i="5"/>
  <c r="E180" i="5"/>
  <c r="H180" i="5"/>
  <c r="L180" i="5" s="1"/>
  <c r="O180" i="5" s="1"/>
  <c r="F180" i="5"/>
  <c r="E172" i="5"/>
  <c r="H172" i="5"/>
  <c r="L172" i="5" s="1"/>
  <c r="O172" i="5" s="1"/>
  <c r="F172" i="5"/>
  <c r="E164" i="5"/>
  <c r="F164" i="5"/>
  <c r="G164" i="5"/>
  <c r="K164" i="5" s="1"/>
  <c r="N164" i="5" s="1"/>
  <c r="H164" i="5"/>
  <c r="L164" i="5" s="1"/>
  <c r="O164" i="5" s="1"/>
  <c r="E156" i="5"/>
  <c r="F156" i="5"/>
  <c r="G156" i="5"/>
  <c r="K156" i="5" s="1"/>
  <c r="N156" i="5" s="1"/>
  <c r="H156" i="5"/>
  <c r="L156" i="5" s="1"/>
  <c r="O156" i="5" s="1"/>
  <c r="E148" i="5"/>
  <c r="F148" i="5"/>
  <c r="G148" i="5"/>
  <c r="K148" i="5" s="1"/>
  <c r="N148" i="5" s="1"/>
  <c r="H148" i="5"/>
  <c r="L148" i="5" s="1"/>
  <c r="O148" i="5" s="1"/>
  <c r="E140" i="5"/>
  <c r="F140" i="5"/>
  <c r="G140" i="5"/>
  <c r="K140" i="5" s="1"/>
  <c r="N140" i="5" s="1"/>
  <c r="H140" i="5"/>
  <c r="L140" i="5" s="1"/>
  <c r="O140" i="5" s="1"/>
  <c r="E132" i="5"/>
  <c r="F132" i="5"/>
  <c r="G132" i="5"/>
  <c r="K132" i="5" s="1"/>
  <c r="N132" i="5" s="1"/>
  <c r="H132" i="5"/>
  <c r="L132" i="5" s="1"/>
  <c r="O132" i="5" s="1"/>
  <c r="E124" i="5"/>
  <c r="F124" i="5"/>
  <c r="G124" i="5"/>
  <c r="K124" i="5" s="1"/>
  <c r="N124" i="5" s="1"/>
  <c r="H124" i="5"/>
  <c r="L124" i="5" s="1"/>
  <c r="O124" i="5" s="1"/>
  <c r="E116" i="5"/>
  <c r="F116" i="5"/>
  <c r="G116" i="5"/>
  <c r="K116" i="5" s="1"/>
  <c r="N116" i="5" s="1"/>
  <c r="H116" i="5"/>
  <c r="L116" i="5" s="1"/>
  <c r="O116" i="5" s="1"/>
  <c r="E108" i="5"/>
  <c r="F108" i="5"/>
  <c r="G108" i="5"/>
  <c r="K108" i="5" s="1"/>
  <c r="N108" i="5" s="1"/>
  <c r="H108" i="5"/>
  <c r="L108" i="5" s="1"/>
  <c r="O108" i="5" s="1"/>
  <c r="E100" i="5"/>
  <c r="F100" i="5"/>
  <c r="G100" i="5"/>
  <c r="K100" i="5" s="1"/>
  <c r="N100" i="5" s="1"/>
  <c r="H100" i="5"/>
  <c r="L100" i="5" s="1"/>
  <c r="O100" i="5" s="1"/>
  <c r="E92" i="5"/>
  <c r="F92" i="5"/>
  <c r="G92" i="5"/>
  <c r="K92" i="5" s="1"/>
  <c r="N92" i="5" s="1"/>
  <c r="H92" i="5"/>
  <c r="L92" i="5" s="1"/>
  <c r="O92" i="5" s="1"/>
  <c r="E84" i="5"/>
  <c r="F84" i="5"/>
  <c r="G84" i="5"/>
  <c r="K84" i="5" s="1"/>
  <c r="N84" i="5" s="1"/>
  <c r="H84" i="5"/>
  <c r="L84" i="5" s="1"/>
  <c r="O84" i="5" s="1"/>
  <c r="E76" i="5"/>
  <c r="F76" i="5"/>
  <c r="G76" i="5"/>
  <c r="K76" i="5" s="1"/>
  <c r="N76" i="5" s="1"/>
  <c r="H76" i="5"/>
  <c r="L76" i="5" s="1"/>
  <c r="O76" i="5" s="1"/>
  <c r="E68" i="5"/>
  <c r="F68" i="5"/>
  <c r="G68" i="5"/>
  <c r="K68" i="5" s="1"/>
  <c r="N68" i="5" s="1"/>
  <c r="H68" i="5"/>
  <c r="L68" i="5" s="1"/>
  <c r="O68" i="5" s="1"/>
  <c r="E60" i="5"/>
  <c r="F60" i="5"/>
  <c r="G60" i="5"/>
  <c r="K60" i="5" s="1"/>
  <c r="N60" i="5" s="1"/>
  <c r="H60" i="5"/>
  <c r="L60" i="5" s="1"/>
  <c r="O60" i="5" s="1"/>
  <c r="E52" i="5"/>
  <c r="F52" i="5"/>
  <c r="G52" i="5"/>
  <c r="K52" i="5" s="1"/>
  <c r="N52" i="5" s="1"/>
  <c r="H52" i="5"/>
  <c r="L52" i="5" s="1"/>
  <c r="O52" i="5" s="1"/>
  <c r="E44" i="5"/>
  <c r="F44" i="5"/>
  <c r="G44" i="5"/>
  <c r="K44" i="5" s="1"/>
  <c r="N44" i="5" s="1"/>
  <c r="H44" i="5"/>
  <c r="L44" i="5" s="1"/>
  <c r="O44" i="5" s="1"/>
  <c r="E36" i="5"/>
  <c r="F36" i="5"/>
  <c r="G36" i="5"/>
  <c r="K36" i="5" s="1"/>
  <c r="N36" i="5" s="1"/>
  <c r="H36" i="5"/>
  <c r="L36" i="5" s="1"/>
  <c r="O36" i="5" s="1"/>
  <c r="E28" i="5"/>
  <c r="F28" i="5"/>
  <c r="G28" i="5"/>
  <c r="K28" i="5" s="1"/>
  <c r="N28" i="5" s="1"/>
  <c r="H28" i="5"/>
  <c r="L28" i="5" s="1"/>
  <c r="O28" i="5" s="1"/>
  <c r="E20" i="5"/>
  <c r="F20" i="5"/>
  <c r="G20" i="5"/>
  <c r="K20" i="5" s="1"/>
  <c r="N20" i="5" s="1"/>
  <c r="H20" i="5"/>
  <c r="L20" i="5" s="1"/>
  <c r="O20" i="5" s="1"/>
  <c r="E12" i="5"/>
  <c r="F12" i="5"/>
  <c r="G12" i="5"/>
  <c r="K12" i="5" s="1"/>
  <c r="N12" i="5" s="1"/>
  <c r="H12" i="5"/>
  <c r="L12" i="5" s="1"/>
  <c r="O12" i="5" s="1"/>
  <c r="E4" i="5"/>
  <c r="F4" i="5"/>
  <c r="G4" i="5"/>
  <c r="K4" i="5" s="1"/>
  <c r="N4" i="5" s="1"/>
  <c r="H4" i="5"/>
  <c r="L4" i="5" s="1"/>
  <c r="O4" i="5" s="1"/>
  <c r="H392" i="5"/>
  <c r="L392" i="5" s="1"/>
  <c r="O392" i="5" s="1"/>
  <c r="P392" i="5" s="1"/>
  <c r="H372" i="5"/>
  <c r="L372" i="5" s="1"/>
  <c r="O372" i="5" s="1"/>
  <c r="G348" i="5"/>
  <c r="K348" i="5" s="1"/>
  <c r="N348" i="5" s="1"/>
  <c r="P348" i="5" s="1"/>
  <c r="E333" i="5"/>
  <c r="H328" i="5"/>
  <c r="L328" i="5" s="1"/>
  <c r="O328" i="5" s="1"/>
  <c r="H308" i="5"/>
  <c r="L308" i="5" s="1"/>
  <c r="O308" i="5" s="1"/>
  <c r="E293" i="5"/>
  <c r="E277" i="5"/>
  <c r="G229" i="5"/>
  <c r="K229" i="5" s="1"/>
  <c r="N229" i="5" s="1"/>
  <c r="P229" i="5" s="1"/>
  <c r="G220" i="5"/>
  <c r="K220" i="5" s="1"/>
  <c r="N220" i="5" s="1"/>
  <c r="P220" i="5" s="1"/>
  <c r="G197" i="5"/>
  <c r="K197" i="5" s="1"/>
  <c r="N197" i="5" s="1"/>
  <c r="G188" i="5"/>
  <c r="K188" i="5" s="1"/>
  <c r="N188" i="5" s="1"/>
  <c r="F445" i="5"/>
  <c r="G445" i="5"/>
  <c r="K445" i="5" s="1"/>
  <c r="N445" i="5" s="1"/>
  <c r="F429" i="5"/>
  <c r="G429" i="5"/>
  <c r="K429" i="5" s="1"/>
  <c r="N429" i="5" s="1"/>
  <c r="F413" i="5"/>
  <c r="G413" i="5"/>
  <c r="K413" i="5" s="1"/>
  <c r="N413" i="5" s="1"/>
  <c r="F397" i="5"/>
  <c r="G397" i="5"/>
  <c r="K397" i="5" s="1"/>
  <c r="N397" i="5" s="1"/>
  <c r="H397" i="5"/>
  <c r="L397" i="5" s="1"/>
  <c r="O397" i="5" s="1"/>
  <c r="F381" i="5"/>
  <c r="G381" i="5"/>
  <c r="K381" i="5" s="1"/>
  <c r="N381" i="5" s="1"/>
  <c r="H381" i="5"/>
  <c r="L381" i="5" s="1"/>
  <c r="O381" i="5" s="1"/>
  <c r="F365" i="5"/>
  <c r="G365" i="5"/>
  <c r="K365" i="5" s="1"/>
  <c r="N365" i="5" s="1"/>
  <c r="H365" i="5"/>
  <c r="L365" i="5" s="1"/>
  <c r="O365" i="5" s="1"/>
  <c r="F349" i="5"/>
  <c r="G349" i="5"/>
  <c r="K349" i="5" s="1"/>
  <c r="N349" i="5" s="1"/>
  <c r="H349" i="5"/>
  <c r="L349" i="5" s="1"/>
  <c r="O349" i="5" s="1"/>
  <c r="F341" i="5"/>
  <c r="G341" i="5"/>
  <c r="K341" i="5" s="1"/>
  <c r="N341" i="5" s="1"/>
  <c r="P341" i="5" s="1"/>
  <c r="H341" i="5"/>
  <c r="L341" i="5" s="1"/>
  <c r="O341" i="5" s="1"/>
  <c r="F325" i="5"/>
  <c r="G325" i="5"/>
  <c r="K325" i="5" s="1"/>
  <c r="N325" i="5" s="1"/>
  <c r="H325" i="5"/>
  <c r="L325" i="5" s="1"/>
  <c r="O325" i="5" s="1"/>
  <c r="F317" i="5"/>
  <c r="G317" i="5"/>
  <c r="K317" i="5" s="1"/>
  <c r="N317" i="5" s="1"/>
  <c r="P317" i="5" s="1"/>
  <c r="H317" i="5"/>
  <c r="L317" i="5" s="1"/>
  <c r="O317" i="5" s="1"/>
  <c r="F309" i="5"/>
  <c r="G309" i="5"/>
  <c r="K309" i="5" s="1"/>
  <c r="N309" i="5" s="1"/>
  <c r="H309" i="5"/>
  <c r="L309" i="5" s="1"/>
  <c r="O309" i="5" s="1"/>
  <c r="F301" i="5"/>
  <c r="G301" i="5"/>
  <c r="K301" i="5" s="1"/>
  <c r="N301" i="5" s="1"/>
  <c r="H301" i="5"/>
  <c r="L301" i="5" s="1"/>
  <c r="O301" i="5" s="1"/>
  <c r="H269" i="5"/>
  <c r="L269" i="5" s="1"/>
  <c r="O269" i="5" s="1"/>
  <c r="E269" i="5"/>
  <c r="F269" i="5"/>
  <c r="G269" i="5"/>
  <c r="K269" i="5" s="1"/>
  <c r="N269" i="5" s="1"/>
  <c r="H253" i="5"/>
  <c r="L253" i="5" s="1"/>
  <c r="O253" i="5" s="1"/>
  <c r="E253" i="5"/>
  <c r="F253" i="5"/>
  <c r="G253" i="5"/>
  <c r="K253" i="5" s="1"/>
  <c r="N253" i="5" s="1"/>
  <c r="H237" i="5"/>
  <c r="L237" i="5" s="1"/>
  <c r="O237" i="5" s="1"/>
  <c r="E237" i="5"/>
  <c r="H221" i="5"/>
  <c r="L221" i="5" s="1"/>
  <c r="O221" i="5" s="1"/>
  <c r="E221" i="5"/>
  <c r="H205" i="5"/>
  <c r="L205" i="5" s="1"/>
  <c r="O205" i="5" s="1"/>
  <c r="E205" i="5"/>
  <c r="H189" i="5"/>
  <c r="L189" i="5" s="1"/>
  <c r="O189" i="5" s="1"/>
  <c r="E189" i="5"/>
  <c r="H173" i="5"/>
  <c r="L173" i="5" s="1"/>
  <c r="O173" i="5" s="1"/>
  <c r="E173" i="5"/>
  <c r="F157" i="5"/>
  <c r="E157" i="5"/>
  <c r="G157" i="5"/>
  <c r="K157" i="5" s="1"/>
  <c r="N157" i="5" s="1"/>
  <c r="H157" i="5"/>
  <c r="L157" i="5" s="1"/>
  <c r="O157" i="5" s="1"/>
  <c r="E141" i="5"/>
  <c r="F141" i="5"/>
  <c r="G141" i="5"/>
  <c r="K141" i="5" s="1"/>
  <c r="N141" i="5" s="1"/>
  <c r="E125" i="5"/>
  <c r="F125" i="5"/>
  <c r="G125" i="5"/>
  <c r="K125" i="5" s="1"/>
  <c r="N125" i="5" s="1"/>
  <c r="P125" i="5" s="1"/>
  <c r="E109" i="5"/>
  <c r="F109" i="5"/>
  <c r="G109" i="5"/>
  <c r="K109" i="5" s="1"/>
  <c r="N109" i="5" s="1"/>
  <c r="P109" i="5" s="1"/>
  <c r="E101" i="5"/>
  <c r="F101" i="5"/>
  <c r="G101" i="5"/>
  <c r="K101" i="5" s="1"/>
  <c r="N101" i="5" s="1"/>
  <c r="H101" i="5"/>
  <c r="L101" i="5" s="1"/>
  <c r="O101" i="5" s="1"/>
  <c r="E85" i="5"/>
  <c r="F85" i="5"/>
  <c r="G85" i="5"/>
  <c r="K85" i="5" s="1"/>
  <c r="N85" i="5" s="1"/>
  <c r="H85" i="5"/>
  <c r="L85" i="5" s="1"/>
  <c r="O85" i="5" s="1"/>
  <c r="E69" i="5"/>
  <c r="F69" i="5"/>
  <c r="G69" i="5"/>
  <c r="K69" i="5" s="1"/>
  <c r="N69" i="5" s="1"/>
  <c r="H69" i="5"/>
  <c r="L69" i="5" s="1"/>
  <c r="O69" i="5" s="1"/>
  <c r="E53" i="5"/>
  <c r="F53" i="5"/>
  <c r="G53" i="5"/>
  <c r="K53" i="5" s="1"/>
  <c r="N53" i="5" s="1"/>
  <c r="H53" i="5"/>
  <c r="L53" i="5" s="1"/>
  <c r="O53" i="5" s="1"/>
  <c r="E37" i="5"/>
  <c r="F37" i="5"/>
  <c r="G37" i="5"/>
  <c r="K37" i="5" s="1"/>
  <c r="N37" i="5" s="1"/>
  <c r="H37" i="5"/>
  <c r="L37" i="5" s="1"/>
  <c r="O37" i="5" s="1"/>
  <c r="E21" i="5"/>
  <c r="F21" i="5"/>
  <c r="G21" i="5"/>
  <c r="K21" i="5" s="1"/>
  <c r="N21" i="5" s="1"/>
  <c r="H21" i="5"/>
  <c r="L21" i="5" s="1"/>
  <c r="O21" i="5" s="1"/>
  <c r="E5" i="5"/>
  <c r="F5" i="5"/>
  <c r="G5" i="5"/>
  <c r="K5" i="5" s="1"/>
  <c r="N5" i="5" s="1"/>
  <c r="H5" i="5"/>
  <c r="L5" i="5" s="1"/>
  <c r="O5" i="5" s="1"/>
  <c r="E309" i="5"/>
  <c r="F293" i="5"/>
  <c r="E261" i="5"/>
  <c r="F221" i="5"/>
  <c r="F443" i="5"/>
  <c r="G443" i="5"/>
  <c r="K443" i="5" s="1"/>
  <c r="N443" i="5" s="1"/>
  <c r="F435" i="5"/>
  <c r="G435" i="5"/>
  <c r="K435" i="5" s="1"/>
  <c r="N435" i="5" s="1"/>
  <c r="P435" i="5" s="1"/>
  <c r="F427" i="5"/>
  <c r="G427" i="5"/>
  <c r="K427" i="5" s="1"/>
  <c r="N427" i="5" s="1"/>
  <c r="P427" i="5" s="1"/>
  <c r="F419" i="5"/>
  <c r="G419" i="5"/>
  <c r="K419" i="5" s="1"/>
  <c r="N419" i="5" s="1"/>
  <c r="F411" i="5"/>
  <c r="G411" i="5"/>
  <c r="K411" i="5" s="1"/>
  <c r="N411" i="5" s="1"/>
  <c r="P411" i="5" s="1"/>
  <c r="F403" i="5"/>
  <c r="G403" i="5"/>
  <c r="K403" i="5" s="1"/>
  <c r="N403" i="5" s="1"/>
  <c r="P403" i="5" s="1"/>
  <c r="H403" i="5"/>
  <c r="L403" i="5" s="1"/>
  <c r="O403" i="5" s="1"/>
  <c r="F395" i="5"/>
  <c r="G395" i="5"/>
  <c r="K395" i="5" s="1"/>
  <c r="N395" i="5" s="1"/>
  <c r="H395" i="5"/>
  <c r="L395" i="5" s="1"/>
  <c r="O395" i="5" s="1"/>
  <c r="F387" i="5"/>
  <c r="G387" i="5"/>
  <c r="K387" i="5" s="1"/>
  <c r="N387" i="5" s="1"/>
  <c r="P387" i="5" s="1"/>
  <c r="H387" i="5"/>
  <c r="L387" i="5" s="1"/>
  <c r="O387" i="5" s="1"/>
  <c r="F379" i="5"/>
  <c r="G379" i="5"/>
  <c r="K379" i="5" s="1"/>
  <c r="N379" i="5" s="1"/>
  <c r="H379" i="5"/>
  <c r="L379" i="5" s="1"/>
  <c r="O379" i="5" s="1"/>
  <c r="F371" i="5"/>
  <c r="G371" i="5"/>
  <c r="K371" i="5" s="1"/>
  <c r="N371" i="5" s="1"/>
  <c r="H371" i="5"/>
  <c r="L371" i="5" s="1"/>
  <c r="O371" i="5" s="1"/>
  <c r="F363" i="5"/>
  <c r="G363" i="5"/>
  <c r="K363" i="5" s="1"/>
  <c r="N363" i="5" s="1"/>
  <c r="H363" i="5"/>
  <c r="L363" i="5" s="1"/>
  <c r="O363" i="5" s="1"/>
  <c r="F355" i="5"/>
  <c r="G355" i="5"/>
  <c r="K355" i="5" s="1"/>
  <c r="N355" i="5" s="1"/>
  <c r="H355" i="5"/>
  <c r="L355" i="5" s="1"/>
  <c r="O355" i="5" s="1"/>
  <c r="F347" i="5"/>
  <c r="G347" i="5"/>
  <c r="K347" i="5" s="1"/>
  <c r="N347" i="5" s="1"/>
  <c r="H347" i="5"/>
  <c r="L347" i="5" s="1"/>
  <c r="O347" i="5" s="1"/>
  <c r="F339" i="5"/>
  <c r="G339" i="5"/>
  <c r="K339" i="5" s="1"/>
  <c r="N339" i="5" s="1"/>
  <c r="P339" i="5" s="1"/>
  <c r="H339" i="5"/>
  <c r="L339" i="5" s="1"/>
  <c r="O339" i="5" s="1"/>
  <c r="F331" i="5"/>
  <c r="G331" i="5"/>
  <c r="K331" i="5" s="1"/>
  <c r="N331" i="5" s="1"/>
  <c r="H331" i="5"/>
  <c r="L331" i="5" s="1"/>
  <c r="O331" i="5" s="1"/>
  <c r="F323" i="5"/>
  <c r="G323" i="5"/>
  <c r="K323" i="5" s="1"/>
  <c r="N323" i="5" s="1"/>
  <c r="P323" i="5" s="1"/>
  <c r="H323" i="5"/>
  <c r="L323" i="5" s="1"/>
  <c r="O323" i="5" s="1"/>
  <c r="F315" i="5"/>
  <c r="G315" i="5"/>
  <c r="K315" i="5" s="1"/>
  <c r="N315" i="5" s="1"/>
  <c r="H315" i="5"/>
  <c r="L315" i="5" s="1"/>
  <c r="O315" i="5" s="1"/>
  <c r="F307" i="5"/>
  <c r="G307" i="5"/>
  <c r="K307" i="5" s="1"/>
  <c r="N307" i="5" s="1"/>
  <c r="H307" i="5"/>
  <c r="L307" i="5" s="1"/>
  <c r="O307" i="5" s="1"/>
  <c r="F299" i="5"/>
  <c r="G299" i="5"/>
  <c r="K299" i="5" s="1"/>
  <c r="N299" i="5" s="1"/>
  <c r="H299" i="5"/>
  <c r="L299" i="5" s="1"/>
  <c r="O299" i="5" s="1"/>
  <c r="H291" i="5"/>
  <c r="L291" i="5" s="1"/>
  <c r="O291" i="5" s="1"/>
  <c r="E291" i="5"/>
  <c r="F291" i="5"/>
  <c r="G291" i="5"/>
  <c r="K291" i="5" s="1"/>
  <c r="N291" i="5" s="1"/>
  <c r="P291" i="5" s="1"/>
  <c r="H283" i="5"/>
  <c r="L283" i="5" s="1"/>
  <c r="O283" i="5" s="1"/>
  <c r="E283" i="5"/>
  <c r="H275" i="5"/>
  <c r="L275" i="5" s="1"/>
  <c r="O275" i="5" s="1"/>
  <c r="E275" i="5"/>
  <c r="F275" i="5"/>
  <c r="G275" i="5"/>
  <c r="K275" i="5" s="1"/>
  <c r="N275" i="5" s="1"/>
  <c r="H267" i="5"/>
  <c r="L267" i="5" s="1"/>
  <c r="O267" i="5" s="1"/>
  <c r="E267" i="5"/>
  <c r="H259" i="5"/>
  <c r="L259" i="5" s="1"/>
  <c r="O259" i="5" s="1"/>
  <c r="E259" i="5"/>
  <c r="F259" i="5"/>
  <c r="G259" i="5"/>
  <c r="K259" i="5" s="1"/>
  <c r="N259" i="5" s="1"/>
  <c r="H251" i="5"/>
  <c r="L251" i="5" s="1"/>
  <c r="O251" i="5" s="1"/>
  <c r="P251" i="5" s="1"/>
  <c r="E251" i="5"/>
  <c r="H243" i="5"/>
  <c r="L243" i="5" s="1"/>
  <c r="O243" i="5" s="1"/>
  <c r="E243" i="5"/>
  <c r="F243" i="5"/>
  <c r="G243" i="5"/>
  <c r="K243" i="5" s="1"/>
  <c r="N243" i="5" s="1"/>
  <c r="H235" i="5"/>
  <c r="L235" i="5" s="1"/>
  <c r="O235" i="5" s="1"/>
  <c r="E235" i="5"/>
  <c r="F235" i="5"/>
  <c r="G235" i="5"/>
  <c r="K235" i="5" s="1"/>
  <c r="N235" i="5" s="1"/>
  <c r="H227" i="5"/>
  <c r="L227" i="5" s="1"/>
  <c r="O227" i="5" s="1"/>
  <c r="E227" i="5"/>
  <c r="F227" i="5"/>
  <c r="G227" i="5"/>
  <c r="K227" i="5" s="1"/>
  <c r="N227" i="5" s="1"/>
  <c r="H219" i="5"/>
  <c r="L219" i="5" s="1"/>
  <c r="O219" i="5" s="1"/>
  <c r="E219" i="5"/>
  <c r="F219" i="5"/>
  <c r="G219" i="5"/>
  <c r="K219" i="5" s="1"/>
  <c r="N219" i="5" s="1"/>
  <c r="H211" i="5"/>
  <c r="L211" i="5" s="1"/>
  <c r="O211" i="5" s="1"/>
  <c r="E211" i="5"/>
  <c r="F211" i="5"/>
  <c r="G211" i="5"/>
  <c r="K211" i="5" s="1"/>
  <c r="N211" i="5" s="1"/>
  <c r="H203" i="5"/>
  <c r="L203" i="5" s="1"/>
  <c r="O203" i="5" s="1"/>
  <c r="E203" i="5"/>
  <c r="F203" i="5"/>
  <c r="G203" i="5"/>
  <c r="K203" i="5" s="1"/>
  <c r="N203" i="5" s="1"/>
  <c r="H195" i="5"/>
  <c r="L195" i="5" s="1"/>
  <c r="O195" i="5" s="1"/>
  <c r="E195" i="5"/>
  <c r="F195" i="5"/>
  <c r="G195" i="5"/>
  <c r="K195" i="5" s="1"/>
  <c r="N195" i="5" s="1"/>
  <c r="H187" i="5"/>
  <c r="L187" i="5" s="1"/>
  <c r="O187" i="5" s="1"/>
  <c r="E187" i="5"/>
  <c r="F187" i="5"/>
  <c r="G187" i="5"/>
  <c r="K187" i="5" s="1"/>
  <c r="N187" i="5" s="1"/>
  <c r="H179" i="5"/>
  <c r="L179" i="5" s="1"/>
  <c r="O179" i="5" s="1"/>
  <c r="E179" i="5"/>
  <c r="F179" i="5"/>
  <c r="G179" i="5"/>
  <c r="K179" i="5" s="1"/>
  <c r="N179" i="5" s="1"/>
  <c r="F171" i="5"/>
  <c r="H171" i="5"/>
  <c r="L171" i="5" s="1"/>
  <c r="O171" i="5" s="1"/>
  <c r="E171" i="5"/>
  <c r="G171" i="5"/>
  <c r="K171" i="5" s="1"/>
  <c r="N171" i="5" s="1"/>
  <c r="F163" i="5"/>
  <c r="H163" i="5"/>
  <c r="L163" i="5" s="1"/>
  <c r="O163" i="5" s="1"/>
  <c r="E163" i="5"/>
  <c r="F155" i="5"/>
  <c r="H155" i="5"/>
  <c r="L155" i="5" s="1"/>
  <c r="O155" i="5" s="1"/>
  <c r="F147" i="5"/>
  <c r="H147" i="5"/>
  <c r="L147" i="5" s="1"/>
  <c r="O147" i="5" s="1"/>
  <c r="E147" i="5"/>
  <c r="G147" i="5"/>
  <c r="K147" i="5" s="1"/>
  <c r="N147" i="5" s="1"/>
  <c r="P147" i="5" s="1"/>
  <c r="E139" i="5"/>
  <c r="F139" i="5"/>
  <c r="G139" i="5"/>
  <c r="K139" i="5" s="1"/>
  <c r="N139" i="5" s="1"/>
  <c r="P139" i="5" s="1"/>
  <c r="H139" i="5"/>
  <c r="L139" i="5" s="1"/>
  <c r="O139" i="5" s="1"/>
  <c r="E131" i="5"/>
  <c r="F131" i="5"/>
  <c r="G131" i="5"/>
  <c r="K131" i="5" s="1"/>
  <c r="N131" i="5" s="1"/>
  <c r="H131" i="5"/>
  <c r="L131" i="5" s="1"/>
  <c r="O131" i="5" s="1"/>
  <c r="E123" i="5"/>
  <c r="F123" i="5"/>
  <c r="G123" i="5"/>
  <c r="K123" i="5" s="1"/>
  <c r="N123" i="5" s="1"/>
  <c r="P123" i="5" s="1"/>
  <c r="H123" i="5"/>
  <c r="L123" i="5" s="1"/>
  <c r="O123" i="5" s="1"/>
  <c r="E115" i="5"/>
  <c r="F115" i="5"/>
  <c r="G115" i="5"/>
  <c r="K115" i="5" s="1"/>
  <c r="N115" i="5" s="1"/>
  <c r="H115" i="5"/>
  <c r="L115" i="5" s="1"/>
  <c r="O115" i="5" s="1"/>
  <c r="E107" i="5"/>
  <c r="F107" i="5"/>
  <c r="G107" i="5"/>
  <c r="K107" i="5" s="1"/>
  <c r="N107" i="5" s="1"/>
  <c r="P107" i="5" s="1"/>
  <c r="H107" i="5"/>
  <c r="L107" i="5" s="1"/>
  <c r="O107" i="5" s="1"/>
  <c r="E99" i="5"/>
  <c r="F99" i="5"/>
  <c r="G99" i="5"/>
  <c r="K99" i="5" s="1"/>
  <c r="N99" i="5" s="1"/>
  <c r="H99" i="5"/>
  <c r="L99" i="5" s="1"/>
  <c r="O99" i="5" s="1"/>
  <c r="E91" i="5"/>
  <c r="F91" i="5"/>
  <c r="G91" i="5"/>
  <c r="K91" i="5" s="1"/>
  <c r="N91" i="5" s="1"/>
  <c r="P91" i="5" s="1"/>
  <c r="H91" i="5"/>
  <c r="L91" i="5" s="1"/>
  <c r="O91" i="5" s="1"/>
  <c r="E83" i="5"/>
  <c r="F83" i="5"/>
  <c r="G83" i="5"/>
  <c r="K83" i="5" s="1"/>
  <c r="N83" i="5" s="1"/>
  <c r="H83" i="5"/>
  <c r="L83" i="5" s="1"/>
  <c r="O83" i="5" s="1"/>
  <c r="E75" i="5"/>
  <c r="F75" i="5"/>
  <c r="G75" i="5"/>
  <c r="K75" i="5" s="1"/>
  <c r="N75" i="5" s="1"/>
  <c r="P75" i="5" s="1"/>
  <c r="H75" i="5"/>
  <c r="L75" i="5" s="1"/>
  <c r="O75" i="5" s="1"/>
  <c r="E67" i="5"/>
  <c r="F67" i="5"/>
  <c r="G67" i="5"/>
  <c r="K67" i="5" s="1"/>
  <c r="N67" i="5" s="1"/>
  <c r="H67" i="5"/>
  <c r="L67" i="5" s="1"/>
  <c r="O67" i="5" s="1"/>
  <c r="E59" i="5"/>
  <c r="F59" i="5"/>
  <c r="G59" i="5"/>
  <c r="K59" i="5" s="1"/>
  <c r="N59" i="5" s="1"/>
  <c r="P59" i="5" s="1"/>
  <c r="H59" i="5"/>
  <c r="L59" i="5" s="1"/>
  <c r="O59" i="5" s="1"/>
  <c r="E51" i="5"/>
  <c r="F51" i="5"/>
  <c r="G51" i="5"/>
  <c r="K51" i="5" s="1"/>
  <c r="N51" i="5" s="1"/>
  <c r="H51" i="5"/>
  <c r="L51" i="5" s="1"/>
  <c r="O51" i="5" s="1"/>
  <c r="E43" i="5"/>
  <c r="F43" i="5"/>
  <c r="G43" i="5"/>
  <c r="K43" i="5" s="1"/>
  <c r="N43" i="5" s="1"/>
  <c r="P43" i="5" s="1"/>
  <c r="H43" i="5"/>
  <c r="L43" i="5" s="1"/>
  <c r="O43" i="5" s="1"/>
  <c r="E35" i="5"/>
  <c r="F35" i="5"/>
  <c r="G35" i="5"/>
  <c r="K35" i="5" s="1"/>
  <c r="N35" i="5" s="1"/>
  <c r="H35" i="5"/>
  <c r="L35" i="5" s="1"/>
  <c r="O35" i="5" s="1"/>
  <c r="E27" i="5"/>
  <c r="F27" i="5"/>
  <c r="G27" i="5"/>
  <c r="K27" i="5" s="1"/>
  <c r="N27" i="5" s="1"/>
  <c r="P27" i="5" s="1"/>
  <c r="H27" i="5"/>
  <c r="L27" i="5" s="1"/>
  <c r="O27" i="5" s="1"/>
  <c r="E19" i="5"/>
  <c r="F19" i="5"/>
  <c r="G19" i="5"/>
  <c r="K19" i="5" s="1"/>
  <c r="N19" i="5" s="1"/>
  <c r="H19" i="5"/>
  <c r="L19" i="5" s="1"/>
  <c r="O19" i="5" s="1"/>
  <c r="E11" i="5"/>
  <c r="F11" i="5"/>
  <c r="G11" i="5"/>
  <c r="K11" i="5" s="1"/>
  <c r="N11" i="5" s="1"/>
  <c r="P11" i="5" s="1"/>
  <c r="H11" i="5"/>
  <c r="L11" i="5" s="1"/>
  <c r="O11" i="5" s="1"/>
  <c r="E3" i="5"/>
  <c r="F3" i="5"/>
  <c r="G3" i="5"/>
  <c r="K3" i="5" s="1"/>
  <c r="N3" i="5" s="1"/>
  <c r="H3" i="5"/>
  <c r="L3" i="5" s="1"/>
  <c r="O3" i="5" s="1"/>
  <c r="H396" i="5"/>
  <c r="L396" i="5" s="1"/>
  <c r="O396" i="5" s="1"/>
  <c r="G372" i="5"/>
  <c r="K372" i="5" s="1"/>
  <c r="N372" i="5" s="1"/>
  <c r="P372" i="5" s="1"/>
  <c r="E357" i="5"/>
  <c r="H352" i="5"/>
  <c r="L352" i="5" s="1"/>
  <c r="O352" i="5" s="1"/>
  <c r="P352" i="5" s="1"/>
  <c r="E347" i="5"/>
  <c r="H332" i="5"/>
  <c r="L332" i="5" s="1"/>
  <c r="O332" i="5" s="1"/>
  <c r="G308" i="5"/>
  <c r="K308" i="5" s="1"/>
  <c r="N308" i="5" s="1"/>
  <c r="F283" i="5"/>
  <c r="F267" i="5"/>
  <c r="F229" i="5"/>
  <c r="F197" i="5"/>
  <c r="E155" i="5"/>
  <c r="H77" i="5"/>
  <c r="L77" i="5" s="1"/>
  <c r="O77" i="5" s="1"/>
  <c r="H445" i="5"/>
  <c r="L445" i="5" s="1"/>
  <c r="O445" i="5" s="1"/>
  <c r="H437" i="5"/>
  <c r="L437" i="5" s="1"/>
  <c r="O437" i="5" s="1"/>
  <c r="H429" i="5"/>
  <c r="L429" i="5" s="1"/>
  <c r="O429" i="5" s="1"/>
  <c r="H421" i="5"/>
  <c r="L421" i="5" s="1"/>
  <c r="O421" i="5" s="1"/>
  <c r="H413" i="5"/>
  <c r="L413" i="5" s="1"/>
  <c r="O413" i="5" s="1"/>
  <c r="H405" i="5"/>
  <c r="L405" i="5" s="1"/>
  <c r="O405" i="5" s="1"/>
  <c r="G396" i="5"/>
  <c r="K396" i="5" s="1"/>
  <c r="N396" i="5" s="1"/>
  <c r="E381" i="5"/>
  <c r="E371" i="5"/>
  <c r="H356" i="5"/>
  <c r="L356" i="5" s="1"/>
  <c r="O356" i="5" s="1"/>
  <c r="G332" i="5"/>
  <c r="K332" i="5" s="1"/>
  <c r="N332" i="5" s="1"/>
  <c r="P332" i="5" s="1"/>
  <c r="E317" i="5"/>
  <c r="E307" i="5"/>
  <c r="G237" i="5"/>
  <c r="K237" i="5" s="1"/>
  <c r="N237" i="5" s="1"/>
  <c r="P237" i="5" s="1"/>
  <c r="G228" i="5"/>
  <c r="K228" i="5" s="1"/>
  <c r="N228" i="5" s="1"/>
  <c r="G205" i="5"/>
  <c r="K205" i="5" s="1"/>
  <c r="N205" i="5" s="1"/>
  <c r="P205" i="5" s="1"/>
  <c r="G196" i="5"/>
  <c r="K196" i="5" s="1"/>
  <c r="N196" i="5" s="1"/>
  <c r="P196" i="5" s="1"/>
  <c r="G173" i="5"/>
  <c r="K173" i="5" s="1"/>
  <c r="N173" i="5" s="1"/>
  <c r="H29" i="5"/>
  <c r="L29" i="5" s="1"/>
  <c r="O29" i="5" s="1"/>
  <c r="E448" i="5"/>
  <c r="F448" i="5"/>
  <c r="E440" i="5"/>
  <c r="F440" i="5"/>
  <c r="E432" i="5"/>
  <c r="F432" i="5"/>
  <c r="E424" i="5"/>
  <c r="F424" i="5"/>
  <c r="E416" i="5"/>
  <c r="F416" i="5"/>
  <c r="E408" i="5"/>
  <c r="F408" i="5"/>
  <c r="E400" i="5"/>
  <c r="F400" i="5"/>
  <c r="E392" i="5"/>
  <c r="F392" i="5"/>
  <c r="E384" i="5"/>
  <c r="F384" i="5"/>
  <c r="E376" i="5"/>
  <c r="F376" i="5"/>
  <c r="E368" i="5"/>
  <c r="F368" i="5"/>
  <c r="E360" i="5"/>
  <c r="F360" i="5"/>
  <c r="E352" i="5"/>
  <c r="F352" i="5"/>
  <c r="E344" i="5"/>
  <c r="F344" i="5"/>
  <c r="E336" i="5"/>
  <c r="F336" i="5"/>
  <c r="E328" i="5"/>
  <c r="F328" i="5"/>
  <c r="E320" i="5"/>
  <c r="F320" i="5"/>
  <c r="E312" i="5"/>
  <c r="F312" i="5"/>
  <c r="E304" i="5"/>
  <c r="F304" i="5"/>
  <c r="E288" i="5"/>
  <c r="H288" i="5"/>
  <c r="L288" i="5" s="1"/>
  <c r="O288" i="5" s="1"/>
  <c r="F288" i="5"/>
  <c r="G288" i="5"/>
  <c r="K288" i="5" s="1"/>
  <c r="N288" i="5" s="1"/>
  <c r="P288" i="5" s="1"/>
  <c r="E280" i="5"/>
  <c r="H280" i="5"/>
  <c r="L280" i="5" s="1"/>
  <c r="O280" i="5" s="1"/>
  <c r="E272" i="5"/>
  <c r="H272" i="5"/>
  <c r="L272" i="5" s="1"/>
  <c r="O272" i="5" s="1"/>
  <c r="F272" i="5"/>
  <c r="G272" i="5"/>
  <c r="K272" i="5" s="1"/>
  <c r="N272" i="5" s="1"/>
  <c r="P272" i="5" s="1"/>
  <c r="E264" i="5"/>
  <c r="H264" i="5"/>
  <c r="L264" i="5" s="1"/>
  <c r="O264" i="5" s="1"/>
  <c r="E256" i="5"/>
  <c r="H256" i="5"/>
  <c r="L256" i="5" s="1"/>
  <c r="O256" i="5" s="1"/>
  <c r="F256" i="5"/>
  <c r="G256" i="5"/>
  <c r="K256" i="5" s="1"/>
  <c r="N256" i="5" s="1"/>
  <c r="E248" i="5"/>
  <c r="H248" i="5"/>
  <c r="L248" i="5" s="1"/>
  <c r="O248" i="5" s="1"/>
  <c r="P248" i="5" s="1"/>
  <c r="E240" i="5"/>
  <c r="H240" i="5"/>
  <c r="L240" i="5" s="1"/>
  <c r="O240" i="5" s="1"/>
  <c r="F240" i="5"/>
  <c r="E232" i="5"/>
  <c r="H232" i="5"/>
  <c r="L232" i="5" s="1"/>
  <c r="O232" i="5" s="1"/>
  <c r="F232" i="5"/>
  <c r="E224" i="5"/>
  <c r="H224" i="5"/>
  <c r="L224" i="5" s="1"/>
  <c r="O224" i="5" s="1"/>
  <c r="F224" i="5"/>
  <c r="E216" i="5"/>
  <c r="H216" i="5"/>
  <c r="L216" i="5" s="1"/>
  <c r="O216" i="5" s="1"/>
  <c r="F216" i="5"/>
  <c r="E208" i="5"/>
  <c r="H208" i="5"/>
  <c r="L208" i="5" s="1"/>
  <c r="O208" i="5" s="1"/>
  <c r="F208" i="5"/>
  <c r="E200" i="5"/>
  <c r="H200" i="5"/>
  <c r="L200" i="5" s="1"/>
  <c r="O200" i="5" s="1"/>
  <c r="F200" i="5"/>
  <c r="E192" i="5"/>
  <c r="H192" i="5"/>
  <c r="L192" i="5" s="1"/>
  <c r="O192" i="5" s="1"/>
  <c r="F192" i="5"/>
  <c r="E184" i="5"/>
  <c r="H184" i="5"/>
  <c r="L184" i="5" s="1"/>
  <c r="O184" i="5" s="1"/>
  <c r="F184" i="5"/>
  <c r="E176" i="5"/>
  <c r="H176" i="5"/>
  <c r="L176" i="5" s="1"/>
  <c r="O176" i="5" s="1"/>
  <c r="F176" i="5"/>
  <c r="E168" i="5"/>
  <c r="F168" i="5"/>
  <c r="G168" i="5"/>
  <c r="K168" i="5" s="1"/>
  <c r="N168" i="5" s="1"/>
  <c r="H168" i="5"/>
  <c r="L168" i="5" s="1"/>
  <c r="O168" i="5" s="1"/>
  <c r="E160" i="5"/>
  <c r="F160" i="5"/>
  <c r="G160" i="5"/>
  <c r="K160" i="5" s="1"/>
  <c r="N160" i="5" s="1"/>
  <c r="H160" i="5"/>
  <c r="L160" i="5" s="1"/>
  <c r="O160" i="5" s="1"/>
  <c r="E152" i="5"/>
  <c r="F152" i="5"/>
  <c r="G152" i="5"/>
  <c r="K152" i="5" s="1"/>
  <c r="N152" i="5" s="1"/>
  <c r="H152" i="5"/>
  <c r="L152" i="5" s="1"/>
  <c r="O152" i="5" s="1"/>
  <c r="E144" i="5"/>
  <c r="F144" i="5"/>
  <c r="G144" i="5"/>
  <c r="K144" i="5" s="1"/>
  <c r="N144" i="5" s="1"/>
  <c r="H144" i="5"/>
  <c r="L144" i="5" s="1"/>
  <c r="O144" i="5" s="1"/>
  <c r="E136" i="5"/>
  <c r="F136" i="5"/>
  <c r="G136" i="5"/>
  <c r="K136" i="5" s="1"/>
  <c r="N136" i="5" s="1"/>
  <c r="H136" i="5"/>
  <c r="L136" i="5" s="1"/>
  <c r="O136" i="5" s="1"/>
  <c r="E128" i="5"/>
  <c r="F128" i="5"/>
  <c r="G128" i="5"/>
  <c r="K128" i="5" s="1"/>
  <c r="N128" i="5" s="1"/>
  <c r="H128" i="5"/>
  <c r="L128" i="5" s="1"/>
  <c r="O128" i="5" s="1"/>
  <c r="E120" i="5"/>
  <c r="F120" i="5"/>
  <c r="G120" i="5"/>
  <c r="K120" i="5" s="1"/>
  <c r="N120" i="5" s="1"/>
  <c r="H120" i="5"/>
  <c r="L120" i="5" s="1"/>
  <c r="O120" i="5" s="1"/>
  <c r="E112" i="5"/>
  <c r="F112" i="5"/>
  <c r="G112" i="5"/>
  <c r="K112" i="5" s="1"/>
  <c r="N112" i="5" s="1"/>
  <c r="H112" i="5"/>
  <c r="L112" i="5" s="1"/>
  <c r="O112" i="5" s="1"/>
  <c r="E104" i="5"/>
  <c r="F104" i="5"/>
  <c r="G104" i="5"/>
  <c r="K104" i="5" s="1"/>
  <c r="N104" i="5" s="1"/>
  <c r="H104" i="5"/>
  <c r="L104" i="5" s="1"/>
  <c r="O104" i="5" s="1"/>
  <c r="E96" i="5"/>
  <c r="F96" i="5"/>
  <c r="G96" i="5"/>
  <c r="K96" i="5" s="1"/>
  <c r="N96" i="5" s="1"/>
  <c r="H96" i="5"/>
  <c r="L96" i="5" s="1"/>
  <c r="O96" i="5" s="1"/>
  <c r="E88" i="5"/>
  <c r="F88" i="5"/>
  <c r="G88" i="5"/>
  <c r="K88" i="5" s="1"/>
  <c r="N88" i="5" s="1"/>
  <c r="H88" i="5"/>
  <c r="L88" i="5" s="1"/>
  <c r="O88" i="5" s="1"/>
  <c r="E80" i="5"/>
  <c r="F80" i="5"/>
  <c r="G80" i="5"/>
  <c r="K80" i="5" s="1"/>
  <c r="N80" i="5" s="1"/>
  <c r="H80" i="5"/>
  <c r="L80" i="5" s="1"/>
  <c r="O80" i="5" s="1"/>
  <c r="E72" i="5"/>
  <c r="F72" i="5"/>
  <c r="G72" i="5"/>
  <c r="K72" i="5" s="1"/>
  <c r="N72" i="5" s="1"/>
  <c r="H72" i="5"/>
  <c r="L72" i="5" s="1"/>
  <c r="O72" i="5" s="1"/>
  <c r="E64" i="5"/>
  <c r="F64" i="5"/>
  <c r="G64" i="5"/>
  <c r="K64" i="5" s="1"/>
  <c r="N64" i="5" s="1"/>
  <c r="H64" i="5"/>
  <c r="L64" i="5" s="1"/>
  <c r="O64" i="5" s="1"/>
  <c r="E56" i="5"/>
  <c r="F56" i="5"/>
  <c r="G56" i="5"/>
  <c r="K56" i="5" s="1"/>
  <c r="N56" i="5" s="1"/>
  <c r="H56" i="5"/>
  <c r="L56" i="5" s="1"/>
  <c r="O56" i="5" s="1"/>
  <c r="E48" i="5"/>
  <c r="F48" i="5"/>
  <c r="G48" i="5"/>
  <c r="K48" i="5" s="1"/>
  <c r="N48" i="5" s="1"/>
  <c r="H48" i="5"/>
  <c r="L48" i="5" s="1"/>
  <c r="O48" i="5" s="1"/>
  <c r="E40" i="5"/>
  <c r="F40" i="5"/>
  <c r="G40" i="5"/>
  <c r="K40" i="5" s="1"/>
  <c r="N40" i="5" s="1"/>
  <c r="H40" i="5"/>
  <c r="L40" i="5" s="1"/>
  <c r="O40" i="5" s="1"/>
  <c r="E32" i="5"/>
  <c r="F32" i="5"/>
  <c r="G32" i="5"/>
  <c r="K32" i="5" s="1"/>
  <c r="N32" i="5" s="1"/>
  <c r="H32" i="5"/>
  <c r="L32" i="5" s="1"/>
  <c r="O32" i="5" s="1"/>
  <c r="E24" i="5"/>
  <c r="F24" i="5"/>
  <c r="G24" i="5"/>
  <c r="K24" i="5" s="1"/>
  <c r="N24" i="5" s="1"/>
  <c r="H24" i="5"/>
  <c r="L24" i="5" s="1"/>
  <c r="O24" i="5" s="1"/>
  <c r="E16" i="5"/>
  <c r="F16" i="5"/>
  <c r="G16" i="5"/>
  <c r="K16" i="5" s="1"/>
  <c r="N16" i="5" s="1"/>
  <c r="H16" i="5"/>
  <c r="L16" i="5" s="1"/>
  <c r="O16" i="5" s="1"/>
  <c r="E8" i="5"/>
  <c r="F8" i="5"/>
  <c r="G8" i="5"/>
  <c r="K8" i="5" s="1"/>
  <c r="N8" i="5" s="1"/>
  <c r="H8" i="5"/>
  <c r="L8" i="5" s="1"/>
  <c r="O8" i="5" s="1"/>
  <c r="H448" i="5"/>
  <c r="L448" i="5" s="1"/>
  <c r="O448" i="5" s="1"/>
  <c r="H444" i="5"/>
  <c r="L444" i="5" s="1"/>
  <c r="O444" i="5" s="1"/>
  <c r="H440" i="5"/>
  <c r="L440" i="5" s="1"/>
  <c r="O440" i="5" s="1"/>
  <c r="H436" i="5"/>
  <c r="L436" i="5" s="1"/>
  <c r="O436" i="5" s="1"/>
  <c r="H432" i="5"/>
  <c r="L432" i="5" s="1"/>
  <c r="O432" i="5" s="1"/>
  <c r="H428" i="5"/>
  <c r="L428" i="5" s="1"/>
  <c r="O428" i="5" s="1"/>
  <c r="H424" i="5"/>
  <c r="L424" i="5" s="1"/>
  <c r="O424" i="5" s="1"/>
  <c r="H420" i="5"/>
  <c r="L420" i="5" s="1"/>
  <c r="O420" i="5" s="1"/>
  <c r="H416" i="5"/>
  <c r="L416" i="5" s="1"/>
  <c r="O416" i="5" s="1"/>
  <c r="H412" i="5"/>
  <c r="L412" i="5" s="1"/>
  <c r="O412" i="5" s="1"/>
  <c r="H408" i="5"/>
  <c r="L408" i="5" s="1"/>
  <c r="O408" i="5" s="1"/>
  <c r="H404" i="5"/>
  <c r="L404" i="5" s="1"/>
  <c r="O404" i="5" s="1"/>
  <c r="G400" i="5"/>
  <c r="K400" i="5" s="1"/>
  <c r="N400" i="5" s="1"/>
  <c r="G380" i="5"/>
  <c r="K380" i="5" s="1"/>
  <c r="N380" i="5" s="1"/>
  <c r="P380" i="5" s="1"/>
  <c r="E365" i="5"/>
  <c r="H360" i="5"/>
  <c r="L360" i="5" s="1"/>
  <c r="O360" i="5" s="1"/>
  <c r="E355" i="5"/>
  <c r="H340" i="5"/>
  <c r="L340" i="5" s="1"/>
  <c r="O340" i="5" s="1"/>
  <c r="G336" i="5"/>
  <c r="K336" i="5" s="1"/>
  <c r="N336" i="5" s="1"/>
  <c r="P336" i="5" s="1"/>
  <c r="G316" i="5"/>
  <c r="K316" i="5" s="1"/>
  <c r="N316" i="5" s="1"/>
  <c r="P316" i="5" s="1"/>
  <c r="E301" i="5"/>
  <c r="G296" i="5"/>
  <c r="K296" i="5" s="1"/>
  <c r="N296" i="5" s="1"/>
  <c r="G280" i="5"/>
  <c r="K280" i="5" s="1"/>
  <c r="N280" i="5" s="1"/>
  <c r="F264" i="5"/>
  <c r="G245" i="5"/>
  <c r="K245" i="5" s="1"/>
  <c r="N245" i="5" s="1"/>
  <c r="P245" i="5" s="1"/>
  <c r="G236" i="5"/>
  <c r="K236" i="5" s="1"/>
  <c r="N236" i="5" s="1"/>
  <c r="P236" i="5" s="1"/>
  <c r="G213" i="5"/>
  <c r="K213" i="5" s="1"/>
  <c r="N213" i="5" s="1"/>
  <c r="P213" i="5" s="1"/>
  <c r="G204" i="5"/>
  <c r="K204" i="5" s="1"/>
  <c r="N204" i="5" s="1"/>
  <c r="P204" i="5" s="1"/>
  <c r="G181" i="5"/>
  <c r="K181" i="5" s="1"/>
  <c r="N181" i="5" s="1"/>
  <c r="P181" i="5" s="1"/>
  <c r="G172" i="5"/>
  <c r="K172" i="5" s="1"/>
  <c r="N172" i="5" s="1"/>
  <c r="P172" i="5" s="1"/>
  <c r="H61" i="5"/>
  <c r="L61" i="5" s="1"/>
  <c r="O61" i="5" s="1"/>
  <c r="F447" i="5"/>
  <c r="G447" i="5"/>
  <c r="K447" i="5" s="1"/>
  <c r="N447" i="5" s="1"/>
  <c r="P447" i="5" s="1"/>
  <c r="F439" i="5"/>
  <c r="G439" i="5"/>
  <c r="K439" i="5" s="1"/>
  <c r="N439" i="5" s="1"/>
  <c r="P439" i="5" s="1"/>
  <c r="F431" i="5"/>
  <c r="G431" i="5"/>
  <c r="K431" i="5" s="1"/>
  <c r="N431" i="5" s="1"/>
  <c r="F423" i="5"/>
  <c r="G423" i="5"/>
  <c r="K423" i="5" s="1"/>
  <c r="N423" i="5" s="1"/>
  <c r="F415" i="5"/>
  <c r="G415" i="5"/>
  <c r="K415" i="5" s="1"/>
  <c r="N415" i="5" s="1"/>
  <c r="P415" i="5" s="1"/>
  <c r="F407" i="5"/>
  <c r="G407" i="5"/>
  <c r="K407" i="5" s="1"/>
  <c r="N407" i="5" s="1"/>
  <c r="P407" i="5" s="1"/>
  <c r="G448" i="5"/>
  <c r="K448" i="5" s="1"/>
  <c r="N448" i="5" s="1"/>
  <c r="G444" i="5"/>
  <c r="K444" i="5" s="1"/>
  <c r="N444" i="5" s="1"/>
  <c r="G440" i="5"/>
  <c r="K440" i="5" s="1"/>
  <c r="N440" i="5" s="1"/>
  <c r="G436" i="5"/>
  <c r="K436" i="5" s="1"/>
  <c r="N436" i="5" s="1"/>
  <c r="G432" i="5"/>
  <c r="K432" i="5" s="1"/>
  <c r="N432" i="5" s="1"/>
  <c r="G428" i="5"/>
  <c r="K428" i="5" s="1"/>
  <c r="N428" i="5" s="1"/>
  <c r="G424" i="5"/>
  <c r="K424" i="5" s="1"/>
  <c r="N424" i="5" s="1"/>
  <c r="P424" i="5" s="1"/>
  <c r="G420" i="5"/>
  <c r="K420" i="5" s="1"/>
  <c r="N420" i="5" s="1"/>
  <c r="G416" i="5"/>
  <c r="K416" i="5" s="1"/>
  <c r="N416" i="5" s="1"/>
  <c r="G412" i="5"/>
  <c r="K412" i="5" s="1"/>
  <c r="N412" i="5" s="1"/>
  <c r="G408" i="5"/>
  <c r="K408" i="5" s="1"/>
  <c r="N408" i="5" s="1"/>
  <c r="G404" i="5"/>
  <c r="K404" i="5" s="1"/>
  <c r="N404" i="5" s="1"/>
  <c r="E389" i="5"/>
  <c r="H384" i="5"/>
  <c r="L384" i="5" s="1"/>
  <c r="O384" i="5" s="1"/>
  <c r="E379" i="5"/>
  <c r="H364" i="5"/>
  <c r="L364" i="5" s="1"/>
  <c r="O364" i="5" s="1"/>
  <c r="P364" i="5" s="1"/>
  <c r="G360" i="5"/>
  <c r="K360" i="5" s="1"/>
  <c r="N360" i="5" s="1"/>
  <c r="P360" i="5" s="1"/>
  <c r="G340" i="5"/>
  <c r="K340" i="5" s="1"/>
  <c r="N340" i="5" s="1"/>
  <c r="E325" i="5"/>
  <c r="H320" i="5"/>
  <c r="L320" i="5" s="1"/>
  <c r="O320" i="5" s="1"/>
  <c r="E315" i="5"/>
  <c r="H300" i="5"/>
  <c r="L300" i="5" s="1"/>
  <c r="O300" i="5" s="1"/>
  <c r="P300" i="5" s="1"/>
  <c r="F296" i="5"/>
  <c r="F280" i="5"/>
  <c r="G261" i="5"/>
  <c r="K261" i="5" s="1"/>
  <c r="N261" i="5" s="1"/>
  <c r="P261" i="5" s="1"/>
  <c r="F245" i="5"/>
  <c r="G224" i="5"/>
  <c r="K224" i="5" s="1"/>
  <c r="N224" i="5" s="1"/>
  <c r="F213" i="5"/>
  <c r="G192" i="5"/>
  <c r="K192" i="5" s="1"/>
  <c r="N192" i="5" s="1"/>
  <c r="P192" i="5" s="1"/>
  <c r="F181" i="5"/>
  <c r="H165" i="5"/>
  <c r="L165" i="5" s="1"/>
  <c r="O165" i="5" s="1"/>
  <c r="H141" i="5"/>
  <c r="L141" i="5" s="1"/>
  <c r="O141" i="5" s="1"/>
  <c r="H13" i="5"/>
  <c r="L13" i="5" s="1"/>
  <c r="O13" i="5" s="1"/>
  <c r="E290" i="5"/>
  <c r="H290" i="5"/>
  <c r="L290" i="5" s="1"/>
  <c r="O290" i="5" s="1"/>
  <c r="E282" i="5"/>
  <c r="H282" i="5"/>
  <c r="L282" i="5" s="1"/>
  <c r="O282" i="5" s="1"/>
  <c r="E274" i="5"/>
  <c r="H274" i="5"/>
  <c r="L274" i="5" s="1"/>
  <c r="O274" i="5" s="1"/>
  <c r="E266" i="5"/>
  <c r="H266" i="5"/>
  <c r="L266" i="5" s="1"/>
  <c r="O266" i="5" s="1"/>
  <c r="E258" i="5"/>
  <c r="H258" i="5"/>
  <c r="L258" i="5" s="1"/>
  <c r="O258" i="5" s="1"/>
  <c r="E250" i="5"/>
  <c r="H250" i="5"/>
  <c r="L250" i="5" s="1"/>
  <c r="O250" i="5" s="1"/>
  <c r="E242" i="5"/>
  <c r="H242" i="5"/>
  <c r="L242" i="5" s="1"/>
  <c r="O242" i="5" s="1"/>
  <c r="E234" i="5"/>
  <c r="H234" i="5"/>
  <c r="L234" i="5" s="1"/>
  <c r="O234" i="5" s="1"/>
  <c r="E226" i="5"/>
  <c r="H226" i="5"/>
  <c r="L226" i="5" s="1"/>
  <c r="O226" i="5" s="1"/>
  <c r="E218" i="5"/>
  <c r="H218" i="5"/>
  <c r="L218" i="5" s="1"/>
  <c r="O218" i="5" s="1"/>
  <c r="E210" i="5"/>
  <c r="H210" i="5"/>
  <c r="L210" i="5" s="1"/>
  <c r="O210" i="5" s="1"/>
  <c r="E202" i="5"/>
  <c r="H202" i="5"/>
  <c r="L202" i="5" s="1"/>
  <c r="O202" i="5" s="1"/>
  <c r="E194" i="5"/>
  <c r="H194" i="5"/>
  <c r="L194" i="5" s="1"/>
  <c r="O194" i="5" s="1"/>
  <c r="E186" i="5"/>
  <c r="H186" i="5"/>
  <c r="L186" i="5" s="1"/>
  <c r="O186" i="5" s="1"/>
  <c r="E178" i="5"/>
  <c r="H178" i="5"/>
  <c r="L178" i="5" s="1"/>
  <c r="O178" i="5" s="1"/>
  <c r="E170" i="5"/>
  <c r="F170" i="5"/>
  <c r="G170" i="5"/>
  <c r="K170" i="5" s="1"/>
  <c r="N170" i="5" s="1"/>
  <c r="H170" i="5"/>
  <c r="L170" i="5" s="1"/>
  <c r="O170" i="5" s="1"/>
  <c r="E162" i="5"/>
  <c r="F162" i="5"/>
  <c r="G162" i="5"/>
  <c r="K162" i="5" s="1"/>
  <c r="N162" i="5" s="1"/>
  <c r="H162" i="5"/>
  <c r="L162" i="5" s="1"/>
  <c r="O162" i="5" s="1"/>
  <c r="E154" i="5"/>
  <c r="F154" i="5"/>
  <c r="G154" i="5"/>
  <c r="K154" i="5" s="1"/>
  <c r="N154" i="5" s="1"/>
  <c r="H154" i="5"/>
  <c r="L154" i="5" s="1"/>
  <c r="O154" i="5" s="1"/>
  <c r="E146" i="5"/>
  <c r="F146" i="5"/>
  <c r="G146" i="5"/>
  <c r="K146" i="5" s="1"/>
  <c r="N146" i="5" s="1"/>
  <c r="H146" i="5"/>
  <c r="L146" i="5" s="1"/>
  <c r="O146" i="5" s="1"/>
  <c r="E138" i="5"/>
  <c r="F138" i="5"/>
  <c r="G138" i="5"/>
  <c r="K138" i="5" s="1"/>
  <c r="N138" i="5" s="1"/>
  <c r="H138" i="5"/>
  <c r="L138" i="5" s="1"/>
  <c r="O138" i="5" s="1"/>
  <c r="E130" i="5"/>
  <c r="F130" i="5"/>
  <c r="G130" i="5"/>
  <c r="K130" i="5" s="1"/>
  <c r="N130" i="5" s="1"/>
  <c r="H130" i="5"/>
  <c r="L130" i="5" s="1"/>
  <c r="O130" i="5" s="1"/>
  <c r="E122" i="5"/>
  <c r="F122" i="5"/>
  <c r="G122" i="5"/>
  <c r="K122" i="5" s="1"/>
  <c r="N122" i="5" s="1"/>
  <c r="H122" i="5"/>
  <c r="L122" i="5" s="1"/>
  <c r="O122" i="5" s="1"/>
  <c r="E114" i="5"/>
  <c r="F114" i="5"/>
  <c r="G114" i="5"/>
  <c r="K114" i="5" s="1"/>
  <c r="N114" i="5" s="1"/>
  <c r="H114" i="5"/>
  <c r="L114" i="5" s="1"/>
  <c r="O114" i="5" s="1"/>
  <c r="E106" i="5"/>
  <c r="F106" i="5"/>
  <c r="G106" i="5"/>
  <c r="K106" i="5" s="1"/>
  <c r="N106" i="5" s="1"/>
  <c r="H106" i="5"/>
  <c r="L106" i="5" s="1"/>
  <c r="O106" i="5" s="1"/>
  <c r="E98" i="5"/>
  <c r="F98" i="5"/>
  <c r="G98" i="5"/>
  <c r="K98" i="5" s="1"/>
  <c r="N98" i="5" s="1"/>
  <c r="H98" i="5"/>
  <c r="L98" i="5" s="1"/>
  <c r="O98" i="5" s="1"/>
  <c r="E90" i="5"/>
  <c r="F90" i="5"/>
  <c r="G90" i="5"/>
  <c r="K90" i="5" s="1"/>
  <c r="N90" i="5" s="1"/>
  <c r="H90" i="5"/>
  <c r="L90" i="5" s="1"/>
  <c r="O90" i="5" s="1"/>
  <c r="E82" i="5"/>
  <c r="F82" i="5"/>
  <c r="G82" i="5"/>
  <c r="K82" i="5" s="1"/>
  <c r="N82" i="5" s="1"/>
  <c r="H82" i="5"/>
  <c r="L82" i="5" s="1"/>
  <c r="O82" i="5" s="1"/>
  <c r="E74" i="5"/>
  <c r="F74" i="5"/>
  <c r="G74" i="5"/>
  <c r="K74" i="5" s="1"/>
  <c r="N74" i="5" s="1"/>
  <c r="H74" i="5"/>
  <c r="L74" i="5" s="1"/>
  <c r="O74" i="5" s="1"/>
  <c r="E66" i="5"/>
  <c r="F66" i="5"/>
  <c r="G66" i="5"/>
  <c r="K66" i="5" s="1"/>
  <c r="N66" i="5" s="1"/>
  <c r="H66" i="5"/>
  <c r="L66" i="5" s="1"/>
  <c r="O66" i="5" s="1"/>
  <c r="E58" i="5"/>
  <c r="F58" i="5"/>
  <c r="G58" i="5"/>
  <c r="K58" i="5" s="1"/>
  <c r="N58" i="5" s="1"/>
  <c r="H58" i="5"/>
  <c r="L58" i="5" s="1"/>
  <c r="O58" i="5" s="1"/>
  <c r="E50" i="5"/>
  <c r="F50" i="5"/>
  <c r="G50" i="5"/>
  <c r="K50" i="5" s="1"/>
  <c r="N50" i="5" s="1"/>
  <c r="H50" i="5"/>
  <c r="L50" i="5" s="1"/>
  <c r="O50" i="5" s="1"/>
  <c r="E42" i="5"/>
  <c r="F42" i="5"/>
  <c r="G42" i="5"/>
  <c r="K42" i="5" s="1"/>
  <c r="N42" i="5" s="1"/>
  <c r="H42" i="5"/>
  <c r="L42" i="5" s="1"/>
  <c r="O42" i="5" s="1"/>
  <c r="E34" i="5"/>
  <c r="F34" i="5"/>
  <c r="G34" i="5"/>
  <c r="K34" i="5" s="1"/>
  <c r="N34" i="5" s="1"/>
  <c r="H34" i="5"/>
  <c r="L34" i="5" s="1"/>
  <c r="O34" i="5" s="1"/>
  <c r="E26" i="5"/>
  <c r="F26" i="5"/>
  <c r="G26" i="5"/>
  <c r="K26" i="5" s="1"/>
  <c r="N26" i="5" s="1"/>
  <c r="H26" i="5"/>
  <c r="L26" i="5" s="1"/>
  <c r="O26" i="5" s="1"/>
  <c r="E18" i="5"/>
  <c r="F18" i="5"/>
  <c r="G18" i="5"/>
  <c r="K18" i="5" s="1"/>
  <c r="N18" i="5" s="1"/>
  <c r="H18" i="5"/>
  <c r="L18" i="5" s="1"/>
  <c r="O18" i="5" s="1"/>
  <c r="E10" i="5"/>
  <c r="F10" i="5"/>
  <c r="G10" i="5"/>
  <c r="K10" i="5" s="1"/>
  <c r="N10" i="5" s="1"/>
  <c r="H10" i="5"/>
  <c r="L10" i="5" s="1"/>
  <c r="O10" i="5" s="1"/>
  <c r="F2" i="5"/>
  <c r="F446" i="5"/>
  <c r="F442" i="5"/>
  <c r="F438" i="5"/>
  <c r="F434" i="5"/>
  <c r="F430" i="5"/>
  <c r="F426" i="5"/>
  <c r="F422" i="5"/>
  <c r="F418" i="5"/>
  <c r="F414" i="5"/>
  <c r="F410" i="5"/>
  <c r="F406" i="5"/>
  <c r="F402" i="5"/>
  <c r="F398" i="5"/>
  <c r="F394" i="5"/>
  <c r="F390" i="5"/>
  <c r="F386" i="5"/>
  <c r="F382" i="5"/>
  <c r="F378" i="5"/>
  <c r="F374" i="5"/>
  <c r="F370" i="5"/>
  <c r="F366" i="5"/>
  <c r="F362" i="5"/>
  <c r="F358" i="5"/>
  <c r="F354" i="5"/>
  <c r="F350" i="5"/>
  <c r="F346" i="5"/>
  <c r="F342" i="5"/>
  <c r="F338" i="5"/>
  <c r="F334" i="5"/>
  <c r="F330" i="5"/>
  <c r="F326" i="5"/>
  <c r="F322" i="5"/>
  <c r="F318" i="5"/>
  <c r="F314" i="5"/>
  <c r="F310" i="5"/>
  <c r="F306" i="5"/>
  <c r="F302" i="5"/>
  <c r="F298" i="5"/>
  <c r="G295" i="5"/>
  <c r="K295" i="5" s="1"/>
  <c r="N295" i="5" s="1"/>
  <c r="F289" i="5"/>
  <c r="G279" i="5"/>
  <c r="K279" i="5" s="1"/>
  <c r="N279" i="5" s="1"/>
  <c r="P279" i="5" s="1"/>
  <c r="F273" i="5"/>
  <c r="G263" i="5"/>
  <c r="K263" i="5" s="1"/>
  <c r="N263" i="5" s="1"/>
  <c r="P263" i="5" s="1"/>
  <c r="F257" i="5"/>
  <c r="G247" i="5"/>
  <c r="K247" i="5" s="1"/>
  <c r="N247" i="5" s="1"/>
  <c r="P247" i="5" s="1"/>
  <c r="H241" i="5"/>
  <c r="L241" i="5" s="1"/>
  <c r="O241" i="5" s="1"/>
  <c r="E241" i="5"/>
  <c r="H233" i="5"/>
  <c r="L233" i="5" s="1"/>
  <c r="O233" i="5" s="1"/>
  <c r="E233" i="5"/>
  <c r="H225" i="5"/>
  <c r="L225" i="5" s="1"/>
  <c r="O225" i="5" s="1"/>
  <c r="E225" i="5"/>
  <c r="H217" i="5"/>
  <c r="L217" i="5" s="1"/>
  <c r="O217" i="5" s="1"/>
  <c r="E217" i="5"/>
  <c r="H209" i="5"/>
  <c r="L209" i="5" s="1"/>
  <c r="O209" i="5" s="1"/>
  <c r="E209" i="5"/>
  <c r="H201" i="5"/>
  <c r="L201" i="5" s="1"/>
  <c r="O201" i="5" s="1"/>
  <c r="E201" i="5"/>
  <c r="H193" i="5"/>
  <c r="L193" i="5" s="1"/>
  <c r="O193" i="5" s="1"/>
  <c r="E193" i="5"/>
  <c r="H185" i="5"/>
  <c r="L185" i="5" s="1"/>
  <c r="O185" i="5" s="1"/>
  <c r="E185" i="5"/>
  <c r="H177" i="5"/>
  <c r="L177" i="5" s="1"/>
  <c r="O177" i="5" s="1"/>
  <c r="P177" i="5" s="1"/>
  <c r="E177" i="5"/>
  <c r="F169" i="5"/>
  <c r="G169" i="5"/>
  <c r="K169" i="5" s="1"/>
  <c r="N169" i="5" s="1"/>
  <c r="H169" i="5"/>
  <c r="L169" i="5" s="1"/>
  <c r="O169" i="5" s="1"/>
  <c r="F161" i="5"/>
  <c r="G161" i="5"/>
  <c r="K161" i="5" s="1"/>
  <c r="N161" i="5" s="1"/>
  <c r="H161" i="5"/>
  <c r="L161" i="5" s="1"/>
  <c r="O161" i="5" s="1"/>
  <c r="F153" i="5"/>
  <c r="G153" i="5"/>
  <c r="K153" i="5" s="1"/>
  <c r="N153" i="5" s="1"/>
  <c r="P153" i="5" s="1"/>
  <c r="H153" i="5"/>
  <c r="L153" i="5" s="1"/>
  <c r="O153" i="5" s="1"/>
  <c r="F145" i="5"/>
  <c r="G145" i="5"/>
  <c r="K145" i="5" s="1"/>
  <c r="N145" i="5" s="1"/>
  <c r="H145" i="5"/>
  <c r="L145" i="5" s="1"/>
  <c r="O145" i="5" s="1"/>
  <c r="E137" i="5"/>
  <c r="F137" i="5"/>
  <c r="E129" i="5"/>
  <c r="F129" i="5"/>
  <c r="E121" i="5"/>
  <c r="F121" i="5"/>
  <c r="E113" i="5"/>
  <c r="F113" i="5"/>
  <c r="E105" i="5"/>
  <c r="F105" i="5"/>
  <c r="E97" i="5"/>
  <c r="F97" i="5"/>
  <c r="E89" i="5"/>
  <c r="F89" i="5"/>
  <c r="E81" i="5"/>
  <c r="F81" i="5"/>
  <c r="E73" i="5"/>
  <c r="F73" i="5"/>
  <c r="E65" i="5"/>
  <c r="F65" i="5"/>
  <c r="E57" i="5"/>
  <c r="F57" i="5"/>
  <c r="E49" i="5"/>
  <c r="F49" i="5"/>
  <c r="E41" i="5"/>
  <c r="F41" i="5"/>
  <c r="E33" i="5"/>
  <c r="F33" i="5"/>
  <c r="E25" i="5"/>
  <c r="F25" i="5"/>
  <c r="E17" i="5"/>
  <c r="F17" i="5"/>
  <c r="E9" i="5"/>
  <c r="F9" i="5"/>
  <c r="E2" i="5"/>
  <c r="I2" i="5" s="1"/>
  <c r="H297" i="5"/>
  <c r="L297" i="5" s="1"/>
  <c r="O297" i="5" s="1"/>
  <c r="F295" i="5"/>
  <c r="E289" i="5"/>
  <c r="G282" i="5"/>
  <c r="K282" i="5" s="1"/>
  <c r="N282" i="5" s="1"/>
  <c r="F279" i="5"/>
  <c r="E273" i="5"/>
  <c r="G266" i="5"/>
  <c r="K266" i="5" s="1"/>
  <c r="N266" i="5" s="1"/>
  <c r="P266" i="5" s="1"/>
  <c r="F263" i="5"/>
  <c r="E257" i="5"/>
  <c r="G250" i="5"/>
  <c r="K250" i="5" s="1"/>
  <c r="N250" i="5" s="1"/>
  <c r="F247" i="5"/>
  <c r="G239" i="5"/>
  <c r="K239" i="5" s="1"/>
  <c r="N239" i="5" s="1"/>
  <c r="G231" i="5"/>
  <c r="K231" i="5" s="1"/>
  <c r="N231" i="5" s="1"/>
  <c r="G223" i="5"/>
  <c r="K223" i="5" s="1"/>
  <c r="N223" i="5" s="1"/>
  <c r="G215" i="5"/>
  <c r="K215" i="5" s="1"/>
  <c r="N215" i="5" s="1"/>
  <c r="P215" i="5" s="1"/>
  <c r="G207" i="5"/>
  <c r="K207" i="5" s="1"/>
  <c r="N207" i="5" s="1"/>
  <c r="G199" i="5"/>
  <c r="K199" i="5" s="1"/>
  <c r="N199" i="5" s="1"/>
  <c r="G191" i="5"/>
  <c r="K191" i="5" s="1"/>
  <c r="N191" i="5" s="1"/>
  <c r="G183" i="5"/>
  <c r="K183" i="5" s="1"/>
  <c r="N183" i="5" s="1"/>
  <c r="G175" i="5"/>
  <c r="K175" i="5" s="1"/>
  <c r="N175" i="5" s="1"/>
  <c r="E161" i="5"/>
  <c r="H137" i="5"/>
  <c r="L137" i="5" s="1"/>
  <c r="O137" i="5" s="1"/>
  <c r="H121" i="5"/>
  <c r="L121" i="5" s="1"/>
  <c r="O121" i="5" s="1"/>
  <c r="H105" i="5"/>
  <c r="L105" i="5" s="1"/>
  <c r="O105" i="5" s="1"/>
  <c r="H89" i="5"/>
  <c r="L89" i="5" s="1"/>
  <c r="O89" i="5" s="1"/>
  <c r="H73" i="5"/>
  <c r="L73" i="5" s="1"/>
  <c r="O73" i="5" s="1"/>
  <c r="H57" i="5"/>
  <c r="L57" i="5" s="1"/>
  <c r="O57" i="5" s="1"/>
  <c r="H41" i="5"/>
  <c r="L41" i="5" s="1"/>
  <c r="O41" i="5" s="1"/>
  <c r="H25" i="5"/>
  <c r="L25" i="5" s="1"/>
  <c r="O25" i="5" s="1"/>
  <c r="H9" i="5"/>
  <c r="L9" i="5" s="1"/>
  <c r="O9" i="5" s="1"/>
  <c r="H399" i="5"/>
  <c r="L399" i="5" s="1"/>
  <c r="O399" i="5" s="1"/>
  <c r="H391" i="5"/>
  <c r="L391" i="5" s="1"/>
  <c r="O391" i="5" s="1"/>
  <c r="H383" i="5"/>
  <c r="L383" i="5" s="1"/>
  <c r="O383" i="5" s="1"/>
  <c r="H375" i="5"/>
  <c r="L375" i="5" s="1"/>
  <c r="O375" i="5" s="1"/>
  <c r="H367" i="5"/>
  <c r="L367" i="5" s="1"/>
  <c r="O367" i="5" s="1"/>
  <c r="H359" i="5"/>
  <c r="L359" i="5" s="1"/>
  <c r="O359" i="5" s="1"/>
  <c r="H351" i="5"/>
  <c r="L351" i="5" s="1"/>
  <c r="O351" i="5" s="1"/>
  <c r="H343" i="5"/>
  <c r="L343" i="5" s="1"/>
  <c r="O343" i="5" s="1"/>
  <c r="H335" i="5"/>
  <c r="L335" i="5" s="1"/>
  <c r="O335" i="5" s="1"/>
  <c r="H327" i="5"/>
  <c r="L327" i="5" s="1"/>
  <c r="O327" i="5" s="1"/>
  <c r="H319" i="5"/>
  <c r="L319" i="5" s="1"/>
  <c r="O319" i="5" s="1"/>
  <c r="H311" i="5"/>
  <c r="L311" i="5" s="1"/>
  <c r="O311" i="5" s="1"/>
  <c r="H303" i="5"/>
  <c r="L303" i="5" s="1"/>
  <c r="O303" i="5" s="1"/>
  <c r="E295" i="5"/>
  <c r="E279" i="5"/>
  <c r="F266" i="5"/>
  <c r="E263" i="5"/>
  <c r="F250" i="5"/>
  <c r="E247" i="5"/>
  <c r="G137" i="5"/>
  <c r="K137" i="5" s="1"/>
  <c r="N137" i="5" s="1"/>
  <c r="G121" i="5"/>
  <c r="K121" i="5" s="1"/>
  <c r="N121" i="5" s="1"/>
  <c r="G105" i="5"/>
  <c r="K105" i="5" s="1"/>
  <c r="N105" i="5" s="1"/>
  <c r="G89" i="5"/>
  <c r="K89" i="5" s="1"/>
  <c r="N89" i="5" s="1"/>
  <c r="P89" i="5" s="1"/>
  <c r="G73" i="5"/>
  <c r="K73" i="5" s="1"/>
  <c r="N73" i="5" s="1"/>
  <c r="P73" i="5" s="1"/>
  <c r="G57" i="5"/>
  <c r="K57" i="5" s="1"/>
  <c r="N57" i="5" s="1"/>
  <c r="P57" i="5" s="1"/>
  <c r="G41" i="5"/>
  <c r="K41" i="5" s="1"/>
  <c r="N41" i="5" s="1"/>
  <c r="G25" i="5"/>
  <c r="K25" i="5" s="1"/>
  <c r="N25" i="5" s="1"/>
  <c r="G9" i="5"/>
  <c r="K9" i="5" s="1"/>
  <c r="N9" i="5" s="1"/>
  <c r="H239" i="5"/>
  <c r="L239" i="5" s="1"/>
  <c r="O239" i="5" s="1"/>
  <c r="E239" i="5"/>
  <c r="H231" i="5"/>
  <c r="L231" i="5" s="1"/>
  <c r="O231" i="5" s="1"/>
  <c r="E231" i="5"/>
  <c r="H223" i="5"/>
  <c r="L223" i="5" s="1"/>
  <c r="O223" i="5" s="1"/>
  <c r="E223" i="5"/>
  <c r="H215" i="5"/>
  <c r="L215" i="5" s="1"/>
  <c r="O215" i="5" s="1"/>
  <c r="E215" i="5"/>
  <c r="H207" i="5"/>
  <c r="L207" i="5" s="1"/>
  <c r="O207" i="5" s="1"/>
  <c r="E207" i="5"/>
  <c r="H199" i="5"/>
  <c r="L199" i="5" s="1"/>
  <c r="O199" i="5" s="1"/>
  <c r="E199" i="5"/>
  <c r="H191" i="5"/>
  <c r="L191" i="5" s="1"/>
  <c r="O191" i="5" s="1"/>
  <c r="E191" i="5"/>
  <c r="H183" i="5"/>
  <c r="L183" i="5" s="1"/>
  <c r="O183" i="5" s="1"/>
  <c r="E183" i="5"/>
  <c r="H175" i="5"/>
  <c r="L175" i="5" s="1"/>
  <c r="O175" i="5" s="1"/>
  <c r="E175" i="5"/>
  <c r="F167" i="5"/>
  <c r="E167" i="5"/>
  <c r="G167" i="5"/>
  <c r="K167" i="5" s="1"/>
  <c r="N167" i="5" s="1"/>
  <c r="P167" i="5" s="1"/>
  <c r="F159" i="5"/>
  <c r="E159" i="5"/>
  <c r="G159" i="5"/>
  <c r="K159" i="5" s="1"/>
  <c r="N159" i="5" s="1"/>
  <c r="P159" i="5" s="1"/>
  <c r="F151" i="5"/>
  <c r="E151" i="5"/>
  <c r="G151" i="5"/>
  <c r="K151" i="5" s="1"/>
  <c r="N151" i="5" s="1"/>
  <c r="P151" i="5" s="1"/>
  <c r="F143" i="5"/>
  <c r="E143" i="5"/>
  <c r="G143" i="5"/>
  <c r="K143" i="5" s="1"/>
  <c r="N143" i="5" s="1"/>
  <c r="P143" i="5" s="1"/>
  <c r="E135" i="5"/>
  <c r="F135" i="5"/>
  <c r="G135" i="5"/>
  <c r="K135" i="5" s="1"/>
  <c r="N135" i="5" s="1"/>
  <c r="H135" i="5"/>
  <c r="L135" i="5" s="1"/>
  <c r="O135" i="5" s="1"/>
  <c r="E127" i="5"/>
  <c r="F127" i="5"/>
  <c r="G127" i="5"/>
  <c r="K127" i="5" s="1"/>
  <c r="N127" i="5" s="1"/>
  <c r="P127" i="5" s="1"/>
  <c r="H127" i="5"/>
  <c r="L127" i="5" s="1"/>
  <c r="O127" i="5" s="1"/>
  <c r="E119" i="5"/>
  <c r="F119" i="5"/>
  <c r="G119" i="5"/>
  <c r="K119" i="5" s="1"/>
  <c r="N119" i="5" s="1"/>
  <c r="H119" i="5"/>
  <c r="L119" i="5" s="1"/>
  <c r="O119" i="5" s="1"/>
  <c r="E111" i="5"/>
  <c r="F111" i="5"/>
  <c r="G111" i="5"/>
  <c r="K111" i="5" s="1"/>
  <c r="N111" i="5" s="1"/>
  <c r="P111" i="5" s="1"/>
  <c r="H111" i="5"/>
  <c r="L111" i="5" s="1"/>
  <c r="O111" i="5" s="1"/>
  <c r="E103" i="5"/>
  <c r="F103" i="5"/>
  <c r="G103" i="5"/>
  <c r="K103" i="5" s="1"/>
  <c r="N103" i="5" s="1"/>
  <c r="H103" i="5"/>
  <c r="L103" i="5" s="1"/>
  <c r="O103" i="5" s="1"/>
  <c r="E95" i="5"/>
  <c r="F95" i="5"/>
  <c r="G95" i="5"/>
  <c r="K95" i="5" s="1"/>
  <c r="N95" i="5" s="1"/>
  <c r="P95" i="5" s="1"/>
  <c r="H95" i="5"/>
  <c r="L95" i="5" s="1"/>
  <c r="O95" i="5" s="1"/>
  <c r="E87" i="5"/>
  <c r="F87" i="5"/>
  <c r="G87" i="5"/>
  <c r="K87" i="5" s="1"/>
  <c r="N87" i="5" s="1"/>
  <c r="H87" i="5"/>
  <c r="L87" i="5" s="1"/>
  <c r="O87" i="5" s="1"/>
  <c r="E79" i="5"/>
  <c r="F79" i="5"/>
  <c r="G79" i="5"/>
  <c r="K79" i="5" s="1"/>
  <c r="N79" i="5" s="1"/>
  <c r="P79" i="5" s="1"/>
  <c r="H79" i="5"/>
  <c r="L79" i="5" s="1"/>
  <c r="O79" i="5" s="1"/>
  <c r="E71" i="5"/>
  <c r="F71" i="5"/>
  <c r="G71" i="5"/>
  <c r="K71" i="5" s="1"/>
  <c r="N71" i="5" s="1"/>
  <c r="H71" i="5"/>
  <c r="L71" i="5" s="1"/>
  <c r="O71" i="5" s="1"/>
  <c r="E63" i="5"/>
  <c r="F63" i="5"/>
  <c r="G63" i="5"/>
  <c r="K63" i="5" s="1"/>
  <c r="N63" i="5" s="1"/>
  <c r="P63" i="5" s="1"/>
  <c r="H63" i="5"/>
  <c r="L63" i="5" s="1"/>
  <c r="O63" i="5" s="1"/>
  <c r="E55" i="5"/>
  <c r="F55" i="5"/>
  <c r="G55" i="5"/>
  <c r="K55" i="5" s="1"/>
  <c r="N55" i="5" s="1"/>
  <c r="H55" i="5"/>
  <c r="L55" i="5" s="1"/>
  <c r="O55" i="5" s="1"/>
  <c r="E47" i="5"/>
  <c r="F47" i="5"/>
  <c r="G47" i="5"/>
  <c r="K47" i="5" s="1"/>
  <c r="N47" i="5" s="1"/>
  <c r="P47" i="5" s="1"/>
  <c r="H47" i="5"/>
  <c r="L47" i="5" s="1"/>
  <c r="O47" i="5" s="1"/>
  <c r="E39" i="5"/>
  <c r="F39" i="5"/>
  <c r="G39" i="5"/>
  <c r="K39" i="5" s="1"/>
  <c r="N39" i="5" s="1"/>
  <c r="H39" i="5"/>
  <c r="L39" i="5" s="1"/>
  <c r="O39" i="5" s="1"/>
  <c r="E31" i="5"/>
  <c r="F31" i="5"/>
  <c r="G31" i="5"/>
  <c r="K31" i="5" s="1"/>
  <c r="N31" i="5" s="1"/>
  <c r="P31" i="5" s="1"/>
  <c r="H31" i="5"/>
  <c r="L31" i="5" s="1"/>
  <c r="O31" i="5" s="1"/>
  <c r="E23" i="5"/>
  <c r="F23" i="5"/>
  <c r="G23" i="5"/>
  <c r="K23" i="5" s="1"/>
  <c r="N23" i="5" s="1"/>
  <c r="H23" i="5"/>
  <c r="L23" i="5" s="1"/>
  <c r="O23" i="5" s="1"/>
  <c r="E15" i="5"/>
  <c r="F15" i="5"/>
  <c r="G15" i="5"/>
  <c r="K15" i="5" s="1"/>
  <c r="N15" i="5" s="1"/>
  <c r="P15" i="5" s="1"/>
  <c r="H15" i="5"/>
  <c r="L15" i="5" s="1"/>
  <c r="O15" i="5" s="1"/>
  <c r="E7" i="5"/>
  <c r="F7" i="5"/>
  <c r="G7" i="5"/>
  <c r="K7" i="5" s="1"/>
  <c r="N7" i="5" s="1"/>
  <c r="H7" i="5"/>
  <c r="L7" i="5" s="1"/>
  <c r="O7" i="5" s="1"/>
  <c r="G449" i="5"/>
  <c r="K449" i="5" s="1"/>
  <c r="N449" i="5" s="1"/>
  <c r="P449" i="5" s="1"/>
  <c r="G441" i="5"/>
  <c r="K441" i="5" s="1"/>
  <c r="N441" i="5" s="1"/>
  <c r="P441" i="5" s="1"/>
  <c r="G433" i="5"/>
  <c r="K433" i="5" s="1"/>
  <c r="N433" i="5" s="1"/>
  <c r="P433" i="5" s="1"/>
  <c r="G425" i="5"/>
  <c r="K425" i="5" s="1"/>
  <c r="N425" i="5" s="1"/>
  <c r="P425" i="5" s="1"/>
  <c r="G417" i="5"/>
  <c r="K417" i="5" s="1"/>
  <c r="N417" i="5" s="1"/>
  <c r="P417" i="5" s="1"/>
  <c r="G409" i="5"/>
  <c r="K409" i="5" s="1"/>
  <c r="N409" i="5" s="1"/>
  <c r="P409" i="5" s="1"/>
  <c r="G401" i="5"/>
  <c r="K401" i="5" s="1"/>
  <c r="N401" i="5" s="1"/>
  <c r="G399" i="5"/>
  <c r="K399" i="5" s="1"/>
  <c r="N399" i="5" s="1"/>
  <c r="G393" i="5"/>
  <c r="K393" i="5" s="1"/>
  <c r="N393" i="5" s="1"/>
  <c r="G391" i="5"/>
  <c r="K391" i="5" s="1"/>
  <c r="N391" i="5" s="1"/>
  <c r="G385" i="5"/>
  <c r="K385" i="5" s="1"/>
  <c r="N385" i="5" s="1"/>
  <c r="P385" i="5" s="1"/>
  <c r="G383" i="5"/>
  <c r="K383" i="5" s="1"/>
  <c r="N383" i="5" s="1"/>
  <c r="P383" i="5" s="1"/>
  <c r="G377" i="5"/>
  <c r="K377" i="5" s="1"/>
  <c r="N377" i="5" s="1"/>
  <c r="P377" i="5" s="1"/>
  <c r="G375" i="5"/>
  <c r="K375" i="5" s="1"/>
  <c r="N375" i="5" s="1"/>
  <c r="P375" i="5" s="1"/>
  <c r="G369" i="5"/>
  <c r="K369" i="5" s="1"/>
  <c r="N369" i="5" s="1"/>
  <c r="P369" i="5" s="1"/>
  <c r="G367" i="5"/>
  <c r="K367" i="5" s="1"/>
  <c r="N367" i="5" s="1"/>
  <c r="G361" i="5"/>
  <c r="K361" i="5" s="1"/>
  <c r="N361" i="5" s="1"/>
  <c r="P361" i="5" s="1"/>
  <c r="G359" i="5"/>
  <c r="K359" i="5" s="1"/>
  <c r="N359" i="5" s="1"/>
  <c r="P359" i="5" s="1"/>
  <c r="G353" i="5"/>
  <c r="K353" i="5" s="1"/>
  <c r="N353" i="5" s="1"/>
  <c r="P353" i="5" s="1"/>
  <c r="G351" i="5"/>
  <c r="K351" i="5" s="1"/>
  <c r="N351" i="5" s="1"/>
  <c r="G345" i="5"/>
  <c r="K345" i="5" s="1"/>
  <c r="N345" i="5" s="1"/>
  <c r="P345" i="5" s="1"/>
  <c r="G343" i="5"/>
  <c r="K343" i="5" s="1"/>
  <c r="N343" i="5" s="1"/>
  <c r="G337" i="5"/>
  <c r="K337" i="5" s="1"/>
  <c r="N337" i="5" s="1"/>
  <c r="G335" i="5"/>
  <c r="K335" i="5" s="1"/>
  <c r="N335" i="5" s="1"/>
  <c r="G329" i="5"/>
  <c r="K329" i="5" s="1"/>
  <c r="N329" i="5" s="1"/>
  <c r="P329" i="5" s="1"/>
  <c r="G327" i="5"/>
  <c r="K327" i="5" s="1"/>
  <c r="N327" i="5" s="1"/>
  <c r="G321" i="5"/>
  <c r="K321" i="5" s="1"/>
  <c r="N321" i="5" s="1"/>
  <c r="G319" i="5"/>
  <c r="K319" i="5" s="1"/>
  <c r="N319" i="5" s="1"/>
  <c r="P319" i="5" s="1"/>
  <c r="G313" i="5"/>
  <c r="K313" i="5" s="1"/>
  <c r="N313" i="5" s="1"/>
  <c r="P313" i="5" s="1"/>
  <c r="G311" i="5"/>
  <c r="K311" i="5" s="1"/>
  <c r="N311" i="5" s="1"/>
  <c r="P311" i="5" s="1"/>
  <c r="G305" i="5"/>
  <c r="K305" i="5" s="1"/>
  <c r="N305" i="5" s="1"/>
  <c r="P305" i="5" s="1"/>
  <c r="G303" i="5"/>
  <c r="K303" i="5" s="1"/>
  <c r="N303" i="5" s="1"/>
  <c r="F297" i="5"/>
  <c r="G281" i="5"/>
  <c r="K281" i="5" s="1"/>
  <c r="N281" i="5" s="1"/>
  <c r="P281" i="5" s="1"/>
  <c r="G265" i="5"/>
  <c r="K265" i="5" s="1"/>
  <c r="N265" i="5" s="1"/>
  <c r="P265" i="5" s="1"/>
  <c r="G249" i="5"/>
  <c r="K249" i="5" s="1"/>
  <c r="N249" i="5" s="1"/>
  <c r="P249" i="5" s="1"/>
  <c r="G242" i="5"/>
  <c r="K242" i="5" s="1"/>
  <c r="N242" i="5" s="1"/>
  <c r="G234" i="5"/>
  <c r="K234" i="5" s="1"/>
  <c r="N234" i="5" s="1"/>
  <c r="G226" i="5"/>
  <c r="K226" i="5" s="1"/>
  <c r="N226" i="5" s="1"/>
  <c r="P226" i="5" s="1"/>
  <c r="G218" i="5"/>
  <c r="K218" i="5" s="1"/>
  <c r="N218" i="5" s="1"/>
  <c r="G210" i="5"/>
  <c r="K210" i="5" s="1"/>
  <c r="N210" i="5" s="1"/>
  <c r="P210" i="5" s="1"/>
  <c r="G202" i="5"/>
  <c r="K202" i="5" s="1"/>
  <c r="N202" i="5" s="1"/>
  <c r="G194" i="5"/>
  <c r="K194" i="5" s="1"/>
  <c r="N194" i="5" s="1"/>
  <c r="P194" i="5" s="1"/>
  <c r="G186" i="5"/>
  <c r="K186" i="5" s="1"/>
  <c r="N186" i="5" s="1"/>
  <c r="P186" i="5" s="1"/>
  <c r="G178" i="5"/>
  <c r="K178" i="5" s="1"/>
  <c r="N178" i="5" s="1"/>
  <c r="E169" i="5"/>
  <c r="E294" i="5"/>
  <c r="H294" i="5"/>
  <c r="L294" i="5" s="1"/>
  <c r="O294" i="5" s="1"/>
  <c r="E286" i="5"/>
  <c r="H286" i="5"/>
  <c r="L286" i="5" s="1"/>
  <c r="O286" i="5" s="1"/>
  <c r="E278" i="5"/>
  <c r="H278" i="5"/>
  <c r="L278" i="5" s="1"/>
  <c r="O278" i="5" s="1"/>
  <c r="E270" i="5"/>
  <c r="H270" i="5"/>
  <c r="L270" i="5" s="1"/>
  <c r="O270" i="5" s="1"/>
  <c r="E262" i="5"/>
  <c r="H262" i="5"/>
  <c r="L262" i="5" s="1"/>
  <c r="O262" i="5" s="1"/>
  <c r="E254" i="5"/>
  <c r="H254" i="5"/>
  <c r="L254" i="5" s="1"/>
  <c r="O254" i="5" s="1"/>
  <c r="E246" i="5"/>
  <c r="H246" i="5"/>
  <c r="L246" i="5" s="1"/>
  <c r="O246" i="5" s="1"/>
  <c r="E238" i="5"/>
  <c r="H238" i="5"/>
  <c r="L238" i="5" s="1"/>
  <c r="O238" i="5" s="1"/>
  <c r="E230" i="5"/>
  <c r="H230" i="5"/>
  <c r="L230" i="5" s="1"/>
  <c r="O230" i="5" s="1"/>
  <c r="E222" i="5"/>
  <c r="H222" i="5"/>
  <c r="L222" i="5" s="1"/>
  <c r="O222" i="5" s="1"/>
  <c r="E214" i="5"/>
  <c r="H214" i="5"/>
  <c r="L214" i="5" s="1"/>
  <c r="O214" i="5" s="1"/>
  <c r="E206" i="5"/>
  <c r="H206" i="5"/>
  <c r="L206" i="5" s="1"/>
  <c r="O206" i="5" s="1"/>
  <c r="E198" i="5"/>
  <c r="H198" i="5"/>
  <c r="L198" i="5" s="1"/>
  <c r="O198" i="5" s="1"/>
  <c r="E190" i="5"/>
  <c r="H190" i="5"/>
  <c r="L190" i="5" s="1"/>
  <c r="O190" i="5" s="1"/>
  <c r="E182" i="5"/>
  <c r="H182" i="5"/>
  <c r="L182" i="5" s="1"/>
  <c r="O182" i="5" s="1"/>
  <c r="E174" i="5"/>
  <c r="H174" i="5"/>
  <c r="L174" i="5" s="1"/>
  <c r="O174" i="5" s="1"/>
  <c r="E166" i="5"/>
  <c r="F166" i="5"/>
  <c r="G166" i="5"/>
  <c r="K166" i="5" s="1"/>
  <c r="N166" i="5" s="1"/>
  <c r="H166" i="5"/>
  <c r="L166" i="5" s="1"/>
  <c r="O166" i="5" s="1"/>
  <c r="E158" i="5"/>
  <c r="F158" i="5"/>
  <c r="G158" i="5"/>
  <c r="K158" i="5" s="1"/>
  <c r="N158" i="5" s="1"/>
  <c r="P158" i="5" s="1"/>
  <c r="H158" i="5"/>
  <c r="L158" i="5" s="1"/>
  <c r="O158" i="5" s="1"/>
  <c r="E150" i="5"/>
  <c r="F150" i="5"/>
  <c r="G150" i="5"/>
  <c r="K150" i="5" s="1"/>
  <c r="N150" i="5" s="1"/>
  <c r="H150" i="5"/>
  <c r="L150" i="5" s="1"/>
  <c r="O150" i="5" s="1"/>
  <c r="E142" i="5"/>
  <c r="F142" i="5"/>
  <c r="G142" i="5"/>
  <c r="K142" i="5" s="1"/>
  <c r="N142" i="5" s="1"/>
  <c r="P142" i="5" s="1"/>
  <c r="H142" i="5"/>
  <c r="L142" i="5" s="1"/>
  <c r="O142" i="5" s="1"/>
  <c r="E134" i="5"/>
  <c r="F134" i="5"/>
  <c r="G134" i="5"/>
  <c r="K134" i="5" s="1"/>
  <c r="N134" i="5" s="1"/>
  <c r="H134" i="5"/>
  <c r="L134" i="5" s="1"/>
  <c r="O134" i="5" s="1"/>
  <c r="E126" i="5"/>
  <c r="F126" i="5"/>
  <c r="G126" i="5"/>
  <c r="K126" i="5" s="1"/>
  <c r="N126" i="5" s="1"/>
  <c r="P126" i="5" s="1"/>
  <c r="H126" i="5"/>
  <c r="L126" i="5" s="1"/>
  <c r="O126" i="5" s="1"/>
  <c r="E118" i="5"/>
  <c r="F118" i="5"/>
  <c r="G118" i="5"/>
  <c r="K118" i="5" s="1"/>
  <c r="N118" i="5" s="1"/>
  <c r="H118" i="5"/>
  <c r="L118" i="5" s="1"/>
  <c r="O118" i="5" s="1"/>
  <c r="E110" i="5"/>
  <c r="F110" i="5"/>
  <c r="G110" i="5"/>
  <c r="K110" i="5" s="1"/>
  <c r="N110" i="5" s="1"/>
  <c r="P110" i="5" s="1"/>
  <c r="H110" i="5"/>
  <c r="L110" i="5" s="1"/>
  <c r="O110" i="5" s="1"/>
  <c r="E102" i="5"/>
  <c r="F102" i="5"/>
  <c r="G102" i="5"/>
  <c r="K102" i="5" s="1"/>
  <c r="N102" i="5" s="1"/>
  <c r="H102" i="5"/>
  <c r="L102" i="5" s="1"/>
  <c r="O102" i="5" s="1"/>
  <c r="E94" i="5"/>
  <c r="F94" i="5"/>
  <c r="G94" i="5"/>
  <c r="K94" i="5" s="1"/>
  <c r="N94" i="5" s="1"/>
  <c r="P94" i="5" s="1"/>
  <c r="H94" i="5"/>
  <c r="L94" i="5" s="1"/>
  <c r="O94" i="5" s="1"/>
  <c r="E86" i="5"/>
  <c r="F86" i="5"/>
  <c r="G86" i="5"/>
  <c r="K86" i="5" s="1"/>
  <c r="N86" i="5" s="1"/>
  <c r="H86" i="5"/>
  <c r="L86" i="5" s="1"/>
  <c r="O86" i="5" s="1"/>
  <c r="E78" i="5"/>
  <c r="F78" i="5"/>
  <c r="G78" i="5"/>
  <c r="K78" i="5" s="1"/>
  <c r="N78" i="5" s="1"/>
  <c r="P78" i="5" s="1"/>
  <c r="H78" i="5"/>
  <c r="L78" i="5" s="1"/>
  <c r="O78" i="5" s="1"/>
  <c r="E70" i="5"/>
  <c r="F70" i="5"/>
  <c r="G70" i="5"/>
  <c r="K70" i="5" s="1"/>
  <c r="N70" i="5" s="1"/>
  <c r="H70" i="5"/>
  <c r="L70" i="5" s="1"/>
  <c r="O70" i="5" s="1"/>
  <c r="E62" i="5"/>
  <c r="F62" i="5"/>
  <c r="G62" i="5"/>
  <c r="K62" i="5" s="1"/>
  <c r="N62" i="5" s="1"/>
  <c r="P62" i="5" s="1"/>
  <c r="H62" i="5"/>
  <c r="L62" i="5" s="1"/>
  <c r="O62" i="5" s="1"/>
  <c r="E54" i="5"/>
  <c r="F54" i="5"/>
  <c r="G54" i="5"/>
  <c r="K54" i="5" s="1"/>
  <c r="N54" i="5" s="1"/>
  <c r="H54" i="5"/>
  <c r="L54" i="5" s="1"/>
  <c r="O54" i="5" s="1"/>
  <c r="E46" i="5"/>
  <c r="F46" i="5"/>
  <c r="G46" i="5"/>
  <c r="K46" i="5" s="1"/>
  <c r="N46" i="5" s="1"/>
  <c r="P46" i="5" s="1"/>
  <c r="H46" i="5"/>
  <c r="L46" i="5" s="1"/>
  <c r="O46" i="5" s="1"/>
  <c r="E38" i="5"/>
  <c r="F38" i="5"/>
  <c r="G38" i="5"/>
  <c r="K38" i="5" s="1"/>
  <c r="N38" i="5" s="1"/>
  <c r="H38" i="5"/>
  <c r="L38" i="5" s="1"/>
  <c r="O38" i="5" s="1"/>
  <c r="E30" i="5"/>
  <c r="F30" i="5"/>
  <c r="G30" i="5"/>
  <c r="K30" i="5" s="1"/>
  <c r="N30" i="5" s="1"/>
  <c r="P30" i="5" s="1"/>
  <c r="H30" i="5"/>
  <c r="L30" i="5" s="1"/>
  <c r="O30" i="5" s="1"/>
  <c r="E22" i="5"/>
  <c r="F22" i="5"/>
  <c r="G22" i="5"/>
  <c r="K22" i="5" s="1"/>
  <c r="N22" i="5" s="1"/>
  <c r="H22" i="5"/>
  <c r="L22" i="5" s="1"/>
  <c r="O22" i="5" s="1"/>
  <c r="E14" i="5"/>
  <c r="F14" i="5"/>
  <c r="G14" i="5"/>
  <c r="K14" i="5" s="1"/>
  <c r="N14" i="5" s="1"/>
  <c r="P14" i="5" s="1"/>
  <c r="H14" i="5"/>
  <c r="L14" i="5" s="1"/>
  <c r="O14" i="5" s="1"/>
  <c r="E6" i="5"/>
  <c r="F6" i="5"/>
  <c r="G6" i="5"/>
  <c r="K6" i="5" s="1"/>
  <c r="N6" i="5" s="1"/>
  <c r="H6" i="5"/>
  <c r="L6" i="5" s="1"/>
  <c r="O6" i="5" s="1"/>
  <c r="F294" i="5"/>
  <c r="G287" i="5"/>
  <c r="K287" i="5" s="1"/>
  <c r="N287" i="5" s="1"/>
  <c r="P287" i="5" s="1"/>
  <c r="F281" i="5"/>
  <c r="F278" i="5"/>
  <c r="G271" i="5"/>
  <c r="K271" i="5" s="1"/>
  <c r="N271" i="5" s="1"/>
  <c r="P271" i="5" s="1"/>
  <c r="F265" i="5"/>
  <c r="F262" i="5"/>
  <c r="G255" i="5"/>
  <c r="K255" i="5" s="1"/>
  <c r="N255" i="5" s="1"/>
  <c r="F249" i="5"/>
  <c r="F246" i="5"/>
  <c r="F242" i="5"/>
  <c r="F238" i="5"/>
  <c r="F234" i="5"/>
  <c r="F230" i="5"/>
  <c r="F226" i="5"/>
  <c r="F222" i="5"/>
  <c r="F218" i="5"/>
  <c r="F214" i="5"/>
  <c r="F210" i="5"/>
  <c r="F206" i="5"/>
  <c r="F202" i="5"/>
  <c r="F198" i="5"/>
  <c r="F194" i="5"/>
  <c r="F190" i="5"/>
  <c r="F186" i="5"/>
  <c r="F182" i="5"/>
  <c r="F178" i="5"/>
  <c r="F174" i="5"/>
  <c r="H167" i="5"/>
  <c r="L167" i="5" s="1"/>
  <c r="O167" i="5" s="1"/>
  <c r="G2" i="5"/>
  <c r="K2" i="5" s="1"/>
  <c r="N2" i="5" s="1"/>
  <c r="P2" i="5" s="1"/>
  <c r="K431" i="1"/>
  <c r="K20" i="1"/>
  <c r="K333" i="1"/>
  <c r="K305" i="1"/>
  <c r="K257" i="1"/>
  <c r="K317" i="1"/>
  <c r="K313" i="1"/>
  <c r="K261" i="1"/>
  <c r="K492" i="1"/>
  <c r="K335" i="1"/>
  <c r="K307" i="1"/>
  <c r="K121" i="1"/>
  <c r="K202" i="1"/>
  <c r="K26" i="1"/>
  <c r="K341" i="1"/>
  <c r="K259" i="1"/>
  <c r="K268" i="1"/>
  <c r="K595" i="1"/>
  <c r="K463" i="1"/>
  <c r="K364" i="1"/>
  <c r="K247" i="1"/>
  <c r="K124" i="1"/>
  <c r="K80" i="1"/>
  <c r="K269" i="1"/>
  <c r="K458" i="1"/>
  <c r="K454" i="1"/>
  <c r="K414" i="1"/>
  <c r="K408" i="1"/>
  <c r="K266" i="1"/>
  <c r="K214" i="1"/>
  <c r="K172" i="1"/>
  <c r="K163" i="1"/>
  <c r="K138" i="1"/>
  <c r="K32" i="1"/>
  <c r="K610" i="1"/>
  <c r="K484" i="1"/>
  <c r="K447" i="1"/>
  <c r="K300" i="1"/>
  <c r="K248" i="1"/>
  <c r="K240" i="1"/>
  <c r="K8" i="1"/>
  <c r="K291" i="1"/>
  <c r="K285" i="1"/>
  <c r="K413" i="1"/>
  <c r="K398" i="1"/>
  <c r="K382" i="1"/>
  <c r="K342" i="1"/>
  <c r="K273" i="1"/>
  <c r="K148" i="1"/>
  <c r="K143" i="1"/>
  <c r="K114" i="1"/>
  <c r="K98" i="1"/>
  <c r="K27" i="1"/>
  <c r="K428" i="1"/>
  <c r="K400" i="1"/>
  <c r="K586" i="1"/>
  <c r="K487" i="1"/>
  <c r="K470" i="1"/>
  <c r="K337" i="1"/>
  <c r="K324" i="1"/>
  <c r="K243" i="1"/>
  <c r="K179" i="1"/>
  <c r="K169" i="1"/>
  <c r="K147" i="1"/>
  <c r="K116" i="1"/>
  <c r="K91" i="1"/>
  <c r="K82" i="1"/>
  <c r="K56" i="1"/>
  <c r="K555" i="1"/>
  <c r="K432" i="1"/>
  <c r="K377" i="1"/>
  <c r="K349" i="1"/>
  <c r="K280" i="1"/>
  <c r="K271" i="1"/>
  <c r="K201" i="1"/>
  <c r="K129" i="1"/>
  <c r="K97" i="1"/>
  <c r="K72" i="1"/>
  <c r="K42" i="1"/>
  <c r="K622" i="1"/>
  <c r="K571" i="1"/>
  <c r="K534" i="1"/>
  <c r="K486" i="1"/>
  <c r="K472" i="1"/>
  <c r="K446" i="1"/>
  <c r="K435" i="1"/>
  <c r="K407" i="1"/>
  <c r="K237" i="1"/>
  <c r="K231" i="1"/>
  <c r="K225" i="1"/>
  <c r="K204" i="1"/>
  <c r="K135" i="1"/>
  <c r="K115" i="1"/>
  <c r="K106" i="1"/>
  <c r="K81" i="1"/>
  <c r="K74" i="1"/>
  <c r="K635" i="1"/>
  <c r="K580" i="1"/>
  <c r="K634" i="1"/>
  <c r="K522" i="1"/>
  <c r="K512" i="1"/>
  <c r="K506" i="1"/>
  <c r="K502" i="1"/>
  <c r="K482" i="1"/>
  <c r="K478" i="1"/>
  <c r="K279" i="1"/>
  <c r="K236" i="1"/>
  <c r="K196" i="1"/>
  <c r="K162" i="1"/>
  <c r="K155" i="1"/>
  <c r="K152" i="1"/>
  <c r="K140" i="1"/>
  <c r="K608" i="1"/>
  <c r="K464" i="1"/>
  <c r="K455" i="1"/>
  <c r="K415" i="1"/>
  <c r="K395" i="1"/>
  <c r="K332" i="1"/>
  <c r="K249" i="1"/>
  <c r="K206" i="1"/>
  <c r="K31" i="1"/>
  <c r="K587" i="1"/>
  <c r="K563" i="1"/>
  <c r="K553" i="1"/>
  <c r="K546" i="1"/>
  <c r="K542" i="1"/>
  <c r="K524" i="1"/>
  <c r="K518" i="1"/>
  <c r="K514" i="1"/>
  <c r="K488" i="1"/>
  <c r="K474" i="1"/>
  <c r="K424" i="1"/>
  <c r="K359" i="1"/>
  <c r="K186" i="1"/>
  <c r="K180" i="1"/>
  <c r="K170" i="1"/>
  <c r="K154" i="1"/>
  <c r="K139" i="1"/>
  <c r="K136" i="1"/>
  <c r="K558" i="1"/>
  <c r="K548" i="1"/>
  <c r="K544" i="1"/>
  <c r="K538" i="1"/>
  <c r="K526" i="1"/>
  <c r="K503" i="1"/>
  <c r="K496" i="1"/>
  <c r="K490" i="1"/>
  <c r="K479" i="1"/>
  <c r="K430" i="1"/>
  <c r="K392" i="1"/>
  <c r="K366" i="1"/>
  <c r="K356" i="1"/>
  <c r="K351" i="1"/>
  <c r="K339" i="1"/>
  <c r="K311" i="1"/>
  <c r="K296" i="1"/>
  <c r="K263" i="1"/>
  <c r="K245" i="1"/>
  <c r="K220" i="1"/>
  <c r="K195" i="1"/>
  <c r="K146" i="1"/>
  <c r="K253" i="1"/>
  <c r="K137" i="1"/>
  <c r="K131" i="1"/>
  <c r="K49" i="1"/>
  <c r="K46" i="1"/>
  <c r="K40" i="1"/>
  <c r="K16" i="1"/>
  <c r="K614" i="1"/>
  <c r="K602" i="1"/>
  <c r="K596" i="1"/>
  <c r="K591" i="1"/>
  <c r="K531" i="1"/>
  <c r="K468" i="1"/>
  <c r="K442" i="1"/>
  <c r="K438" i="1"/>
  <c r="K388" i="1"/>
  <c r="K347" i="1"/>
  <c r="K325" i="1"/>
  <c r="K319" i="1"/>
  <c r="K284" i="1"/>
  <c r="K239" i="1"/>
  <c r="K233" i="1"/>
  <c r="K222" i="1"/>
  <c r="K216" i="1"/>
  <c r="K200" i="1"/>
  <c r="K185" i="1"/>
  <c r="K176" i="1"/>
  <c r="K164" i="1"/>
  <c r="K145" i="1"/>
  <c r="K112" i="1"/>
  <c r="K99" i="1"/>
  <c r="K88" i="1"/>
  <c r="K71" i="1"/>
  <c r="K58" i="1"/>
  <c r="K48" i="1"/>
  <c r="K18" i="1"/>
  <c r="K578" i="1"/>
  <c r="K550" i="1"/>
  <c r="K536" i="1"/>
  <c r="K501" i="1"/>
  <c r="K498" i="1"/>
  <c r="K481" i="1"/>
  <c r="K471" i="1"/>
  <c r="K445" i="1"/>
  <c r="K410" i="1"/>
  <c r="K371" i="1"/>
  <c r="K331" i="1"/>
  <c r="K301" i="1"/>
  <c r="K272" i="1"/>
  <c r="K267" i="1"/>
  <c r="K255" i="1"/>
  <c r="K244" i="1"/>
  <c r="K227" i="1"/>
  <c r="K210" i="1"/>
  <c r="K123" i="1"/>
  <c r="K96" i="1"/>
  <c r="K360" i="1"/>
  <c r="K295" i="1"/>
  <c r="K277" i="1"/>
  <c r="K274" i="1"/>
  <c r="K252" i="1"/>
  <c r="K218" i="1"/>
  <c r="K193" i="1"/>
  <c r="K187" i="1"/>
  <c r="K178" i="1"/>
  <c r="K105" i="1"/>
  <c r="K17" i="1"/>
  <c r="K628" i="1"/>
  <c r="K566" i="1"/>
  <c r="K494" i="1"/>
  <c r="K480" i="1"/>
  <c r="K440" i="1"/>
  <c r="K409" i="1"/>
  <c r="K383" i="1"/>
  <c r="K340" i="1"/>
  <c r="K264" i="1"/>
  <c r="K232" i="1"/>
  <c r="K226" i="1"/>
  <c r="K177" i="1"/>
  <c r="K160" i="1"/>
  <c r="K156" i="1"/>
  <c r="K132" i="1"/>
  <c r="K120" i="1"/>
  <c r="K113" i="1"/>
  <c r="K95" i="1"/>
  <c r="K50" i="1"/>
  <c r="K14" i="1"/>
  <c r="K612" i="1"/>
  <c r="K607" i="1"/>
  <c r="K444" i="1"/>
  <c r="K627" i="1"/>
  <c r="K411" i="1"/>
  <c r="K439" i="1"/>
  <c r="K389" i="1"/>
  <c r="K543" i="1"/>
  <c r="K475" i="1"/>
  <c r="K365" i="1"/>
  <c r="K516" i="1"/>
  <c r="K423" i="1"/>
  <c r="K385" i="1"/>
  <c r="K619" i="1"/>
  <c r="K437" i="1"/>
  <c r="K367" i="1"/>
  <c r="K508" i="1"/>
  <c r="K500" i="1"/>
  <c r="K467" i="1"/>
  <c r="K462" i="1"/>
  <c r="K452" i="1"/>
  <c r="K402" i="1"/>
  <c r="K361" i="1"/>
  <c r="K308" i="1"/>
  <c r="K302" i="1"/>
  <c r="K258" i="1"/>
  <c r="K209" i="1"/>
  <c r="K153" i="1"/>
  <c r="K23" i="1"/>
  <c r="K6" i="1"/>
  <c r="K624" i="1"/>
  <c r="K539" i="1"/>
  <c r="K639" i="1"/>
  <c r="K427" i="1"/>
  <c r="K412" i="1"/>
  <c r="K399" i="1"/>
  <c r="K397" i="1"/>
  <c r="K336" i="1"/>
  <c r="K316" i="1"/>
  <c r="K590" i="1"/>
  <c r="K575" i="1"/>
  <c r="K636" i="1"/>
  <c r="K631" i="1"/>
  <c r="K626" i="1"/>
  <c r="K600" i="1"/>
  <c r="K582" i="1"/>
  <c r="K572" i="1"/>
  <c r="K564" i="1"/>
  <c r="K559" i="1"/>
  <c r="K515" i="1"/>
  <c r="K510" i="1"/>
  <c r="K504" i="1"/>
  <c r="K466" i="1"/>
  <c r="K456" i="1"/>
  <c r="K448" i="1"/>
  <c r="K436" i="1"/>
  <c r="K416" i="1"/>
  <c r="K406" i="1"/>
  <c r="K404" i="1"/>
  <c r="K394" i="1"/>
  <c r="K379" i="1"/>
  <c r="K376" i="1"/>
  <c r="K373" i="1"/>
  <c r="K344" i="1"/>
  <c r="K310" i="1"/>
  <c r="K144" i="1"/>
  <c r="K405" i="1"/>
  <c r="K611" i="1"/>
  <c r="K583" i="1"/>
  <c r="K618" i="1"/>
  <c r="K491" i="1"/>
  <c r="K623" i="1"/>
  <c r="K551" i="1"/>
  <c r="K520" i="1"/>
  <c r="K507" i="1"/>
  <c r="K499" i="1"/>
  <c r="K476" i="1"/>
  <c r="K451" i="1"/>
  <c r="K401" i="1"/>
  <c r="K391" i="1"/>
  <c r="K381" i="1"/>
  <c r="K352" i="1"/>
  <c r="K321" i="1"/>
  <c r="K211" i="1"/>
  <c r="K64" i="1"/>
  <c r="K606" i="1"/>
  <c r="K554" i="1"/>
  <c r="K616" i="1"/>
  <c r="K567" i="1"/>
  <c r="K638" i="1"/>
  <c r="K630" i="1"/>
  <c r="K615" i="1"/>
  <c r="K579" i="1"/>
  <c r="K574" i="1"/>
  <c r="K535" i="1"/>
  <c r="K530" i="1"/>
  <c r="K483" i="1"/>
  <c r="K450" i="1"/>
  <c r="K443" i="1"/>
  <c r="K418" i="1"/>
  <c r="K378" i="1"/>
  <c r="K372" i="1"/>
  <c r="K370" i="1"/>
  <c r="K357" i="1"/>
  <c r="K329" i="1"/>
  <c r="K320" i="1"/>
  <c r="K303" i="1"/>
  <c r="K292" i="1"/>
  <c r="K256" i="1"/>
  <c r="K104" i="1"/>
  <c r="K66" i="1"/>
  <c r="K57" i="1"/>
  <c r="K511" i="1"/>
  <c r="K477" i="1"/>
  <c r="K570" i="1"/>
  <c r="K495" i="1"/>
  <c r="K640" i="1"/>
  <c r="K584" i="1"/>
  <c r="K576" i="1"/>
  <c r="K568" i="1"/>
  <c r="K540" i="1"/>
  <c r="K532" i="1"/>
  <c r="K527" i="1"/>
  <c r="K396" i="1"/>
  <c r="K393" i="1"/>
  <c r="K390" i="1"/>
  <c r="K375" i="1"/>
  <c r="K265" i="1"/>
  <c r="K24" i="1"/>
  <c r="K547" i="1"/>
  <c r="K521" i="1"/>
  <c r="K369" i="1"/>
  <c r="K598" i="1"/>
  <c r="K552" i="1"/>
  <c r="K523" i="1"/>
  <c r="K603" i="1"/>
  <c r="K562" i="1"/>
  <c r="K632" i="1"/>
  <c r="K604" i="1"/>
  <c r="K599" i="1"/>
  <c r="K594" i="1"/>
  <c r="K519" i="1"/>
  <c r="K422" i="1"/>
  <c r="K420" i="1"/>
  <c r="K374" i="1"/>
  <c r="K203" i="1"/>
  <c r="K59" i="1"/>
  <c r="K299" i="1"/>
  <c r="K251" i="1"/>
  <c r="K229" i="1"/>
  <c r="K75" i="1"/>
  <c r="K281" i="1"/>
  <c r="K260" i="1"/>
  <c r="K199" i="1"/>
  <c r="K168" i="1"/>
  <c r="K166" i="1"/>
  <c r="K89" i="1"/>
  <c r="K73" i="1"/>
  <c r="K62" i="1"/>
  <c r="K55" i="1"/>
  <c r="K38" i="1"/>
  <c r="K34" i="1"/>
  <c r="K13" i="1"/>
  <c r="K283" i="1"/>
  <c r="K278" i="1"/>
  <c r="K275" i="1"/>
  <c r="K262" i="1"/>
  <c r="K224" i="1"/>
  <c r="K217" i="1"/>
  <c r="K175" i="1"/>
  <c r="K130" i="1"/>
  <c r="K128" i="1"/>
  <c r="K122" i="1"/>
  <c r="K111" i="1"/>
  <c r="K87" i="1"/>
  <c r="K84" i="1"/>
  <c r="K78" i="1"/>
  <c r="K52" i="1"/>
  <c r="K45" i="1"/>
  <c r="K30" i="1"/>
  <c r="K384" i="1"/>
  <c r="K380" i="1"/>
  <c r="K323" i="1"/>
  <c r="K315" i="1"/>
  <c r="K293" i="1"/>
  <c r="K191" i="1"/>
  <c r="K188" i="1"/>
  <c r="K141" i="1"/>
  <c r="K100" i="1"/>
  <c r="K94" i="1"/>
  <c r="K83" i="1"/>
  <c r="K171" i="1"/>
  <c r="K107" i="1"/>
  <c r="K67" i="1"/>
  <c r="K65" i="1"/>
  <c r="K22" i="1"/>
  <c r="K345" i="1"/>
  <c r="K343" i="1"/>
  <c r="K327" i="1"/>
  <c r="K312" i="1"/>
  <c r="K287" i="1"/>
  <c r="K235" i="1"/>
  <c r="K212" i="1"/>
  <c r="K174" i="1"/>
  <c r="K127" i="1"/>
  <c r="K54" i="1"/>
  <c r="K386" i="1"/>
  <c r="K368" i="1"/>
  <c r="K363" i="1"/>
  <c r="K348" i="1"/>
  <c r="K309" i="1"/>
  <c r="K297" i="1"/>
  <c r="K110" i="1"/>
  <c r="K93" i="1"/>
  <c r="K70" i="1"/>
  <c r="K10" i="1"/>
  <c r="K460" i="1"/>
  <c r="K588" i="1"/>
  <c r="K560" i="1"/>
  <c r="K556" i="1"/>
  <c r="K528" i="1"/>
  <c r="K620" i="1"/>
  <c r="K592" i="1"/>
  <c r="K541" i="1"/>
  <c r="K441" i="1"/>
  <c r="K569" i="1"/>
  <c r="K537" i="1"/>
  <c r="K449" i="1"/>
  <c r="K426" i="1"/>
  <c r="K289" i="1"/>
  <c r="K276" i="1"/>
  <c r="K192" i="1"/>
  <c r="K637" i="1"/>
  <c r="K633" i="1"/>
  <c r="K601" i="1"/>
  <c r="K629" i="1"/>
  <c r="K597" i="1"/>
  <c r="K565" i="1"/>
  <c r="K533" i="1"/>
  <c r="K457" i="1"/>
  <c r="K453" i="1"/>
  <c r="K417" i="1"/>
  <c r="K353" i="1"/>
  <c r="K328" i="1"/>
  <c r="K605" i="1"/>
  <c r="K561" i="1"/>
  <c r="K529" i="1"/>
  <c r="K465" i="1"/>
  <c r="K461" i="1"/>
  <c r="K459" i="1"/>
  <c r="K434" i="1"/>
  <c r="K625" i="1"/>
  <c r="K593" i="1"/>
  <c r="K2" i="1"/>
  <c r="K621" i="1"/>
  <c r="K589" i="1"/>
  <c r="K557" i="1"/>
  <c r="K525" i="1"/>
  <c r="K473" i="1"/>
  <c r="K469" i="1"/>
  <c r="K425" i="1"/>
  <c r="K421" i="1"/>
  <c r="K419" i="1"/>
  <c r="K403" i="1"/>
  <c r="K387" i="1"/>
  <c r="K355" i="1"/>
  <c r="K288" i="1"/>
  <c r="K241" i="1"/>
  <c r="K228" i="1"/>
  <c r="K505" i="1"/>
  <c r="K617" i="1"/>
  <c r="K585" i="1"/>
  <c r="K613" i="1"/>
  <c r="K581" i="1"/>
  <c r="K549" i="1"/>
  <c r="K517" i="1"/>
  <c r="K489" i="1"/>
  <c r="K485" i="1"/>
  <c r="K433" i="1"/>
  <c r="K429" i="1"/>
  <c r="K304" i="1"/>
  <c r="K573" i="1"/>
  <c r="K509" i="1"/>
  <c r="K641" i="1"/>
  <c r="K609" i="1"/>
  <c r="K577" i="1"/>
  <c r="K545" i="1"/>
  <c r="K513" i="1"/>
  <c r="K497" i="1"/>
  <c r="K493" i="1"/>
  <c r="K334" i="1"/>
  <c r="K230" i="1"/>
  <c r="K338" i="1"/>
  <c r="K306" i="1"/>
  <c r="K270" i="1"/>
  <c r="K194" i="1"/>
  <c r="K362" i="1"/>
  <c r="K330" i="1"/>
  <c r="K298" i="1"/>
  <c r="K286" i="1"/>
  <c r="K282" i="1"/>
  <c r="K234" i="1"/>
  <c r="K219" i="1"/>
  <c r="K159" i="1"/>
  <c r="K149" i="1"/>
  <c r="K103" i="1"/>
  <c r="K68" i="1"/>
  <c r="K358" i="1"/>
  <c r="K326" i="1"/>
  <c r="K294" i="1"/>
  <c r="K290" i="1"/>
  <c r="K238" i="1"/>
  <c r="K223" i="1"/>
  <c r="K221" i="1"/>
  <c r="K184" i="1"/>
  <c r="K161" i="1"/>
  <c r="K354" i="1"/>
  <c r="K322" i="1"/>
  <c r="K242" i="1"/>
  <c r="K208" i="1"/>
  <c r="K90" i="1"/>
  <c r="K350" i="1"/>
  <c r="K318" i="1"/>
  <c r="K246" i="1"/>
  <c r="K346" i="1"/>
  <c r="K314" i="1"/>
  <c r="K254" i="1"/>
  <c r="K250" i="1"/>
  <c r="K182" i="1"/>
  <c r="K157" i="1"/>
  <c r="K151" i="1"/>
  <c r="K118" i="1"/>
  <c r="K101" i="1"/>
  <c r="K92" i="1"/>
  <c r="K47" i="1"/>
  <c r="K15" i="1"/>
  <c r="K190" i="1"/>
  <c r="K165" i="1"/>
  <c r="K126" i="1"/>
  <c r="K86" i="1"/>
  <c r="K77" i="1"/>
  <c r="K61" i="1"/>
  <c r="K51" i="1"/>
  <c r="K44" i="1"/>
  <c r="K41" i="1"/>
  <c r="K37" i="1"/>
  <c r="K19" i="1"/>
  <c r="K12" i="1"/>
  <c r="K9" i="1"/>
  <c r="K5" i="1"/>
  <c r="K215" i="1"/>
  <c r="K213" i="1"/>
  <c r="K198" i="1"/>
  <c r="K173" i="1"/>
  <c r="K167" i="1"/>
  <c r="K134" i="1"/>
  <c r="K109" i="1"/>
  <c r="K79" i="1"/>
  <c r="K63" i="1"/>
  <c r="K39" i="1"/>
  <c r="K7" i="1"/>
  <c r="K181" i="1"/>
  <c r="K142" i="1"/>
  <c r="K117" i="1"/>
  <c r="K76" i="1"/>
  <c r="K60" i="1"/>
  <c r="K43" i="1"/>
  <c r="K36" i="1"/>
  <c r="K33" i="1"/>
  <c r="K29" i="1"/>
  <c r="K11" i="1"/>
  <c r="K4" i="1"/>
  <c r="K207" i="1"/>
  <c r="K205" i="1"/>
  <c r="K189" i="1"/>
  <c r="K183" i="1"/>
  <c r="K150" i="1"/>
  <c r="K125" i="1"/>
  <c r="K119" i="1"/>
  <c r="K108" i="1"/>
  <c r="K85" i="1"/>
  <c r="K197" i="1"/>
  <c r="K158" i="1"/>
  <c r="K133" i="1"/>
  <c r="K102" i="1"/>
  <c r="K69" i="1"/>
  <c r="K53" i="1"/>
  <c r="K35" i="1"/>
  <c r="K28" i="1"/>
  <c r="K25" i="1"/>
  <c r="K21" i="1"/>
  <c r="K3" i="1"/>
  <c r="P255" i="5" l="1"/>
  <c r="P202" i="5"/>
  <c r="P327" i="5"/>
  <c r="P391" i="5"/>
  <c r="P223" i="5"/>
  <c r="P161" i="5"/>
  <c r="P420" i="5"/>
  <c r="P16" i="5"/>
  <c r="P32" i="5"/>
  <c r="P48" i="5"/>
  <c r="P64" i="5"/>
  <c r="P80" i="5"/>
  <c r="P96" i="5"/>
  <c r="P112" i="5"/>
  <c r="P128" i="5"/>
  <c r="P144" i="5"/>
  <c r="P160" i="5"/>
  <c r="P347" i="5"/>
  <c r="P253" i="5"/>
  <c r="P349" i="5"/>
  <c r="P29" i="5"/>
  <c r="P117" i="5"/>
  <c r="P149" i="5"/>
  <c r="P430" i="5"/>
  <c r="P201" i="5"/>
  <c r="P394" i="5"/>
  <c r="P426" i="5"/>
  <c r="P233" i="5"/>
  <c r="P384" i="5"/>
  <c r="P163" i="5"/>
  <c r="P342" i="5"/>
  <c r="P393" i="5"/>
  <c r="P419" i="5"/>
  <c r="P77" i="5"/>
  <c r="P241" i="5"/>
  <c r="P33" i="5"/>
  <c r="P174" i="5"/>
  <c r="P206" i="5"/>
  <c r="P238" i="5"/>
  <c r="P232" i="5"/>
  <c r="P344" i="5"/>
  <c r="P218" i="5"/>
  <c r="P303" i="5"/>
  <c r="P335" i="5"/>
  <c r="P367" i="5"/>
  <c r="P399" i="5"/>
  <c r="P105" i="5"/>
  <c r="P175" i="5"/>
  <c r="P239" i="5"/>
  <c r="P282" i="5"/>
  <c r="P428" i="5"/>
  <c r="P350" i="5"/>
  <c r="P432" i="5"/>
  <c r="P173" i="5"/>
  <c r="P308" i="5"/>
  <c r="P187" i="5"/>
  <c r="P203" i="5"/>
  <c r="P219" i="5"/>
  <c r="P235" i="5"/>
  <c r="P275" i="5"/>
  <c r="P414" i="5"/>
  <c r="P423" i="5"/>
  <c r="P280" i="5"/>
  <c r="P293" i="5"/>
  <c r="P346" i="5"/>
  <c r="P400" i="5"/>
  <c r="P228" i="5"/>
  <c r="P354" i="5"/>
  <c r="P118" i="5"/>
  <c r="P231" i="5"/>
  <c r="P18" i="5"/>
  <c r="P34" i="5"/>
  <c r="P50" i="5"/>
  <c r="P66" i="5"/>
  <c r="P82" i="5"/>
  <c r="P98" i="5"/>
  <c r="P114" i="5"/>
  <c r="P130" i="5"/>
  <c r="P146" i="5"/>
  <c r="P162" i="5"/>
  <c r="P331" i="5"/>
  <c r="P395" i="5"/>
  <c r="P21" i="5"/>
  <c r="P53" i="5"/>
  <c r="P85" i="5"/>
  <c r="P325" i="5"/>
  <c r="P197" i="5"/>
  <c r="P12" i="5"/>
  <c r="P28" i="5"/>
  <c r="P44" i="5"/>
  <c r="P60" i="5"/>
  <c r="P76" i="5"/>
  <c r="P92" i="5"/>
  <c r="P108" i="5"/>
  <c r="P124" i="5"/>
  <c r="P140" i="5"/>
  <c r="P156" i="5"/>
  <c r="P373" i="5"/>
  <c r="P438" i="5"/>
  <c r="P209" i="5"/>
  <c r="P446" i="5"/>
  <c r="P356" i="5"/>
  <c r="P6" i="5"/>
  <c r="P102" i="5"/>
  <c r="P307" i="5"/>
  <c r="P301" i="5"/>
  <c r="P421" i="5"/>
  <c r="P401" i="5"/>
  <c r="P7" i="5"/>
  <c r="P23" i="5"/>
  <c r="P39" i="5"/>
  <c r="P55" i="5"/>
  <c r="P71" i="5"/>
  <c r="P87" i="5"/>
  <c r="P103" i="5"/>
  <c r="P119" i="5"/>
  <c r="P135" i="5"/>
  <c r="P121" i="5"/>
  <c r="P183" i="5"/>
  <c r="P169" i="5"/>
  <c r="P3" i="5"/>
  <c r="P19" i="5"/>
  <c r="P35" i="5"/>
  <c r="P51" i="5"/>
  <c r="P67" i="5"/>
  <c r="P83" i="5"/>
  <c r="P99" i="5"/>
  <c r="P115" i="5"/>
  <c r="P131" i="5"/>
  <c r="P171" i="5"/>
  <c r="P355" i="5"/>
  <c r="P157" i="5"/>
  <c r="P365" i="5"/>
  <c r="P413" i="5"/>
  <c r="P45" i="5"/>
  <c r="P437" i="5"/>
  <c r="P270" i="5"/>
  <c r="P398" i="5"/>
  <c r="P180" i="5"/>
  <c r="P182" i="5"/>
  <c r="P214" i="5"/>
  <c r="P246" i="5"/>
  <c r="P278" i="5"/>
  <c r="P244" i="5"/>
  <c r="P184" i="5"/>
  <c r="P240" i="5"/>
  <c r="P368" i="5"/>
  <c r="P70" i="5"/>
  <c r="P150" i="5"/>
  <c r="P397" i="5"/>
  <c r="P217" i="5"/>
  <c r="P145" i="5"/>
  <c r="P337" i="5"/>
  <c r="P234" i="5"/>
  <c r="P343" i="5"/>
  <c r="P9" i="5"/>
  <c r="P137" i="5"/>
  <c r="P191" i="5"/>
  <c r="P250" i="5"/>
  <c r="P404" i="5"/>
  <c r="P436" i="5"/>
  <c r="P8" i="5"/>
  <c r="P24" i="5"/>
  <c r="P40" i="5"/>
  <c r="P56" i="5"/>
  <c r="P72" i="5"/>
  <c r="P88" i="5"/>
  <c r="P104" i="5"/>
  <c r="P120" i="5"/>
  <c r="P136" i="5"/>
  <c r="P152" i="5"/>
  <c r="P168" i="5"/>
  <c r="P256" i="5"/>
  <c r="P315" i="5"/>
  <c r="P379" i="5"/>
  <c r="P269" i="5"/>
  <c r="P309" i="5"/>
  <c r="P93" i="5"/>
  <c r="P133" i="5"/>
  <c r="P333" i="5"/>
  <c r="P322" i="5"/>
  <c r="P290" i="5"/>
  <c r="P402" i="5"/>
  <c r="P334" i="5"/>
  <c r="P258" i="5"/>
  <c r="P388" i="5"/>
  <c r="P267" i="5"/>
  <c r="P38" i="5"/>
  <c r="P134" i="5"/>
  <c r="P371" i="5"/>
  <c r="P189" i="5"/>
  <c r="P176" i="5"/>
  <c r="P178" i="5"/>
  <c r="P242" i="5"/>
  <c r="P25" i="5"/>
  <c r="P199" i="5"/>
  <c r="P295" i="5"/>
  <c r="P224" i="5"/>
  <c r="P408" i="5"/>
  <c r="P440" i="5"/>
  <c r="P296" i="5"/>
  <c r="P259" i="5"/>
  <c r="P429" i="5"/>
  <c r="P13" i="5"/>
  <c r="P366" i="5"/>
  <c r="P273" i="5"/>
  <c r="P434" i="5"/>
  <c r="P185" i="5"/>
  <c r="P225" i="5"/>
  <c r="P274" i="5"/>
  <c r="P190" i="5"/>
  <c r="P222" i="5"/>
  <c r="P208" i="5"/>
  <c r="P264" i="5"/>
  <c r="P320" i="5"/>
  <c r="P22" i="5"/>
  <c r="P86" i="5"/>
  <c r="P188" i="5"/>
  <c r="P200" i="5"/>
  <c r="P304" i="5"/>
  <c r="P351" i="5"/>
  <c r="P41" i="5"/>
  <c r="P207" i="5"/>
  <c r="P10" i="5"/>
  <c r="P26" i="5"/>
  <c r="P42" i="5"/>
  <c r="P58" i="5"/>
  <c r="P74" i="5"/>
  <c r="P90" i="5"/>
  <c r="P106" i="5"/>
  <c r="P122" i="5"/>
  <c r="P138" i="5"/>
  <c r="P154" i="5"/>
  <c r="P170" i="5"/>
  <c r="P340" i="5"/>
  <c r="P412" i="5"/>
  <c r="P444" i="5"/>
  <c r="P431" i="5"/>
  <c r="P396" i="5"/>
  <c r="P299" i="5"/>
  <c r="P363" i="5"/>
  <c r="P5" i="5"/>
  <c r="P37" i="5"/>
  <c r="P69" i="5"/>
  <c r="P101" i="5"/>
  <c r="P381" i="5"/>
  <c r="P4" i="5"/>
  <c r="P20" i="5"/>
  <c r="P36" i="5"/>
  <c r="P52" i="5"/>
  <c r="P68" i="5"/>
  <c r="P84" i="5"/>
  <c r="P100" i="5"/>
  <c r="P116" i="5"/>
  <c r="P132" i="5"/>
  <c r="P148" i="5"/>
  <c r="P164" i="5"/>
  <c r="P268" i="5"/>
  <c r="P61" i="5"/>
  <c r="P306" i="5"/>
  <c r="P418" i="5"/>
  <c r="P386" i="5"/>
  <c r="P374" i="5"/>
  <c r="P286" i="5"/>
  <c r="P155" i="5"/>
  <c r="P283" i="5"/>
  <c r="P212" i="5"/>
  <c r="P54" i="5"/>
  <c r="P166" i="5"/>
  <c r="P321" i="5"/>
  <c r="P416" i="5"/>
  <c r="P448" i="5"/>
  <c r="P179" i="5"/>
  <c r="P195" i="5"/>
  <c r="P211" i="5"/>
  <c r="P227" i="5"/>
  <c r="P243" i="5"/>
  <c r="P443" i="5"/>
  <c r="P141" i="5"/>
  <c r="P445" i="5"/>
  <c r="P252" i="5"/>
  <c r="P405" i="5"/>
  <c r="P254" i="5"/>
  <c r="P297" i="5"/>
  <c r="P17" i="5"/>
  <c r="P193" i="5"/>
  <c r="P165" i="5"/>
  <c r="P221" i="5"/>
  <c r="P198" i="5"/>
  <c r="P230" i="5"/>
  <c r="P262" i="5"/>
  <c r="P294" i="5"/>
  <c r="P216" i="5"/>
  <c r="P328" i="5"/>
</calcChain>
</file>

<file path=xl/sharedStrings.xml><?xml version="1.0" encoding="utf-8"?>
<sst xmlns="http://schemas.openxmlformats.org/spreadsheetml/2006/main" count="1663" uniqueCount="1248">
  <si>
    <t>00000000000011010010111110001100</t>
  </si>
  <si>
    <t>00000000000011010011001001111000</t>
  </si>
  <si>
    <t>00000000000010100011000111000100</t>
  </si>
  <si>
    <t>00000000000011100010110110011000</t>
  </si>
  <si>
    <t>00000000000000100010110101111000</t>
  </si>
  <si>
    <t>00000000000011100010111011111100</t>
  </si>
  <si>
    <t>00000000000000100010110101010100</t>
  </si>
  <si>
    <t>00000000000000100010110101011000</t>
  </si>
  <si>
    <t>00000000000000100010110101101100</t>
  </si>
  <si>
    <t>00000000000000110011001011110000</t>
  </si>
  <si>
    <t>00000000000010100011001011011000</t>
  </si>
  <si>
    <t>00000000000010010011000111110000</t>
  </si>
  <si>
    <t>00000000000011110011000111100000</t>
  </si>
  <si>
    <t>00000000000010110010110100100100</t>
  </si>
  <si>
    <t>00000000000011100010111010001100</t>
  </si>
  <si>
    <t>00000000000011000010110110010100</t>
  </si>
  <si>
    <t>00000000000011100010110100001100</t>
  </si>
  <si>
    <t>00000000000000100010110101101000</t>
  </si>
  <si>
    <t>00000000000000100010110101110000</t>
  </si>
  <si>
    <t>00000000000000100010110101010000</t>
  </si>
  <si>
    <t>00000000000000010010110110101000</t>
  </si>
  <si>
    <t>00000000000010010010110111100100</t>
  </si>
  <si>
    <t>00000000000011110010110111100100</t>
  </si>
  <si>
    <t>00000000000010110010110101101000</t>
  </si>
  <si>
    <t>00000000000010100010111001101000</t>
  </si>
  <si>
    <t>00000000000000010010110111010000</t>
  </si>
  <si>
    <t>00000000000011100010110111100100</t>
  </si>
  <si>
    <t>00000000000011000010110110101000</t>
  </si>
  <si>
    <t>00000000000011010010110110001000</t>
  </si>
  <si>
    <t>00000000000000010010110111010100</t>
  </si>
  <si>
    <t>00000000000011010010110110001100</t>
  </si>
  <si>
    <t>00000000000000110011001100000000</t>
  </si>
  <si>
    <t>00000000000010100011001100000000</t>
  </si>
  <si>
    <t>01010110101001000000011001010110</t>
  </si>
  <si>
    <t>00001110000001100110001001111110</t>
  </si>
  <si>
    <t>00000000000010100010111000000000</t>
  </si>
  <si>
    <t>00000000000000000000000000011000</t>
  </si>
  <si>
    <t>00000000000000000010110111010000</t>
  </si>
  <si>
    <t>00010001111100100000100000000110</t>
  </si>
  <si>
    <t>01010110000101000000011001010110</t>
  </si>
  <si>
    <t>01010110000111000000011001010110</t>
  </si>
  <si>
    <t>01010111001011000000011001010110</t>
  </si>
  <si>
    <t>01010110001101000000011001010110</t>
  </si>
  <si>
    <t>01010110001111000000011001010110</t>
  </si>
  <si>
    <t>01010110010001000000011001010110</t>
  </si>
  <si>
    <t>01010110010011000000011001010110</t>
  </si>
  <si>
    <t>00101000000011000000010000000110</t>
  </si>
  <si>
    <t>00010000011001000000100000000110</t>
  </si>
  <si>
    <t>00010000011101010000100000000110</t>
  </si>
  <si>
    <t>00010000011011000000100000000110</t>
  </si>
  <si>
    <t>00001110000001100111101001111110</t>
  </si>
  <si>
    <t>00001110000001100010101001111110</t>
  </si>
  <si>
    <t>00001110000001100110101001111110</t>
  </si>
  <si>
    <t>00000001000000000000000000000000</t>
  </si>
  <si>
    <t>00000000100000000000000000000000</t>
  </si>
  <si>
    <t>00000000000000010000000000000000</t>
  </si>
  <si>
    <t>00000000000000001000000000000000</t>
  </si>
  <si>
    <t>10000000000000000000000000000100</t>
  </si>
  <si>
    <t>01111110011111100111111001111110</t>
  </si>
  <si>
    <t>01111111111111111111111111111100</t>
  </si>
  <si>
    <t>00000000010000000000000000000000</t>
  </si>
  <si>
    <t>00000000000000010010110110010100</t>
  </si>
  <si>
    <t>00000000000011110011000111111100</t>
  </si>
  <si>
    <t>00000000000010110010111000100100</t>
  </si>
  <si>
    <t>00000000000011110011001010011100</t>
  </si>
  <si>
    <t>00000000000010110010111000011100</t>
  </si>
  <si>
    <t>00000000000000010010111111000100</t>
  </si>
  <si>
    <t>00000000000010100010111000101000</t>
  </si>
  <si>
    <t>00000000000000010010110111110000</t>
  </si>
  <si>
    <t>00000000000010100010111111100000</t>
  </si>
  <si>
    <t>00000000000000010010111001111000</t>
  </si>
  <si>
    <t>00000000000000100010111000111000</t>
  </si>
  <si>
    <t>00000000000000100010111001000000</t>
  </si>
  <si>
    <t>00000000000010010010110111110100</t>
  </si>
  <si>
    <t>00000000000011010010110111010000</t>
  </si>
  <si>
    <t>00000000000000010010111000111000</t>
  </si>
  <si>
    <t>00000000000011000010111000111000</t>
  </si>
  <si>
    <t>00000000000011110010110101100100</t>
  </si>
  <si>
    <t>00000000000010110010111000111000</t>
  </si>
  <si>
    <t>00000000000010100010111010001000</t>
  </si>
  <si>
    <t>00000000000010100011001011001100</t>
  </si>
  <si>
    <t>00000000000010010011000111100000</t>
  </si>
  <si>
    <t>00000000000010100010110100001100</t>
  </si>
  <si>
    <t>00000000000000000010110110011100</t>
  </si>
  <si>
    <t>00000000000000010011000111010100</t>
  </si>
  <si>
    <t>00000000000011110010111110001100</t>
  </si>
  <si>
    <t>10000000000010110010111000101100</t>
  </si>
  <si>
    <t>00000000000010000001000000000000</t>
  </si>
  <si>
    <t>00000000000000000000000000000100</t>
  </si>
  <si>
    <t>00000000000010000001100000000000</t>
  </si>
  <si>
    <t>00000000000000110010111000101000</t>
  </si>
  <si>
    <t>00000000000011010011001110110100</t>
  </si>
  <si>
    <t>00000000000010000000110000000000</t>
  </si>
  <si>
    <t>00000000000000000000000001011000</t>
  </si>
  <si>
    <t>00000000000011010011001001110100</t>
  </si>
  <si>
    <t>00100000000110000111111001111110</t>
  </si>
  <si>
    <t>00000000000000010011001001111100</t>
  </si>
  <si>
    <t>00000000000011010011001001111100</t>
  </si>
  <si>
    <t>00000000000010100010111011011000</t>
  </si>
  <si>
    <t>00000000000010110010111100101100</t>
  </si>
  <si>
    <t>00000000000011100011001110110100</t>
  </si>
  <si>
    <t>00000000000011000011001110110100</t>
  </si>
  <si>
    <t>00000000000010010010110111111000</t>
  </si>
  <si>
    <t>00000000000011110010111010100100</t>
  </si>
  <si>
    <t>00000000000010110010111101100000</t>
  </si>
  <si>
    <t>00000000000000000000000000010000</t>
  </si>
  <si>
    <t>00000000000000010010111101011100</t>
  </si>
  <si>
    <t>00000000000011010010111101011100</t>
  </si>
  <si>
    <t>00000000000010110010111100111100</t>
  </si>
  <si>
    <t>00000000000011100011001001110100</t>
  </si>
  <si>
    <t>00000000000011000011001001110100</t>
  </si>
  <si>
    <t>00000000000010110011000001101000</t>
  </si>
  <si>
    <t>00000000000010100010111111111000</t>
  </si>
  <si>
    <t>00000000000000010011001110110100</t>
  </si>
  <si>
    <t>00000000000011100010110111110000</t>
  </si>
  <si>
    <t>00000000000010100010111011101000</t>
  </si>
  <si>
    <t>00000000000000010011001001110100</t>
  </si>
  <si>
    <t>00000000000010100010111100100000</t>
  </si>
  <si>
    <t>00000000000010100010111111101000</t>
  </si>
  <si>
    <t>00000000000000000000000000000000</t>
  </si>
  <si>
    <t>00100000000100000110101000001000</t>
  </si>
  <si>
    <t>01110010000110100010101000010000</t>
  </si>
  <si>
    <t>00100110000010000000011001111110</t>
  </si>
  <si>
    <t>00000000000010000000000000000000</t>
  </si>
  <si>
    <t>00000000000001000000000000000000</t>
  </si>
  <si>
    <t>00000000000010010010111011111100</t>
  </si>
  <si>
    <t>00000000000011110010111011111100</t>
  </si>
  <si>
    <t>00000000000010110010111110010000</t>
  </si>
  <si>
    <t>00000000000010100010111011000100</t>
  </si>
  <si>
    <t>00000000000000000000000000110000</t>
  </si>
  <si>
    <t>00000000000010110010111110100100</t>
  </si>
  <si>
    <t>00000000000010100010111111000000</t>
  </si>
  <si>
    <t>00000000000011110010111110010100</t>
  </si>
  <si>
    <t>00000000000010110010111110111000</t>
  </si>
  <si>
    <t>00000000000011100010111010100100</t>
  </si>
  <si>
    <t>00000000000000000000000000101000</t>
  </si>
  <si>
    <t>00000000000010110010111101001100</t>
  </si>
  <si>
    <t>00000000000010110011000000000100</t>
  </si>
  <si>
    <t>00000000000010100011000001110100</t>
  </si>
  <si>
    <t>00000000000010110011000000010000</t>
  </si>
  <si>
    <t>00000000000010110011000000111100</t>
  </si>
  <si>
    <t>00000000000010010010111110010100</t>
  </si>
  <si>
    <t>00000000000010110010111111111000</t>
  </si>
  <si>
    <t>00000000000000000000000000010100</t>
  </si>
  <si>
    <t>00000000000010100010111111000100</t>
  </si>
  <si>
    <t>00000000000011100011000000110000</t>
  </si>
  <si>
    <t>00000000000010110011000001001100</t>
  </si>
  <si>
    <t>00000000000010100011000000101100</t>
  </si>
  <si>
    <t>00100001000110110101100010011010</t>
  </si>
  <si>
    <t>00000000000010110011000000101100</t>
  </si>
  <si>
    <t>00000000000010110011000001100000</t>
  </si>
  <si>
    <t>00000000000011100010111111000100</t>
  </si>
  <si>
    <t>00000000000010110011000010100000</t>
  </si>
  <si>
    <t>00100000001100000000101001010010</t>
  </si>
  <si>
    <t>01111010010110100111111001111110</t>
  </si>
  <si>
    <t>00000000000010100011000100110000</t>
  </si>
  <si>
    <t>00000000000010110011000011010100</t>
  </si>
  <si>
    <t>00000000000000010010111010001100</t>
  </si>
  <si>
    <t>00000000000011110011001001111100</t>
  </si>
  <si>
    <t>00100000001100000000101000001100</t>
  </si>
  <si>
    <t>01110010011010100110110001100100</t>
  </si>
  <si>
    <t>01110010011010100110110001111110</t>
  </si>
  <si>
    <t>00000000000010100011000011110100</t>
  </si>
  <si>
    <t>00000000000010110011000100010000</t>
  </si>
  <si>
    <t>00100000001100000010110000000110</t>
  </si>
  <si>
    <t>01101010011100100001101000101010</t>
  </si>
  <si>
    <t>01111010011111100111111001111110</t>
  </si>
  <si>
    <t>00000000000000010010111010100100</t>
  </si>
  <si>
    <t>00000000000000010011001001111000</t>
  </si>
  <si>
    <t>00000000000000000000000100000000</t>
  </si>
  <si>
    <t>00100000001100000101101001000110</t>
  </si>
  <si>
    <t>01011010011100100000110000000110</t>
  </si>
  <si>
    <t>00001110000001100111111001111110</t>
  </si>
  <si>
    <t>00000000000000110011001010111000</t>
  </si>
  <si>
    <t>00000000000010100011001010000000</t>
  </si>
  <si>
    <t>00000000000010110011001000000100</t>
  </si>
  <si>
    <t>00110000000110000000101001010010</t>
  </si>
  <si>
    <t>01111010010110100001100000000110</t>
  </si>
  <si>
    <t>00000110000001100000011001111110</t>
  </si>
  <si>
    <t>00000000000011110011001110110100</t>
  </si>
  <si>
    <t>00000000000010110011001001101000</t>
  </si>
  <si>
    <t>00000000000011110010111010001100</t>
  </si>
  <si>
    <t>00110000011110100110101001000110</t>
  </si>
  <si>
    <t>00011010010010100000011000010000</t>
  </si>
  <si>
    <t>00010110000010000000011001111110</t>
  </si>
  <si>
    <t>00000000000010110011000111011100</t>
  </si>
  <si>
    <t>00010000001101000000100001111110</t>
  </si>
  <si>
    <t>00101110000001000000010001111110</t>
  </si>
  <si>
    <t>00000000000010110011000111111000</t>
  </si>
  <si>
    <t>00000000000000000000000001101000</t>
  </si>
  <si>
    <t>00000000000010100011001011110100</t>
  </si>
  <si>
    <t>00000000000000000000000000001100</t>
  </si>
  <si>
    <t>00000000000011110011001001111000</t>
  </si>
  <si>
    <t>00000000000010000000011100000000</t>
  </si>
  <si>
    <t>00000000000000000000000000111100</t>
  </si>
  <si>
    <t>00000000000010100011000110010100</t>
  </si>
  <si>
    <t>00000000000000000000000000001000</t>
  </si>
  <si>
    <t>00000000000010110011001001000000</t>
  </si>
  <si>
    <t>00000000000011110010111101011100</t>
  </si>
  <si>
    <t>00110000000110000000101000001100</t>
  </si>
  <si>
    <t>00000000000010110011001111110100</t>
  </si>
  <si>
    <t>00000000000010100011001111101000</t>
  </si>
  <si>
    <t>00110000000110000101101001000110</t>
  </si>
  <si>
    <t>00000000000010100011000101100000</t>
  </si>
  <si>
    <t>00000000000010100011000101110100</t>
  </si>
  <si>
    <t>00000000000000000000000001010000</t>
  </si>
  <si>
    <t>11111111111111111111111111101000</t>
  </si>
  <si>
    <t>00000000000011110010111111000100</t>
  </si>
  <si>
    <t>00000000000010110011001010100000</t>
  </si>
  <si>
    <t>00000000000010110011001010111100</t>
  </si>
  <si>
    <t>00000000000010110011001011000100</t>
  </si>
  <si>
    <t>00000000000010000000111000000000</t>
  </si>
  <si>
    <t>00000000000000000000000000100100</t>
  </si>
  <si>
    <t>00000000000001100011000100001100</t>
  </si>
  <si>
    <t>00000000000011100011001010110100</t>
  </si>
  <si>
    <t>00000000000000100011001010110000</t>
  </si>
  <si>
    <t>00000000000010000001101000000000</t>
  </si>
  <si>
    <t>00000000000000000000001000000000</t>
  </si>
  <si>
    <t>00000000000010100011000110110000</t>
  </si>
  <si>
    <t>00000000000010000000011000000000</t>
  </si>
  <si>
    <t>00000000000010100011001010011100</t>
  </si>
  <si>
    <t>00000000000010000000101000000000</t>
  </si>
  <si>
    <t>00000000000000010010111110001100</t>
  </si>
  <si>
    <t>00000000000000010011000001001000</t>
  </si>
  <si>
    <t>00000000000001100011000001001000</t>
  </si>
  <si>
    <t>00000000000011000011000001001000</t>
  </si>
  <si>
    <t>00000000000001110010111001100100</t>
  </si>
  <si>
    <t>00000000000011100011000001001000</t>
  </si>
  <si>
    <t>00000000000010100010110100101100</t>
  </si>
  <si>
    <t>00000000000000000000010000000000</t>
  </si>
  <si>
    <t>00000000000010100010111001111000</t>
  </si>
  <si>
    <t>00000000000000010011000110111100</t>
  </si>
  <si>
    <t>00000000000010010011001110110000</t>
  </si>
  <si>
    <t>00000000000010100011001100001100</t>
  </si>
  <si>
    <t>00000000000011110011001110011100</t>
  </si>
  <si>
    <t>00000000000010110011001101010000</t>
  </si>
  <si>
    <t>00000000000010100011001101000100</t>
  </si>
  <si>
    <t>01111110000000000000000000000000</t>
  </si>
  <si>
    <t>00000100011111100000000000000000</t>
  </si>
  <si>
    <t>00000000000000000100000000000000</t>
  </si>
  <si>
    <t>00000000000000000011111100000000</t>
  </si>
  <si>
    <t>00000000000010000000000001101000</t>
  </si>
  <si>
    <t>00000000000000010011001100000000</t>
  </si>
  <si>
    <t>00000000000011100011001111001100</t>
  </si>
  <si>
    <t>00000000000010100011001110101000</t>
  </si>
  <si>
    <t>00000000000000010011001111001100</t>
  </si>
  <si>
    <t>00000000000011100011001100000000</t>
  </si>
  <si>
    <t>00000000000010100011001111100000</t>
  </si>
  <si>
    <t>00000000000011100011001100011000</t>
  </si>
  <si>
    <t>00000000000011000011001100011100</t>
  </si>
  <si>
    <t>00000000000001110011001100100000</t>
  </si>
  <si>
    <t>00000000000010010011001100100100</t>
  </si>
  <si>
    <t>00000000000011100011001100101000</t>
  </si>
  <si>
    <t>00000000000011010011001110111100</t>
  </si>
  <si>
    <t>00000000000010100011001100111000</t>
  </si>
  <si>
    <t>00000000000011110011001100110000</t>
  </si>
  <si>
    <t>00000000000011100011001100110100</t>
  </si>
  <si>
    <t>00000000000010110011001100000000</t>
  </si>
  <si>
    <t>00000000000010100011001110111100</t>
  </si>
  <si>
    <t>00000000000000100011001100000000</t>
  </si>
  <si>
    <t>00000000000010100011001110111000</t>
  </si>
  <si>
    <t>00000000000000000000000001001100</t>
  </si>
  <si>
    <t>00000000000000010011001100101100</t>
  </si>
  <si>
    <t>00000000000010000000001001101000</t>
  </si>
  <si>
    <t>00000000000011000011001100110100</t>
  </si>
  <si>
    <t>00000000000000010011001100011100</t>
  </si>
  <si>
    <t>00000000000010100011001111010000</t>
  </si>
  <si>
    <t>00000000000001100011001110011000</t>
  </si>
  <si>
    <t>00000000000010110011001101101100</t>
  </si>
  <si>
    <t>00000000000010100011001110011100</t>
  </si>
  <si>
    <t>00000000000000100011001111100100</t>
  </si>
  <si>
    <t>00000000000010100011000110111100</t>
  </si>
  <si>
    <t>00000000000010100011000101101100</t>
  </si>
  <si>
    <t>0000</t>
  </si>
  <si>
    <t>0001</t>
  </si>
  <si>
    <t>1101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</si>
  <si>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</si>
  <si>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</si>
  <si>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</si>
  <si>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</si>
  <si>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</si>
  <si>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</si>
  <si>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</si>
  <si>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</si>
  <si>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</si>
  <si>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</si>
  <si>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1110</t>
  </si>
  <si>
    <t>1111</t>
  </si>
  <si>
    <t>z</t>
  </si>
  <si>
    <t>b</t>
  </si>
  <si>
    <t>y</t>
  </si>
  <si>
    <t>r</t>
  </si>
  <si>
    <t>i</t>
  </si>
  <si>
    <t>d</t>
  </si>
  <si>
    <t>n</t>
  </si>
  <si>
    <t>m</t>
  </si>
  <si>
    <t>p</t>
  </si>
  <si>
    <t>e</t>
  </si>
  <si>
    <t>u</t>
  </si>
  <si>
    <t>t</t>
  </si>
  <si>
    <t>h</t>
  </si>
  <si>
    <t>c</t>
  </si>
  <si>
    <t>a</t>
  </si>
  <si>
    <t>s</t>
  </si>
  <si>
    <t>Binary</t>
  </si>
  <si>
    <t>Opcode</t>
  </si>
  <si>
    <t>Address</t>
  </si>
  <si>
    <t>Track</t>
  </si>
  <si>
    <t>Sector</t>
  </si>
  <si>
    <t>000</t>
  </si>
  <si>
    <t>001</t>
  </si>
  <si>
    <t>010</t>
  </si>
  <si>
    <t>011</t>
  </si>
  <si>
    <t>100</t>
  </si>
  <si>
    <t>101</t>
  </si>
  <si>
    <t>110</t>
  </si>
  <si>
    <t>111</t>
  </si>
  <si>
    <t>OpAd</t>
  </si>
  <si>
    <t>2880 0x000d2f8c</t>
  </si>
  <si>
    <t>2881 0x000d3278</t>
  </si>
  <si>
    <t>2882 0x000a31c4</t>
  </si>
  <si>
    <t>2883 0x000e2d98</t>
  </si>
  <si>
    <t>2884 0x00022d78</t>
  </si>
  <si>
    <t>2885 0x000e2efc</t>
  </si>
  <si>
    <t>2886 0x00022d54</t>
  </si>
  <si>
    <t>2887 0x00022d58</t>
  </si>
  <si>
    <t>2888 0x00022d6c</t>
  </si>
  <si>
    <t>2889 0x000332f0</t>
  </si>
  <si>
    <t>2890 0x000a32d8</t>
  </si>
  <si>
    <t>2891 0x000931f0</t>
  </si>
  <si>
    <t>2892 0x000f31e0</t>
  </si>
  <si>
    <t>2893 0x000b2d24</t>
  </si>
  <si>
    <t>2894 0x000e2e8c</t>
  </si>
  <si>
    <t>2895 0x000c2d94</t>
  </si>
  <si>
    <t>2896 0x000e2d0c</t>
  </si>
  <si>
    <t>2897 0x00022d68</t>
  </si>
  <si>
    <t>2898 0x00022d70</t>
  </si>
  <si>
    <t>2899 0x00022d50</t>
  </si>
  <si>
    <t>2900 0x00012da8</t>
  </si>
  <si>
    <t>2901 0x00092de4</t>
  </si>
  <si>
    <t>2902 0x000f2de4</t>
  </si>
  <si>
    <t>2903 0x000b2d68</t>
  </si>
  <si>
    <t>2904 0x000a2e68</t>
  </si>
  <si>
    <t>2905 0x00012dd0</t>
  </si>
  <si>
    <t>2906 0x00012da8</t>
  </si>
  <si>
    <t>2907 0x000e2de4</t>
  </si>
  <si>
    <t>2908 0x000c2da8</t>
  </si>
  <si>
    <t>2909 0x000d2d88</t>
  </si>
  <si>
    <t>2910 0x00012dd4</t>
  </si>
  <si>
    <t>2911 0x000d2d8c</t>
  </si>
  <si>
    <t>2912 0x00033300</t>
  </si>
  <si>
    <t>2913 0x000a3300</t>
  </si>
  <si>
    <t>2914 0x56a40656</t>
  </si>
  <si>
    <t>2915 0x0e06627e</t>
  </si>
  <si>
    <t>2916 0x000a2e00</t>
  </si>
  <si>
    <t>2917 0x00000018</t>
  </si>
  <si>
    <t>2918 0x00002dd0</t>
  </si>
  <si>
    <t>2919 0x11f20806</t>
  </si>
  <si>
    <t>2920 0x56140656</t>
  </si>
  <si>
    <t>2921 0x561c0656</t>
  </si>
  <si>
    <t>2922 0x56a40656</t>
  </si>
  <si>
    <t>2923 0x572c0656</t>
  </si>
  <si>
    <t>2924 0x56340656</t>
  </si>
  <si>
    <t>2925 0x563c0656</t>
  </si>
  <si>
    <t>2926 0x56440656</t>
  </si>
  <si>
    <t>2927 0x564c0656</t>
  </si>
  <si>
    <t>2928 0x280c0406</t>
  </si>
  <si>
    <t>2929 0x10640806</t>
  </si>
  <si>
    <t>2930 0x10750806</t>
  </si>
  <si>
    <t>2931 0x106c0806</t>
  </si>
  <si>
    <t>2932 0x0e067a7e</t>
  </si>
  <si>
    <t>2933 0x0e06627e</t>
  </si>
  <si>
    <t>2934 0x0e062a7e</t>
  </si>
  <si>
    <t>2935 0x0e066a7e</t>
  </si>
  <si>
    <t>2936 0x01000000</t>
  </si>
  <si>
    <t>2937 0x00800000</t>
  </si>
  <si>
    <t>2938 0x00010000</t>
  </si>
  <si>
    <t>2939 0x00008000</t>
  </si>
  <si>
    <t>2940 0x80000004</t>
  </si>
  <si>
    <t>2941 0x7e7e7e7e</t>
  </si>
  <si>
    <t>2942 0x7ffffffc</t>
  </si>
  <si>
    <t>2943 0x00400000</t>
  </si>
  <si>
    <t>2944 0x00012d94</t>
  </si>
  <si>
    <t>2945 0x000f31fc</t>
  </si>
  <si>
    <t>2946 0x000b2e24</t>
  </si>
  <si>
    <t>2947 0x000f329c</t>
  </si>
  <si>
    <t>2948 0x000b2e1c</t>
  </si>
  <si>
    <t>2949 0x00012fc4</t>
  </si>
  <si>
    <t>2950 0x000a2e28</t>
  </si>
  <si>
    <t>2951 0x00012d94</t>
  </si>
  <si>
    <t>2952 0x000a2e28</t>
  </si>
  <si>
    <t>2953 0x00012df0</t>
  </si>
  <si>
    <t>2954 0x000a2fe0</t>
  </si>
  <si>
    <t>2955 0x00012e78</t>
  </si>
  <si>
    <t>2956 0x00022e38</t>
  </si>
  <si>
    <t>2957 0x00022e40</t>
  </si>
  <si>
    <t>2958 0x00012dd0</t>
  </si>
  <si>
    <t>2959 0x00092df4</t>
  </si>
  <si>
    <t>2960 0x000d2dd0</t>
  </si>
  <si>
    <t>2961 0x00012e38</t>
  </si>
  <si>
    <t>2962 0x000e2e8c</t>
  </si>
  <si>
    <t>2963 0x000c2e38</t>
  </si>
  <si>
    <t>2964 0x00022e40</t>
  </si>
  <si>
    <t>2965 0x000f2d64</t>
  </si>
  <si>
    <t>2966 0x000b2e38</t>
  </si>
  <si>
    <t>2967 0x000d2f8c</t>
  </si>
  <si>
    <t>2968 0x000d2f8c</t>
  </si>
  <si>
    <t>2969 0x000a2e88</t>
  </si>
  <si>
    <t>2970 0x000332f0</t>
  </si>
  <si>
    <t>2971 0x000a32cc</t>
  </si>
  <si>
    <t>2972 0x000931e0</t>
  </si>
  <si>
    <t>2973 0x000a2d0c</t>
  </si>
  <si>
    <t>2974 0x00002d9c</t>
  </si>
  <si>
    <t>2975 0x000131d4</t>
  </si>
  <si>
    <t>2976 0x000f2f8c</t>
  </si>
  <si>
    <t>2977 0x800b2e2c</t>
  </si>
  <si>
    <t>2978 0x00081000</t>
  </si>
  <si>
    <t>2979 0x00000004</t>
  </si>
  <si>
    <t>2980 0x00081800</t>
  </si>
  <si>
    <t>2981 0x00032e28</t>
  </si>
  <si>
    <t>2982 0x000a2e68</t>
  </si>
  <si>
    <t>2983 0x000d33b4</t>
  </si>
  <si>
    <t>2984 0x00080c00</t>
  </si>
  <si>
    <t>2985 0x00000058</t>
  </si>
  <si>
    <t>2986 0x00081800</t>
  </si>
  <si>
    <t>2987 0x00032e28</t>
  </si>
  <si>
    <t>2988 0x000a2e68</t>
  </si>
  <si>
    <t>2989 0x000d3274</t>
  </si>
  <si>
    <t>2990 0x00033300</t>
  </si>
  <si>
    <t>2991 0x000a3300</t>
  </si>
  <si>
    <t>2992 0x20187e7e</t>
  </si>
  <si>
    <t>2993 0x00081800</t>
  </si>
  <si>
    <t>2994 0x0001327c</t>
  </si>
  <si>
    <t>2995 0x000e2e8c</t>
  </si>
  <si>
    <t>2996 0x000d327c</t>
  </si>
  <si>
    <t>2997 0x000a2ed8</t>
  </si>
  <si>
    <t>2998 0x00032e28</t>
  </si>
  <si>
    <t>2999 0x000a2e68</t>
  </si>
  <si>
    <t>3000 0x000b2f2c</t>
  </si>
  <si>
    <t>3001 0x000e33b4</t>
  </si>
  <si>
    <t>3002 0x000c33b4</t>
  </si>
  <si>
    <t>3003 0x00092df8</t>
  </si>
  <si>
    <t>3004 0x000f2ea4</t>
  </si>
  <si>
    <t>3005 0x000b2f60</t>
  </si>
  <si>
    <t>3006 0x00080c00</t>
  </si>
  <si>
    <t>3007 0x00000010</t>
  </si>
  <si>
    <t>3008 0x00081800</t>
  </si>
  <si>
    <t>3009 0x00012f5c</t>
  </si>
  <si>
    <t>3010 0x000e2e8c</t>
  </si>
  <si>
    <t>3011 0x000d2f5c</t>
  </si>
  <si>
    <t>3012 0x00032e28</t>
  </si>
  <si>
    <t>3013 0x000a2e68</t>
  </si>
  <si>
    <t>3014 0x000b2f3c</t>
  </si>
  <si>
    <t>3015 0x000e3274</t>
  </si>
  <si>
    <t>3016 0x000c3274</t>
  </si>
  <si>
    <t>3017 0x000b3068</t>
  </si>
  <si>
    <t>3018 0x000a2ff8</t>
  </si>
  <si>
    <t>3019 0x000133b4</t>
  </si>
  <si>
    <t>3020 0x00092df8</t>
  </si>
  <si>
    <t>3021 0x000e2df0</t>
  </si>
  <si>
    <t>3022 0x000a2ee8</t>
  </si>
  <si>
    <t>3023 0x00013274</t>
  </si>
  <si>
    <t>3024 0x00092df8</t>
  </si>
  <si>
    <t>3025 0x000e2df0</t>
  </si>
  <si>
    <t>3026 0x000a2f20</t>
  </si>
  <si>
    <t>3027 0x00013274</t>
  </si>
  <si>
    <t>3028 0x00092df8</t>
  </si>
  <si>
    <t>3029 0x000e2df0</t>
  </si>
  <si>
    <t>3030 0x000a2fe8</t>
  </si>
  <si>
    <t>3031 0x00000000</t>
  </si>
  <si>
    <t>3032 0x00033300</t>
  </si>
  <si>
    <t>3033 0x000a3300</t>
  </si>
  <si>
    <t>3034 0x20106a08</t>
  </si>
  <si>
    <t>3035 0x721a2a10</t>
  </si>
  <si>
    <t>3036 0x2608067e</t>
  </si>
  <si>
    <t>3037 0x00080000</t>
  </si>
  <si>
    <t>3038 0x00040000</t>
  </si>
  <si>
    <t>3039 0x00092efc</t>
  </si>
  <si>
    <t>3040 0x000f2efc</t>
  </si>
  <si>
    <t>3041 0x000b2f90</t>
  </si>
  <si>
    <t>3042 0x000a2ec4</t>
  </si>
  <si>
    <t>3043 0x00002d9c</t>
  </si>
  <si>
    <t>3044 0x00081800</t>
  </si>
  <si>
    <t>3045 0x00000030</t>
  </si>
  <si>
    <t>3046 0x000133b4</t>
  </si>
  <si>
    <t>3047 0x000b2fa4</t>
  </si>
  <si>
    <t>3048 0x000a2fc0</t>
  </si>
  <si>
    <t>3049 0x00092df8</t>
  </si>
  <si>
    <t>3050 0x000c33b4</t>
  </si>
  <si>
    <t>3051 0x000f2f94</t>
  </si>
  <si>
    <t>3052 0x000b2fb8</t>
  </si>
  <si>
    <t>3053 0x000a2fc0</t>
  </si>
  <si>
    <t>3054 0x000e2ea4</t>
  </si>
  <si>
    <t>3055 0x000d33b4</t>
  </si>
  <si>
    <t>3056 0x00080c00</t>
  </si>
  <si>
    <t>3057 0x00000028</t>
  </si>
  <si>
    <t>3058 0x00081800</t>
  </si>
  <si>
    <t>3059 0x00012f5c</t>
  </si>
  <si>
    <t>3060 0x000e2e8c</t>
  </si>
  <si>
    <t>3061 0x000d2f5c</t>
  </si>
  <si>
    <t>3062 0x00032e28</t>
  </si>
  <si>
    <t>3063 0x000a2e68</t>
  </si>
  <si>
    <t>3064 0x000b2f4c</t>
  </si>
  <si>
    <t>3065 0x000e3274</t>
  </si>
  <si>
    <t>3066 0x000c3274</t>
  </si>
  <si>
    <t>3067 0x00092df8</t>
  </si>
  <si>
    <t>3068 0x000f2ea4</t>
  </si>
  <si>
    <t>3069 0x000b3004</t>
  </si>
  <si>
    <t>3070 0x00080c00</t>
  </si>
  <si>
    <t>3071 0x000133b4</t>
  </si>
  <si>
    <t>3072 0x000a3074</t>
  </si>
  <si>
    <t>3073 0x000e2efc</t>
  </si>
  <si>
    <t>3074 0x000b3010</t>
  </si>
  <si>
    <t>3075 0x000a2ff8</t>
  </si>
  <si>
    <t>3076 0x000e2e8c</t>
  </si>
  <si>
    <t>3077 0x000b303c</t>
  </si>
  <si>
    <t>3078 0x000332f0</t>
  </si>
  <si>
    <t>3079 0x000a32d8</t>
  </si>
  <si>
    <t>3080 0x00092f94</t>
  </si>
  <si>
    <t>3081 0x000f2f94</t>
  </si>
  <si>
    <t>3082 0x000b2ff8</t>
  </si>
  <si>
    <t>3083 0x00081000</t>
  </si>
  <si>
    <t>3084 0x00000014</t>
  </si>
  <si>
    <t>3085 0x00081800</t>
  </si>
  <si>
    <t>3086 0x000a2fc4</t>
  </si>
  <si>
    <t>3087 0x000e3030</t>
  </si>
  <si>
    <t>3088 0x000b304c</t>
  </si>
  <si>
    <t>3089 0x000a302c</t>
  </si>
  <si>
    <t>3090 0x211b589a</t>
  </si>
  <si>
    <t>3091 0x000e2efc</t>
  </si>
  <si>
    <t>3092 0x000b302c</t>
  </si>
  <si>
    <t>3093 0x00013274</t>
  </si>
  <si>
    <t>3094 0x000b3060</t>
  </si>
  <si>
    <t>3095 0x000a302c</t>
  </si>
  <si>
    <t>3096 0x000e2fc4</t>
  </si>
  <si>
    <t>3097 0x000a2fe8</t>
  </si>
  <si>
    <t>3098 0x000e2fc4</t>
  </si>
  <si>
    <t>3099 0x000d3274</t>
  </si>
  <si>
    <t>3100 0x000a2ff8</t>
  </si>
  <si>
    <t>3101 0x00092df8</t>
  </si>
  <si>
    <t>3102 0x000c33b4</t>
  </si>
  <si>
    <t>3103 0x000f2ea4</t>
  </si>
  <si>
    <t>3104 0x000b30a0</t>
  </si>
  <si>
    <t>3105 0x00033300</t>
  </si>
  <si>
    <t>3106 0x000a3300</t>
  </si>
  <si>
    <t>3107 0x20300a52</t>
  </si>
  <si>
    <t>3108 0x7a5a7e7e</t>
  </si>
  <si>
    <t>3109 0x000d33b4</t>
  </si>
  <si>
    <t>3110 0x000d33b4</t>
  </si>
  <si>
    <t>3111 0x000a3130</t>
  </si>
  <si>
    <t>3112 0x000e2e8c</t>
  </si>
  <si>
    <t>3113 0x000b30d4</t>
  </si>
  <si>
    <t>3114 0x00012e8c</t>
  </si>
  <si>
    <t>3115 0x000f327c</t>
  </si>
  <si>
    <t>3116 0x000b30d4</t>
  </si>
  <si>
    <t>3117 0x00033300</t>
  </si>
  <si>
    <t>3118 0x000a3300</t>
  </si>
  <si>
    <t>3119 0x20300a0c</t>
  </si>
  <si>
    <t>3120 0x726a6c64</t>
  </si>
  <si>
    <t>3121 0x726a6c7e</t>
  </si>
  <si>
    <t>3122 0x00012e78</t>
  </si>
  <si>
    <t>3123 0x000d2f8c</t>
  </si>
  <si>
    <t>3124 0x000a30f4</t>
  </si>
  <si>
    <t>3125 0x0001327c</t>
  </si>
  <si>
    <t>3126 0x000f2efc</t>
  </si>
  <si>
    <t>3127 0x000b3110</t>
  </si>
  <si>
    <t>3128 0x00033300</t>
  </si>
  <si>
    <t>3129 0x000a3300</t>
  </si>
  <si>
    <t>3130 0x20302c06</t>
  </si>
  <si>
    <t>3131 0x6a721a2a</t>
  </si>
  <si>
    <t>3132 0x7a7e7e7e</t>
  </si>
  <si>
    <t>3133 0x00012ea4</t>
  </si>
  <si>
    <t>3134 0x000d33b4</t>
  </si>
  <si>
    <t>3135 0x00013278</t>
  </si>
  <si>
    <t>3136 0x000e2e8c</t>
  </si>
  <si>
    <t>3137 0x000d3278</t>
  </si>
  <si>
    <t>3138 0x000a3130</t>
  </si>
  <si>
    <t>3139 0x00000100</t>
  </si>
  <si>
    <t>3140 0x00033300</t>
  </si>
  <si>
    <t>3141 0x000a3300</t>
  </si>
  <si>
    <t>3142 0x20305a46</t>
  </si>
  <si>
    <t>3143 0x5a720c06</t>
  </si>
  <si>
    <t>3144 0x0e067e7e</t>
  </si>
  <si>
    <t>3145 0x000133b4</t>
  </si>
  <si>
    <t>3146 0x000332b8</t>
  </si>
  <si>
    <t>3147 0x000a3280</t>
  </si>
  <si>
    <t>3148 0x00013274</t>
  </si>
  <si>
    <t>3149 0x00092df8</t>
  </si>
  <si>
    <t>3150 0x000c3274</t>
  </si>
  <si>
    <t>3151 0x000f2ea4</t>
  </si>
  <si>
    <t>3152 0x000b3204</t>
  </si>
  <si>
    <t>3153 0x00033300</t>
  </si>
  <si>
    <t>3154 0x000a3300</t>
  </si>
  <si>
    <t>3155 0x30180a52</t>
  </si>
  <si>
    <t>3156 0x7a5a1806</t>
  </si>
  <si>
    <t>3157 0x0606067e</t>
  </si>
  <si>
    <t>3158 0x000d3274</t>
  </si>
  <si>
    <t>3159 0x000d3274</t>
  </si>
  <si>
    <t>3160 0x00013274</t>
  </si>
  <si>
    <t>3161 0x000f33b4</t>
  </si>
  <si>
    <t>3162 0x000b3268</t>
  </si>
  <si>
    <t>3163 0x00013278</t>
  </si>
  <si>
    <t>3164 0x000f2e8c</t>
  </si>
  <si>
    <t>3165 0x000d3278</t>
  </si>
  <si>
    <t>3166 0x00033300</t>
  </si>
  <si>
    <t>3167 0x000a3300</t>
  </si>
  <si>
    <t>3168 0x307a6a46</t>
  </si>
  <si>
    <t>3169 0x1a4a0610</t>
  </si>
  <si>
    <t>3170 0x1608067e</t>
  </si>
  <si>
    <t>3171 0x00013278</t>
  </si>
  <si>
    <t>3172 0x000b31dc</t>
  </si>
  <si>
    <t>3173 0x000c2d94</t>
  </si>
  <si>
    <t>3174 0x00033300</t>
  </si>
  <si>
    <t>3175 0x000a3300</t>
  </si>
  <si>
    <t>3176 0x1034087e</t>
  </si>
  <si>
    <t>3177 0x00012d94</t>
  </si>
  <si>
    <t>3178 0x000332b8</t>
  </si>
  <si>
    <t>3179 0x000a3280</t>
  </si>
  <si>
    <t>3180 0x00033300</t>
  </si>
  <si>
    <t>3181 0x000a3300</t>
  </si>
  <si>
    <t>3182 0x2e04047e</t>
  </si>
  <si>
    <t>3183 0x00013278</t>
  </si>
  <si>
    <t>3184 0x000b31f8</t>
  </si>
  <si>
    <t>3185 0x00081000</t>
  </si>
  <si>
    <t>3186 0x000d327c</t>
  </si>
  <si>
    <t>3187 0x000d327c</t>
  </si>
  <si>
    <t>3188 0x000d2f5c</t>
  </si>
  <si>
    <t>3189 0x00000068</t>
  </si>
  <si>
    <t>3190 0x000a32f4</t>
  </si>
  <si>
    <t>3191 0x00080c00</t>
  </si>
  <si>
    <t>3192 0x0000000c</t>
  </si>
  <si>
    <t>3193 0x000d3278</t>
  </si>
  <si>
    <t>3194 0x000f3278</t>
  </si>
  <si>
    <t>3195 0x00080700</t>
  </si>
  <si>
    <t>3196 0x0000003c</t>
  </si>
  <si>
    <t>3197 0x000a3194</t>
  </si>
  <si>
    <t>3198 0x00080c00</t>
  </si>
  <si>
    <t>3199 0x00000008</t>
  </si>
  <si>
    <t>3200 0x000a31c4</t>
  </si>
  <si>
    <t>3201 0x000e2e8c</t>
  </si>
  <si>
    <t>3202 0x000b3240</t>
  </si>
  <si>
    <t>3203 0x00012e8c</t>
  </si>
  <si>
    <t>3204 0x000f2f5c</t>
  </si>
  <si>
    <t>3205 0x000b3240</t>
  </si>
  <si>
    <t>3206 0x00033300</t>
  </si>
  <si>
    <t>3207 0x000a3300</t>
  </si>
  <si>
    <t>3208 0x30180a0c</t>
  </si>
  <si>
    <t>3209 0x726a6c64</t>
  </si>
  <si>
    <t>3210 0x726a6c7e</t>
  </si>
  <si>
    <t>3211 0x00080c00</t>
  </si>
  <si>
    <t>3212 0x000133b4</t>
  </si>
  <si>
    <t>3213 0x000f2ea4</t>
  </si>
  <si>
    <t>3214 0x000b33f4</t>
  </si>
  <si>
    <t>3215 0x000a33e8</t>
  </si>
  <si>
    <t>3216 0x00033300</t>
  </si>
  <si>
    <t>3217 0x000a3300</t>
  </si>
  <si>
    <t>3218 0x30185a46</t>
  </si>
  <si>
    <t>3219 0x5a720c06</t>
  </si>
  <si>
    <t>3220 0x0e067e7e</t>
  </si>
  <si>
    <t>3221 0x00013274</t>
  </si>
  <si>
    <t>3222 0x000332b8</t>
  </si>
  <si>
    <t>3223 0x000a3280</t>
  </si>
  <si>
    <t>3224 0x00080c00</t>
  </si>
  <si>
    <t>3225 0x000a3160</t>
  </si>
  <si>
    <t>3226 0x00013278</t>
  </si>
  <si>
    <t>3227 0x000e2e8c</t>
  </si>
  <si>
    <t>3228 0x000a3174</t>
  </si>
  <si>
    <t>3229 0x00000050</t>
  </si>
  <si>
    <t>3230 0xffffffe8</t>
  </si>
  <si>
    <t>3231 0x00000000</t>
  </si>
  <si>
    <t>3232 0x000f2fc4</t>
  </si>
  <si>
    <t>3233 0x000b32a0</t>
  </si>
  <si>
    <t>3234 0x000f2fc4</t>
  </si>
  <si>
    <t>3235 0x000b32bc</t>
  </si>
  <si>
    <t>3236 0x000f2fc4</t>
  </si>
  <si>
    <t>3237 0x000b32c4</t>
  </si>
  <si>
    <t>3238 0x00080e00</t>
  </si>
  <si>
    <t>3239 0x00000024</t>
  </si>
  <si>
    <t>3240 0x000e2fc4</t>
  </si>
  <si>
    <t>3241 0x0006310c</t>
  </si>
  <si>
    <t>3242 0x000e32b4</t>
  </si>
  <si>
    <t>3243 0x000232b0</t>
  </si>
  <si>
    <t>3244 0x00081a00</t>
  </si>
  <si>
    <t>3245 0x00000200</t>
  </si>
  <si>
    <t>3246 0x000a31b0</t>
  </si>
  <si>
    <t>3247 0x00080600</t>
  </si>
  <si>
    <t>3248 0x000a329c</t>
  </si>
  <si>
    <t>3249 0x00080a00</t>
  </si>
  <si>
    <t>3250 0x000a329c</t>
  </si>
  <si>
    <t>3251 0x00012f8c</t>
  </si>
  <si>
    <t>3252 0x000e2e8c</t>
  </si>
  <si>
    <t>3253 0x000d2f8c</t>
  </si>
  <si>
    <t>3254 0x00013048</t>
  </si>
  <si>
    <t>3255 0x00063048</t>
  </si>
  <si>
    <t>3256 0x000c3048</t>
  </si>
  <si>
    <t>3257 0x00072e64</t>
  </si>
  <si>
    <t>3258 0x000e3048</t>
  </si>
  <si>
    <t>3259 0x000c3048</t>
  </si>
  <si>
    <t>3260 0x000a2d2c</t>
  </si>
  <si>
    <t>3261 0x00000400</t>
  </si>
  <si>
    <t>3262 0x00081000</t>
  </si>
  <si>
    <t>3263 0x000a2e78</t>
  </si>
  <si>
    <t>3264 0x000131bc</t>
  </si>
  <si>
    <t>3265 0x000933b0</t>
  </si>
  <si>
    <t>3266 0x000a330c</t>
  </si>
  <si>
    <t>3267 0x000f339c</t>
  </si>
  <si>
    <t>3268 0x000b3350</t>
  </si>
  <si>
    <t>3269 0x000a3344</t>
  </si>
  <si>
    <t>3270 0x7e000000</t>
  </si>
  <si>
    <t>3271 0x047e0000</t>
  </si>
  <si>
    <t>3272 0x00004000</t>
  </si>
  <si>
    <t>3273 0x00003f00</t>
  </si>
  <si>
    <t>3274 0x00080068</t>
  </si>
  <si>
    <t>3275 0x0000000c</t>
  </si>
  <si>
    <t>3276 0x00000004</t>
  </si>
  <si>
    <t>3277 0x00000004</t>
  </si>
  <si>
    <t>3278 0x00013300</t>
  </si>
  <si>
    <t>3279 0x000e33cc</t>
  </si>
  <si>
    <t>3280 0x000a33a8</t>
  </si>
  <si>
    <t>3281 0x000133cc</t>
  </si>
  <si>
    <t>3282 0x000e3300</t>
  </si>
  <si>
    <t>3283 0x000a33e0</t>
  </si>
  <si>
    <t>3284 0x000e3318</t>
  </si>
  <si>
    <t>3285 0x000c331c</t>
  </si>
  <si>
    <t>3286 0x00073320</t>
  </si>
  <si>
    <t>3287 0x00093324</t>
  </si>
  <si>
    <t>3288 0x000e3328</t>
  </si>
  <si>
    <t>3289 0x000d33bc</t>
  </si>
  <si>
    <t>3290 0x000a3338</t>
  </si>
  <si>
    <t>3291 0x000e3318</t>
  </si>
  <si>
    <t>3292 0x000c331c</t>
  </si>
  <si>
    <t>3293 0x00073320</t>
  </si>
  <si>
    <t>3294 0x00093324</t>
  </si>
  <si>
    <t>3295 0x000e3328</t>
  </si>
  <si>
    <t>3296 0x000d33bc</t>
  </si>
  <si>
    <t>3297 0x000f3330</t>
  </si>
  <si>
    <t>3298 0x000e3334</t>
  </si>
  <si>
    <t>3299 0x00000000</t>
  </si>
  <si>
    <t>3300 0x000b3300</t>
  </si>
  <si>
    <t>3301 0x000a33bc</t>
  </si>
  <si>
    <t>3302 0x00000100</t>
  </si>
  <si>
    <t>3303 0x7e000000</t>
  </si>
  <si>
    <t>3304 0x00013300</t>
  </si>
  <si>
    <t>3305 0x000a33e0</t>
  </si>
  <si>
    <t>3306 0x00023300</t>
  </si>
  <si>
    <t>3307 0x000a33b8</t>
  </si>
  <si>
    <t>3308 0x7e7e7e7e</t>
  </si>
  <si>
    <t>3309 0x0000004c</t>
  </si>
  <si>
    <t>3310 0x0001332c</t>
  </si>
  <si>
    <t>3311 0x00080268</t>
  </si>
  <si>
    <t>3312 0x000c3334</t>
  </si>
  <si>
    <t>3313 0x0001331c</t>
  </si>
  <si>
    <t>3314 0x000a33d0</t>
  </si>
  <si>
    <t>3315 0x00000004</t>
  </si>
  <si>
    <t>3316 0x00063398</t>
  </si>
  <si>
    <t>3317 0x000f339c</t>
  </si>
  <si>
    <t>3318 0x000b336c</t>
  </si>
  <si>
    <t>3319 0x000a339c</t>
  </si>
  <si>
    <t>3320 0x000233e4</t>
  </si>
  <si>
    <t>3321 0x000a31bc</t>
  </si>
  <si>
    <t>3322 0x00013278</t>
  </si>
  <si>
    <t>3323 0x000f2e8c</t>
  </si>
  <si>
    <t>3324 0x000d3278</t>
  </si>
  <si>
    <t>3325 0x00012e78</t>
  </si>
  <si>
    <t>3326 0x000d2f8c</t>
  </si>
  <si>
    <t>3327 0x000a316c</t>
  </si>
  <si>
    <t>Data</t>
  </si>
  <si>
    <t>8 bits</t>
  </si>
  <si>
    <t>Track Bits</t>
  </si>
  <si>
    <t>Sector Bits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</si>
  <si>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</si>
  <si>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</si>
  <si>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</si>
  <si>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</si>
  <si>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</si>
  <si>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</si>
  <si>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</si>
  <si>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</si>
  <si>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</si>
  <si>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</si>
  <si>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f</t>
  </si>
  <si>
    <t>Opcode Hex</t>
  </si>
  <si>
    <t>0010</t>
  </si>
  <si>
    <t>OpcodeBits</t>
  </si>
  <si>
    <t>Dump</t>
  </si>
  <si>
    <t xml:space="preserve"> 0 c 47  6 0b00000000000011010010111110001100</t>
  </si>
  <si>
    <t xml:space="preserve"> 1 c 50 60 0b00000000000011010011001001111000</t>
  </si>
  <si>
    <t xml:space="preserve"> 2 u 49 34 0b00000000000010100011000111000100</t>
  </si>
  <si>
    <t xml:space="preserve"> 3 a 45 12 0b00000000000011100010110110011000</t>
  </si>
  <si>
    <t xml:space="preserve"> 4 y 45 60 0b00000000000000100010110101111000</t>
  </si>
  <si>
    <t xml:space="preserve"> 5 a 46 62 0b00000000000011100010111011111100</t>
  </si>
  <si>
    <t xml:space="preserve"> 6 y 45 42 0b00000000000000100010110101010100</t>
  </si>
  <si>
    <t xml:space="preserve"> 7 y 45 44 0b00000000000000100010110101011000</t>
  </si>
  <si>
    <t xml:space="preserve"> 8 y 45 54 0b00000000000000100010110101101100</t>
  </si>
  <si>
    <t xml:space="preserve"> 9 r 50 56 0b00000000000000110011001011110000</t>
  </si>
  <si>
    <t>10 u 50 44 0b00000000000010100011001011011000</t>
  </si>
  <si>
    <t>11 e 49 56 0b00000000000010010011000111110000</t>
  </si>
  <si>
    <t>12 s 49 48 0b00000000000011110011000111100000</t>
  </si>
  <si>
    <t>13 t 45 18 0b00000000000010110010110100100100</t>
  </si>
  <si>
    <t>14 a 46  6 0b00000000000011100010111010001100</t>
  </si>
  <si>
    <t>15 h 45 10 0b00000000000011000010110110010100</t>
  </si>
  <si>
    <t>16 a 45  6 0b00000000000011100010110100001100</t>
  </si>
  <si>
    <t>17 y 45 52 0b00000000000000100010110101101000</t>
  </si>
  <si>
    <t>18 y 45 56 0b00000000000000100010110101110000</t>
  </si>
  <si>
    <t>19 y 45 40 0b00000000000000100010110101010000</t>
  </si>
  <si>
    <t>20 b 45 20 0b00000000000000010010110110101000</t>
  </si>
  <si>
    <t>21 e 45 50 0b00000000000010010010110111100100</t>
  </si>
  <si>
    <t>22 s 45 50 0b00000000000011110010110111100100</t>
  </si>
  <si>
    <t>23 t 45 52 0b00000000000010110010110101101000</t>
  </si>
  <si>
    <t>24 u 46 52 0b00000000000010100010111001101000</t>
  </si>
  <si>
    <t>25 b 45 40 0b00000000000000010010110111010000</t>
  </si>
  <si>
    <t>26 b 45 20 0b00000000000000010010110110101000</t>
  </si>
  <si>
    <t>27 a 45 50 0b00000000000011100010110111100100</t>
  </si>
  <si>
    <t>28 h 45 20 0b00000000000011000010110110101000</t>
  </si>
  <si>
    <t>29 c 45  4 0b00000000000011010010110110001000</t>
  </si>
  <si>
    <t>30 b 45 42 0b00000000000000010010110111010100</t>
  </si>
  <si>
    <t>31 c 45  6 0b00000000000011010010110110001100</t>
  </si>
  <si>
    <t>32 r 51  0 0b00000000000000110011001100000000</t>
  </si>
  <si>
    <t>33 u 51  0 0b00000000000010100011001100000000</t>
  </si>
  <si>
    <t>34 i  6 43 0b01010110101001000000011001010110</t>
  </si>
  <si>
    <t>35 n 34 63 0b00001110000001100110001001111110</t>
  </si>
  <si>
    <t>36 u 46  0 0b00000000000010100010111000000000</t>
  </si>
  <si>
    <t>37 z  0 12 0b00000000000000000000000000011000</t>
  </si>
  <si>
    <t>38 z 45 40 0b00000000000000000010110111010000</t>
  </si>
  <si>
    <t>39 y  8  3 0b00010001111100100000100000000110</t>
  </si>
  <si>
    <t>40 i  6 43 0b01010110000101000000011001010110</t>
  </si>
  <si>
    <t>41 h  6 43 0b01010110000111000000011001010110</t>
  </si>
  <si>
    <t>42 i  6 43 0b01010110101001000000011001010110</t>
  </si>
  <si>
    <t>43 h  6 43 0b01010111001011000000011001010110</t>
  </si>
  <si>
    <t>44 i  6 43 0b01010110001101000000011001010110</t>
  </si>
  <si>
    <t>45 h  6 43 0b01010110001111000000011001010110</t>
  </si>
  <si>
    <t>46 i  6 43 0b01010110010001000000011001010110</t>
  </si>
  <si>
    <t>47 h  6 43 0b01010110010011000000011001010110</t>
  </si>
  <si>
    <t>48 h  4  3 0b00101000000011000000010000000110</t>
  </si>
  <si>
    <t>49 i  8  3 0b00010000011001000000100000000110</t>
  </si>
  <si>
    <t>50 d  8  3 0b00010000011101010000100000000110</t>
  </si>
  <si>
    <t>51 h  8  3 0b00010000011011000000100000000110</t>
  </si>
  <si>
    <t>52 n 58 63 0b00001110000001100111101001111110</t>
  </si>
  <si>
    <t>53 n 34 63 0b00001110000001100110001001111110</t>
  </si>
  <si>
    <t>54 n 42 63 0b00001110000001100010101001111110</t>
  </si>
  <si>
    <t>55 n 42 63 0b00001110000001100110101001111110</t>
  </si>
  <si>
    <t>56 z  0  0 0b00000001000000000000000000000000</t>
  </si>
  <si>
    <t>57 z  0  0 0b00000000100000000000000000000000</t>
  </si>
  <si>
    <t>58 b  0  0 0b00000000000000010000000000000000</t>
  </si>
  <si>
    <t>59 z  0  0 0b00000000000000001000000000000000</t>
  </si>
  <si>
    <t>60 z  0  2 0b10000000000000000000000000000100</t>
  </si>
  <si>
    <t>61 a 62 63 0b01111110011111100111111001111110</t>
  </si>
  <si>
    <t>62 s 63 62 0b01111111111111111111111111111100</t>
  </si>
  <si>
    <t>63 z  0  0 0b00000000010000000000000000000000</t>
  </si>
  <si>
    <t xml:space="preserve"> 0 b 45 10 0b00000000000000010010110110010100</t>
  </si>
  <si>
    <t xml:space="preserve"> 1 s 49 62 0b00000000000011110011000111111100</t>
  </si>
  <si>
    <t xml:space="preserve"> 2 t 46 18 0b00000000000010110010111000100100</t>
  </si>
  <si>
    <t xml:space="preserve"> 3 s 50 14 0b00000000000011110011001010011100</t>
  </si>
  <si>
    <t xml:space="preserve"> 4 t 46 14 0b00000000000010110010111000011100</t>
  </si>
  <si>
    <t xml:space="preserve"> 5 b 47 34 0b00000000000000010010111111000100</t>
  </si>
  <si>
    <t xml:space="preserve"> 6 u 46 20 0b00000000000010100010111000101000</t>
  </si>
  <si>
    <t xml:space="preserve"> 7 b 45 10 0b00000000000000010010110110010100</t>
  </si>
  <si>
    <t xml:space="preserve"> 8 u 46 20 0b00000000000010100010111000101000</t>
  </si>
  <si>
    <t xml:space="preserve"> 9 b 45 56 0b00000000000000010010110111110000</t>
  </si>
  <si>
    <t>10 u 47 48 0b00000000000010100010111111100000</t>
  </si>
  <si>
    <t>11 b 46 60 0b00000000000000010010111001111000</t>
  </si>
  <si>
    <t>12 y 46 28 0b00000000000000100010111000111000</t>
  </si>
  <si>
    <t>13 y 46 32 0b00000000000000100010111001000000</t>
  </si>
  <si>
    <t>14 b 45 40 0b00000000000000010010110111010000</t>
  </si>
  <si>
    <t>15 e 45 58 0b00000000000010010010110111110100</t>
  </si>
  <si>
    <t>16 c 45 40 0b00000000000011010010110111010000</t>
  </si>
  <si>
    <t>17 b 46 28 0b00000000000000010010111000111000</t>
  </si>
  <si>
    <t>18 a 46  6 0b00000000000011100010111010001100</t>
  </si>
  <si>
    <t>19 h 46 28 0b00000000000011000010111000111000</t>
  </si>
  <si>
    <t>20 y 46 32 0b00000000000000100010111001000000</t>
  </si>
  <si>
    <t>21 s 45 50 0b00000000000011110010110101100100</t>
  </si>
  <si>
    <t>22 t 46 28 0b00000000000010110010111000111000</t>
  </si>
  <si>
    <t>23 c 47  6 0b00000000000011010010111110001100</t>
  </si>
  <si>
    <t>24 c 47  6 0b00000000000011010010111110001100</t>
  </si>
  <si>
    <t>25 u 46  4 0b00000000000010100010111010001000</t>
  </si>
  <si>
    <t>26 r 50 56 0b00000000000000110011001011110000</t>
  </si>
  <si>
    <t>27 u 50 38 0b00000000000010100011001011001100</t>
  </si>
  <si>
    <t>28 e 49 48 0b00000000000010010011000111100000</t>
  </si>
  <si>
    <t>29 u 45  6 0b00000000000010100010110100001100</t>
  </si>
  <si>
    <t>30 z 45 14 0b00000000000000000010110110011100</t>
  </si>
  <si>
    <t>31 b 49 42 0b00000000000000010011000111010100</t>
  </si>
  <si>
    <t>32 s 47  6 0b00000000000011110010111110001100</t>
  </si>
  <si>
    <t>33 t 46 22 0b10000000000010110010111000101100</t>
  </si>
  <si>
    <t>34 p 16  0 0b00000000000010000001000000000000</t>
  </si>
  <si>
    <t>35 z  0  2 0b00000000000000000000000000000100</t>
  </si>
  <si>
    <t>36 p 24  0 0b00000000000010000001100000000000</t>
  </si>
  <si>
    <t>37 r 46 20 0b00000000000000110010111000101000</t>
  </si>
  <si>
    <t>38 u 46 52 0b00000000000010100010111001101000</t>
  </si>
  <si>
    <t>39 c 51 26 0b00000000000011010011001110110100</t>
  </si>
  <si>
    <t>40 p 12  0 0b00000000000010000000110000000000</t>
  </si>
  <si>
    <t>41 z  0 44 0b00000000000000000000000001011000</t>
  </si>
  <si>
    <t>42 p 24  0 0b00000000000010000001100000000000</t>
  </si>
  <si>
    <t>43 r 46 20 0b00000000000000110010111000101000</t>
  </si>
  <si>
    <t>44 u 46 52 0b00000000000010100010111001101000</t>
  </si>
  <si>
    <t>45 c 50 58 0b00000000000011010011001001110100</t>
  </si>
  <si>
    <t>46 r 51  0 0b00000000000000110011001100000000</t>
  </si>
  <si>
    <t>47 u 51  0 0b00000000000010100011001100000000</t>
  </si>
  <si>
    <t>48 p 62 63 0b00100000000110000111111001111110</t>
  </si>
  <si>
    <t>49 p 24  0 0b00000000000010000001100000000000</t>
  </si>
  <si>
    <t>50 b 50 62 0b00000000000000010011001001111100</t>
  </si>
  <si>
    <t>51 a 46  6 0b00000000000011100010111010001100</t>
  </si>
  <si>
    <t>52 c 50 62 0b00000000000011010011001001111100</t>
  </si>
  <si>
    <t>53 u 46 44 0b00000000000010100010111011011000</t>
  </si>
  <si>
    <t>54 r 46 20 0b00000000000000110010111000101000</t>
  </si>
  <si>
    <t>55 u 46 52 0b00000000000010100010111001101000</t>
  </si>
  <si>
    <t>56 t 47 22 0b00000000000010110010111100101100</t>
  </si>
  <si>
    <t>57 a 51 26 0b00000000000011100011001110110100</t>
  </si>
  <si>
    <t>58 h 51 26 0b00000000000011000011001110110100</t>
  </si>
  <si>
    <t>59 e 45 60 0b00000000000010010010110111111000</t>
  </si>
  <si>
    <t>60 s 46 18 0b00000000000011110010111010100100</t>
  </si>
  <si>
    <t>61 t 47 48 0b00000000000010110010111101100000</t>
  </si>
  <si>
    <t>62 p 12  0 0b00000000000010000000110000000000</t>
  </si>
  <si>
    <t>63 z  0  8 0b00000000000000000000000000010000</t>
  </si>
  <si>
    <t xml:space="preserve"> 0 p 24  0 0b00000000000010000001100000000000</t>
  </si>
  <si>
    <t xml:space="preserve"> 1 b 47 46 0b00000000000000010010111101011100</t>
  </si>
  <si>
    <t xml:space="preserve"> 2 a 46  6 0b00000000000011100010111010001100</t>
  </si>
  <si>
    <t xml:space="preserve"> 3 c 47 46 0b00000000000011010010111101011100</t>
  </si>
  <si>
    <t xml:space="preserve"> 4 r 46 20 0b00000000000000110010111000101000</t>
  </si>
  <si>
    <t xml:space="preserve"> 5 u 46 52 0b00000000000010100010111001101000</t>
  </si>
  <si>
    <t xml:space="preserve"> 6 t 47 30 0b00000000000010110010111100111100</t>
  </si>
  <si>
    <t xml:space="preserve"> 7 a 50 58 0b00000000000011100011001001110100</t>
  </si>
  <si>
    <t xml:space="preserve"> 8 h 50 58 0b00000000000011000011001001110100</t>
  </si>
  <si>
    <t xml:space="preserve"> 9 t 48 52 0b00000000000010110011000001101000</t>
  </si>
  <si>
    <t>10 u 47 60 0b00000000000010100010111111111000</t>
  </si>
  <si>
    <t>11 b 51 26 0b00000000000000010011001110110100</t>
  </si>
  <si>
    <t>12 e 45 60 0b00000000000010010010110111111000</t>
  </si>
  <si>
    <t>13 a 45 56 0b00000000000011100010110111110000</t>
  </si>
  <si>
    <t>14 u 46 52 0b00000000000010100010111011101000</t>
  </si>
  <si>
    <t>15 b 50 58 0b00000000000000010011001001110100</t>
  </si>
  <si>
    <t>16 e 45 60 0b00000000000010010010110111111000</t>
  </si>
  <si>
    <t>17 a 45 56 0b00000000000011100010110111110000</t>
  </si>
  <si>
    <t>18 u 47 16 0b00000000000010100010111100100000</t>
  </si>
  <si>
    <t>19 b 50 58 0b00000000000000010011001001110100</t>
  </si>
  <si>
    <t>20 e 45 60 0b00000000000010010010110111111000</t>
  </si>
  <si>
    <t>21 a 45 56 0b00000000000011100010110111110000</t>
  </si>
  <si>
    <t>22 u 47 52 0b00000000000010100010111111101000</t>
  </si>
  <si>
    <t>23 z  0  0 0b00000000000000000000000000000000</t>
  </si>
  <si>
    <t>24 r 51  0 0b00000000000000110011001100000000</t>
  </si>
  <si>
    <t>25 u 51  0 0b00000000000010100011001100000000</t>
  </si>
  <si>
    <t>26 z 42  4 0b00100000000100000110101000001000</t>
  </si>
  <si>
    <t>27 u 42  8 0b01110010000110100010101000010000</t>
  </si>
  <si>
    <t>28 p  6 63 0b00100110000010000000011001111110</t>
  </si>
  <si>
    <t>29 p  0  0 0b00000000000010000000000000000000</t>
  </si>
  <si>
    <t>30 i  0  0 0b00000000000001000000000000000000</t>
  </si>
  <si>
    <t>31 e 46 62 0b00000000000010010010111011111100</t>
  </si>
  <si>
    <t>32 s 46 62 0b00000000000011110010111011111100</t>
  </si>
  <si>
    <t>33 t 47  8 0b00000000000010110010111110010000</t>
  </si>
  <si>
    <t>34 u 46 34 0b00000000000010100010111011000100</t>
  </si>
  <si>
    <t>35 z 45 14 0b00000000000000000010110110011100</t>
  </si>
  <si>
    <t>37 z  0 24 0b00000000000000000000000000110000</t>
  </si>
  <si>
    <t>38 b 51 26 0b00000000000000010011001110110100</t>
  </si>
  <si>
    <t>39 t 47 18 0b00000000000010110010111110100100</t>
  </si>
  <si>
    <t>40 u 47 32 0b00000000000010100010111111000000</t>
  </si>
  <si>
    <t>41 e 45 60 0b00000000000010010010110111111000</t>
  </si>
  <si>
    <t>42 h 51 26 0b00000000000011000011001110110100</t>
  </si>
  <si>
    <t>43 s 47 10 0b00000000000011110010111110010100</t>
  </si>
  <si>
    <t>44 t 47 28 0b00000000000010110010111110111000</t>
  </si>
  <si>
    <t>45 u 47 32 0b00000000000010100010111111000000</t>
  </si>
  <si>
    <t>46 a 46 18 0b00000000000011100010111010100100</t>
  </si>
  <si>
    <t>47 c 51 26 0b00000000000011010011001110110100</t>
  </si>
  <si>
    <t>48 p 12  0 0b00000000000010000000110000000000</t>
  </si>
  <si>
    <t>49 z  0 20 0b00000000000000000000000000101000</t>
  </si>
  <si>
    <t>50 p 24  0 0b00000000000010000001100000000000</t>
  </si>
  <si>
    <t>51 b 47 46 0b00000000000000010010111101011100</t>
  </si>
  <si>
    <t>52 a 46  6 0b00000000000011100010111010001100</t>
  </si>
  <si>
    <t>53 c 47 46 0b00000000000011010010111101011100</t>
  </si>
  <si>
    <t>56 t 47 38 0b00000000000010110010111101001100</t>
  </si>
  <si>
    <t>57 a 50 58 0b00000000000011100011001001110100</t>
  </si>
  <si>
    <t>58 h 50 58 0b00000000000011000011001001110100</t>
  </si>
  <si>
    <t>61 t 48  2 0b00000000000010110011000000000100</t>
  </si>
  <si>
    <t>63 b 51 26 0b00000000000000010011001110110100</t>
  </si>
  <si>
    <t xml:space="preserve"> 0 u 48 58 0b00000000000010100011000001110100</t>
  </si>
  <si>
    <t xml:space="preserve"> 1 a 46 62 0b00000000000011100010111011111100</t>
  </si>
  <si>
    <t xml:space="preserve"> 2 t 48  8 0b00000000000010110011000000010000</t>
  </si>
  <si>
    <t xml:space="preserve"> 3 u 47 60 0b00000000000010100010111111111000</t>
  </si>
  <si>
    <t xml:space="preserve"> 4 a 46  6 0b00000000000011100010111010001100</t>
  </si>
  <si>
    <t xml:space="preserve"> 5 t 48 30 0b00000000000010110011000000111100</t>
  </si>
  <si>
    <t xml:space="preserve"> 6 r 50 56 0b00000000000000110011001011110000</t>
  </si>
  <si>
    <t xml:space="preserve"> 7 u 50 44 0b00000000000010100011001011011000</t>
  </si>
  <si>
    <t xml:space="preserve"> 8 e 47 10 0b00000000000010010010111110010100</t>
  </si>
  <si>
    <t xml:space="preserve"> 9 s 47 10 0b00000000000011110010111110010100</t>
  </si>
  <si>
    <t>10 t 47 60 0b00000000000010110010111111111000</t>
  </si>
  <si>
    <t>11 p 16  0 0b00000000000010000001000000000000</t>
  </si>
  <si>
    <t>12 z  0 10 0b00000000000000000000000000010100</t>
  </si>
  <si>
    <t>13 p 24  0 0b00000000000010000001100000000000</t>
  </si>
  <si>
    <t>14 u 47 34 0b00000000000010100010111111000100</t>
  </si>
  <si>
    <t>15 a 48 24 0b00000000000011100011000000110000</t>
  </si>
  <si>
    <t>16 t 48 38 0b00000000000010110011000001001100</t>
  </si>
  <si>
    <t>17 u 48 22 0b00000000000010100011000000101100</t>
  </si>
  <si>
    <t>18 t 24 13 0b00100001000110110101100010011010</t>
  </si>
  <si>
    <t>19 a 46 62 0b00000000000011100010111011111100</t>
  </si>
  <si>
    <t>20 t 48 22 0b00000000000010110011000000101100</t>
  </si>
  <si>
    <t>21 b 50 58 0b00000000000000010011001001110100</t>
  </si>
  <si>
    <t>22 t 48 48 0b00000000000010110011000001100000</t>
  </si>
  <si>
    <t>23 u 48 22 0b00000000000010100011000000101100</t>
  </si>
  <si>
    <t>24 a 47 34 0b00000000000011100010111111000100</t>
  </si>
  <si>
    <t>25 u 47 52 0b00000000000010100010111111101000</t>
  </si>
  <si>
    <t>26 a 47 34 0b00000000000011100010111111000100</t>
  </si>
  <si>
    <t>27 c 50 58 0b00000000000011010011001001110100</t>
  </si>
  <si>
    <t>28 u 47 60 0b00000000000010100010111111111000</t>
  </si>
  <si>
    <t>29 e 45 60 0b00000000000010010010110111111000</t>
  </si>
  <si>
    <t>30 h 51 26 0b00000000000011000011001110110100</t>
  </si>
  <si>
    <t>31 s 46 18 0b00000000000011110010111010100100</t>
  </si>
  <si>
    <t>32 t 48 16 0b00000000000010110011000010100000</t>
  </si>
  <si>
    <t>33 r 51  0 0b00000000000000110011001100000000</t>
  </si>
  <si>
    <t>34 u 51  0 0b00000000000010100011001100000000</t>
  </si>
  <si>
    <t>35 z 10 41 0b00100000001100000000101001010010</t>
  </si>
  <si>
    <t>36 u 62 63 0b01111010010110100111111001111110</t>
  </si>
  <si>
    <t>37 c 51 26 0b00000000000011010011001110110100</t>
  </si>
  <si>
    <t>38 c 51 26 0b00000000000011010011001110110100</t>
  </si>
  <si>
    <t>39 u 49 24 0b00000000000010100011000100110000</t>
  </si>
  <si>
    <t>40 a 46  6 0b00000000000011100010111010001100</t>
  </si>
  <si>
    <t>41 t 48 42 0b00000000000010110011000011010100</t>
  </si>
  <si>
    <t>42 b 46  6 0b00000000000000010010111010001100</t>
  </si>
  <si>
    <t>43 s 50 62 0b00000000000011110011001001111100</t>
  </si>
  <si>
    <t>44 t 48 42 0b00000000000010110011000011010100</t>
  </si>
  <si>
    <t>45 r 51  0 0b00000000000000110011001100000000</t>
  </si>
  <si>
    <t>46 u 51  0 0b00000000000010100011001100000000</t>
  </si>
  <si>
    <t>47 z 10  6 0b00100000001100000000101000001100</t>
  </si>
  <si>
    <t>48 u 44 50 0b01110010011010100110110001100100</t>
  </si>
  <si>
    <t>49 u 44 63 0b01110010011010100110110001111110</t>
  </si>
  <si>
    <t>50 b 46 60 0b00000000000000010010111001111000</t>
  </si>
  <si>
    <t>51 c 47  6 0b00000000000011010010111110001100</t>
  </si>
  <si>
    <t>52 u 48 58 0b00000000000010100011000011110100</t>
  </si>
  <si>
    <t>53 b 50 62 0b00000000000000010011001001111100</t>
  </si>
  <si>
    <t>54 s 46 62 0b00000000000011110010111011111100</t>
  </si>
  <si>
    <t>55 t 49  8 0b00000000000010110011000100010000</t>
  </si>
  <si>
    <t>56 r 51  0 0b00000000000000110011001100000000</t>
  </si>
  <si>
    <t>57 u 51  0 0b00000000000010100011001100000000</t>
  </si>
  <si>
    <t>58 z 44  3 0b00100000001100000010110000000110</t>
  </si>
  <si>
    <t>59 y 26 21 0b01101010011100100001101000101010</t>
  </si>
  <si>
    <t>60 a 62 63 0b01111010011111100111111001111110</t>
  </si>
  <si>
    <t>61 b 46 18 0b00000000000000010010111010100100</t>
  </si>
  <si>
    <t>62 c 51 26 0b00000000000011010011001110110100</t>
  </si>
  <si>
    <t>63 b 50 60 0b00000000000000010011001001111000</t>
  </si>
  <si>
    <t xml:space="preserve"> 0 a 46  6 0b00000000000011100010111010001100</t>
  </si>
  <si>
    <t xml:space="preserve"> 2 u 49 24 0b00000000000010100011000100110000</t>
  </si>
  <si>
    <t xml:space="preserve"> 3 z  1  0 0b00000000000000000000000100000000</t>
  </si>
  <si>
    <t xml:space="preserve"> 4 r 51  0 0b00000000000000110011001100000000</t>
  </si>
  <si>
    <t xml:space="preserve"> 5 u 51  0 0b00000000000010100011001100000000</t>
  </si>
  <si>
    <t xml:space="preserve"> 6 z 26 35 0b00100000001100000101101001000110</t>
  </si>
  <si>
    <t xml:space="preserve"> 7 y 12  3 0b01011010011100100000110000000110</t>
  </si>
  <si>
    <t xml:space="preserve"> 8 n 62 63 0b00001110000001100111111001111110</t>
  </si>
  <si>
    <t xml:space="preserve"> 9 b 51 26 0b00000000000000010011001110110100</t>
  </si>
  <si>
    <t>10 r 50 28 0b00000000000000110011001010111000</t>
  </si>
  <si>
    <t>11 u 50  0 0b00000000000010100011001010000000</t>
  </si>
  <si>
    <t>12 b 50 58 0b00000000000000010011001001110100</t>
  </si>
  <si>
    <t>13 e 45 60 0b00000000000010010010110111111000</t>
  </si>
  <si>
    <t>14 h 50 58 0b00000000000011000011001001110100</t>
  </si>
  <si>
    <t>15 s 46 18 0b00000000000011110010111010100100</t>
  </si>
  <si>
    <t>16 t 50  2 0b00000000000010110011001000000100</t>
  </si>
  <si>
    <t>17 r 51  0 0b00000000000000110011001100000000</t>
  </si>
  <si>
    <t>18 u 51  0 0b00000000000010100011001100000000</t>
  </si>
  <si>
    <t>19 p 10 41 0b00110000000110000000101001010010</t>
  </si>
  <si>
    <t>20 u 24  3 0b01111010010110100001100000000110</t>
  </si>
  <si>
    <t>21 n  6 63 0b00000110000001100000011001111110</t>
  </si>
  <si>
    <t>22 c 50 58 0b00000000000011010011001001110100</t>
  </si>
  <si>
    <t>23 c 50 58 0b00000000000011010011001001110100</t>
  </si>
  <si>
    <t>24 b 50 58 0b00000000000000010011001001110100</t>
  </si>
  <si>
    <t>25 s 51 26 0b00000000000011110011001110110100</t>
  </si>
  <si>
    <t>26 t 50 52 0b00000000000010110011001001101000</t>
  </si>
  <si>
    <t>27 b 50 60 0b00000000000000010011001001111000</t>
  </si>
  <si>
    <t>28 s 46  6 0b00000000000011110010111010001100</t>
  </si>
  <si>
    <t>29 c 50 60 0b00000000000011010011001001111000</t>
  </si>
  <si>
    <t>30 r 51  0 0b00000000000000110011001100000000</t>
  </si>
  <si>
    <t>31 u 51  0 0b00000000000010100011001100000000</t>
  </si>
  <si>
    <t>32 u 42 35 0b00110000011110100110101001000110</t>
  </si>
  <si>
    <t>33 u  6  8 0b00011010010010100000011000010000</t>
  </si>
  <si>
    <t>34 p  6 63 0b00010110000010000000011001111110</t>
  </si>
  <si>
    <t>35 b 50 60 0b00000000000000010011001001111000</t>
  </si>
  <si>
    <t>36 t 49 46 0b00000000000010110011000111011100</t>
  </si>
  <si>
    <t>37 h 45 10 0b00000000000011000010110110010100</t>
  </si>
  <si>
    <t>38 r 51  0 0b00000000000000110011001100000000</t>
  </si>
  <si>
    <t>39 u 51  0 0b00000000000010100011001100000000</t>
  </si>
  <si>
    <t>40 i  8 63 0b00010000001101000000100001111110</t>
  </si>
  <si>
    <t>41 b 45 10 0b00000000000000010010110110010100</t>
  </si>
  <si>
    <t>42 r 50 28 0b00000000000000110011001010111000</t>
  </si>
  <si>
    <t>43 u 50  0 0b00000000000010100011001010000000</t>
  </si>
  <si>
    <t>44 r 51  0 0b00000000000000110011001100000000</t>
  </si>
  <si>
    <t>45 u 51  0 0b00000000000010100011001100000000</t>
  </si>
  <si>
    <t>46 i  4 63 0b00101110000001000000010001111110</t>
  </si>
  <si>
    <t>47 b 50 60 0b00000000000000010011001001111000</t>
  </si>
  <si>
    <t>48 t 49 60 0b00000000000010110011000111111000</t>
  </si>
  <si>
    <t>49 p 16  0 0b00000000000010000001000000000000</t>
  </si>
  <si>
    <t>50 c 50 62 0b00000000000011010011001001111100</t>
  </si>
  <si>
    <t>51 c 50 62 0b00000000000011010011001001111100</t>
  </si>
  <si>
    <t>52 c 47 46 0b00000000000011010010111101011100</t>
  </si>
  <si>
    <t>53 z  0 52 0b00000000000000000000000001101000</t>
  </si>
  <si>
    <t>54 u 50 58 0b00000000000010100011001011110100</t>
  </si>
  <si>
    <t>55 p 12  0 0b00000000000010000000110000000000</t>
  </si>
  <si>
    <t>56 z  0  6 0b00000000000000000000000000001100</t>
  </si>
  <si>
    <t>57 c 50 60 0b00000000000011010011001001111000</t>
  </si>
  <si>
    <t>58 s 50 60 0b00000000000011110011001001111000</t>
  </si>
  <si>
    <t>59 p  7  0 0b00000000000010000000011100000000</t>
  </si>
  <si>
    <t>60 z  0 30 0b00000000000000000000000000111100</t>
  </si>
  <si>
    <t>61 u 49 10 0b00000000000010100011000110010100</t>
  </si>
  <si>
    <t>63 z  0  4 0b00000000000000000000000000001000</t>
  </si>
  <si>
    <t xml:space="preserve"> 0 u 49 34 0b00000000000010100011000111000100</t>
  </si>
  <si>
    <t xml:space="preserve"> 1 a 46  6 0b00000000000011100010111010001100</t>
  </si>
  <si>
    <t xml:space="preserve"> 2 t 50 32 0b00000000000010110011001001000000</t>
  </si>
  <si>
    <t xml:space="preserve"> 3 b 46  6 0b00000000000000010010111010001100</t>
  </si>
  <si>
    <t xml:space="preserve"> 4 s 47 46 0b00000000000011110010111101011100</t>
  </si>
  <si>
    <t xml:space="preserve"> 5 t 50 32 0b00000000000010110011001001000000</t>
  </si>
  <si>
    <t xml:space="preserve"> 6 r 51  0 0b00000000000000110011001100000000</t>
  </si>
  <si>
    <t xml:space="preserve"> 7 u 51  0 0b00000000000010100011001100000000</t>
  </si>
  <si>
    <t xml:space="preserve"> 8 p 10  6 0b00110000000110000000101000001100</t>
  </si>
  <si>
    <t xml:space="preserve"> 9 u 44 50 0b01110010011010100110110001100100</t>
  </si>
  <si>
    <t>10 u 44 63 0b01110010011010100110110001111110</t>
  </si>
  <si>
    <t>11 p 12  0 0b00000000000010000000110000000000</t>
  </si>
  <si>
    <t>12 b 51 26 0b00000000000000010011001110110100</t>
  </si>
  <si>
    <t>13 s 46 18 0b00000000000011110010111010100100</t>
  </si>
  <si>
    <t>14 t 51 58 0b00000000000010110011001111110100</t>
  </si>
  <si>
    <t>15 u 51 52 0b00000000000010100011001111101000</t>
  </si>
  <si>
    <t>16 r 51  0 0b00000000000000110011001100000000</t>
  </si>
  <si>
    <t>17 u 51  0 0b00000000000010100011001100000000</t>
  </si>
  <si>
    <t>18 p 26 35 0b00110000000110000101101001000110</t>
  </si>
  <si>
    <t>19 y 12  3 0b01011010011100100000110000000110</t>
  </si>
  <si>
    <t>20 n 62 63 0b00001110000001100111111001111110</t>
  </si>
  <si>
    <t>22 r 50 28 0b00000000000000110011001010111000</t>
  </si>
  <si>
    <t>23 u 50  0 0b00000000000010100011001010000000</t>
  </si>
  <si>
    <t>24 p 12  0 0b00000000000010000000110000000000</t>
  </si>
  <si>
    <t>25 u 49 48 0b00000000000010100011000101100000</t>
  </si>
  <si>
    <t>26 b 50 60 0b00000000000000010011001001111000</t>
  </si>
  <si>
    <t>27 a 46  6 0b00000000000011100010111010001100</t>
  </si>
  <si>
    <t>28 u 49 58 0b00000000000010100011000101110100</t>
  </si>
  <si>
    <t>29 z  0 40 0b00000000000000000000000001010000</t>
  </si>
  <si>
    <t>30 s 63 52 0b11111111111111111111111111101000</t>
  </si>
  <si>
    <t>31 z  0  0 0b00000000000000000000000000000000</t>
  </si>
  <si>
    <t>32 s 47 34 0b00000000000011110010111111000100</t>
  </si>
  <si>
    <t>33 t 50 16 0b00000000000010110011001010100000</t>
  </si>
  <si>
    <t>34 s 47 34 0b00000000000011110010111111000100</t>
  </si>
  <si>
    <t>35 t 50 30 0b00000000000010110011001010111100</t>
  </si>
  <si>
    <t>36 s 47 34 0b00000000000011110010111111000100</t>
  </si>
  <si>
    <t>37 t 50 34 0b00000000000010110011001011000100</t>
  </si>
  <si>
    <t>38 p 14  0 0b00000000000010000000111000000000</t>
  </si>
  <si>
    <t>39 z  0 18 0b00000000000000000000000000100100</t>
  </si>
  <si>
    <t>40 a 47 34 0b00000000000011100010111111000100</t>
  </si>
  <si>
    <t>41 n 49  6 0b00000000000001100011000100001100</t>
  </si>
  <si>
    <t>42 a 50 26 0b00000000000011100011001010110100</t>
  </si>
  <si>
    <t>43 y 50 24 0b00000000000000100011001010110000</t>
  </si>
  <si>
    <t>44 p 26  0 0b00000000000010000001101000000000</t>
  </si>
  <si>
    <t>45 z  2  0 0b00000000000000000000001000000000</t>
  </si>
  <si>
    <t>46 u 49 24 0b00000000000010100011000110110000</t>
  </si>
  <si>
    <t>47 p  6  0 0b00000000000010000000011000000000</t>
  </si>
  <si>
    <t>48 u 50 14 0b00000000000010100011001010011100</t>
  </si>
  <si>
    <t>49 p 10  0 0b00000000000010000000101000000000</t>
  </si>
  <si>
    <t>50 u 50 14 0b00000000000010100011001010011100</t>
  </si>
  <si>
    <t>51 b 47  6 0b00000000000000010010111110001100</t>
  </si>
  <si>
    <t>53 c 47  6 0b00000000000011010010111110001100</t>
  </si>
  <si>
    <t>54 b 48 36 0b00000000000000010011000001001000</t>
  </si>
  <si>
    <t>55 n 48 36 0b00000000000001100011000001001000</t>
  </si>
  <si>
    <t>56 h 48 36 0b00000000000011000011000001001000</t>
  </si>
  <si>
    <t>57 m 46 50 0b00000000000001110010111001100100</t>
  </si>
  <si>
    <t>58 a 48 36 0b00000000000011100011000001001000</t>
  </si>
  <si>
    <t>59 h 48 36 0b00000000000011000011000001001000</t>
  </si>
  <si>
    <t>60 u 45 22 0b00000000000010100010110100101100</t>
  </si>
  <si>
    <t>61 z  4  0 0b00000000000000000000010000000000</t>
  </si>
  <si>
    <t>62 p 16  0 0b00000000000010000001000000000000</t>
  </si>
  <si>
    <t>63 u 46 60 0b00000000000010100010111001111000</t>
  </si>
  <si>
    <t xml:space="preserve"> 0 b 49 30 0b00000000000000010011000110111100</t>
  </si>
  <si>
    <t xml:space="preserve"> 1 e 51 24 0b00000000000010010011001110110000</t>
  </si>
  <si>
    <t xml:space="preserve"> 2 u 51  6 0b00000000000010100011001100001100</t>
  </si>
  <si>
    <t xml:space="preserve"> 3 s 51 14 0b00000000000011110011001110011100</t>
  </si>
  <si>
    <t xml:space="preserve"> 4 t 51 40 0b00000000000010110011001101010000</t>
  </si>
  <si>
    <t xml:space="preserve"> 5 u 51 34 0b00000000000010100011001101000100</t>
  </si>
  <si>
    <t xml:space="preserve"> 6 z  0  0 0b01111110000000000000000000000000</t>
  </si>
  <si>
    <t xml:space="preserve"> 7 a  0  0 0b00000100011111100000000000000000</t>
  </si>
  <si>
    <t xml:space="preserve"> 8 z  0  0 0b00000000000000000100000000000000</t>
  </si>
  <si>
    <t xml:space="preserve"> 9 z 63  0 0b00000000000000000011111100000000</t>
  </si>
  <si>
    <t>10 p  0 52 0b00000000000010000000000001101000</t>
  </si>
  <si>
    <t>11 z  0  6 0b00000000000000000000000000001100</t>
  </si>
  <si>
    <t>12 z  0  2 0b00000000000000000000000000000100</t>
  </si>
  <si>
    <t>13 z  0  2 0b00000000000000000000000000000100</t>
  </si>
  <si>
    <t>14 b 51  0 0b00000000000000010011001100000000</t>
  </si>
  <si>
    <t>15 a 51 38 0b00000000000011100011001111001100</t>
  </si>
  <si>
    <t>16 u 51 20 0b00000000000010100011001110101000</t>
  </si>
  <si>
    <t>17 b 51 38 0b00000000000000010011001111001100</t>
  </si>
  <si>
    <t>18 a 51  0 0b00000000000011100011001100000000</t>
  </si>
  <si>
    <t>19 u 51 48 0b00000000000010100011001111100000</t>
  </si>
  <si>
    <t>20 a 51 12 0b00000000000011100011001100011000</t>
  </si>
  <si>
    <t>21 h 51 14 0b00000000000011000011001100011100</t>
  </si>
  <si>
    <t>22 m 51 16 0b00000000000001110011001100100000</t>
  </si>
  <si>
    <t>23 e 51 18 0b00000000000010010011001100100100</t>
  </si>
  <si>
    <t>24 a 51 20 0b00000000000011100011001100101000</t>
  </si>
  <si>
    <t>25 c 51 30 0b00000000000011010011001110111100</t>
  </si>
  <si>
    <t>26 u 51 28 0b00000000000010100011001100111000</t>
  </si>
  <si>
    <t>27 a 51 12 0b00000000000011100011001100011000</t>
  </si>
  <si>
    <t>28 h 51 14 0b00000000000011000011001100011100</t>
  </si>
  <si>
    <t>29 m 51 16 0b00000000000001110011001100100000</t>
  </si>
  <si>
    <t>30 e 51 18 0b00000000000010010011001100100100</t>
  </si>
  <si>
    <t>31 a 51 20 0b00000000000011100011001100101000</t>
  </si>
  <si>
    <t>32 c 51 30 0b00000000000011010011001110111100</t>
  </si>
  <si>
    <t>33 s 51 24 0b00000000000011110011001100110000</t>
  </si>
  <si>
    <t>34 a 51 26 0b00000000000011100011001100110100</t>
  </si>
  <si>
    <t>35 z  0  0 0b00000000000000000000000000000000</t>
  </si>
  <si>
    <t>36 t 51  0 0b00000000000010110011001100000000</t>
  </si>
  <si>
    <t>37 u 51 30 0b00000000000010100011001110111100</t>
  </si>
  <si>
    <t>38 z  1  0 0b00000000000000000000000100000000</t>
  </si>
  <si>
    <t>39 z  0  0 0b01111110000000000000000000000000</t>
  </si>
  <si>
    <t>40 b 51  0 0b00000000000000010011001100000000</t>
  </si>
  <si>
    <t>41 u 51 48 0b00000000000010100011001111100000</t>
  </si>
  <si>
    <t>42 y 51  0 0b00000000000000100011001100000000</t>
  </si>
  <si>
    <t>43 u 51 28 0b00000000000010100011001110111000</t>
  </si>
  <si>
    <t>44 a 62 63 0b01111110011111100111111001111110</t>
  </si>
  <si>
    <t>45 z  0 38 0b00000000000000000000000001001100</t>
  </si>
  <si>
    <t>46 b 51 22 0b00000000000000010011001100101100</t>
  </si>
  <si>
    <t>47 p  2 52 0b00000000000010000000001001101000</t>
  </si>
  <si>
    <t>48 h 51 26 0b00000000000011000011001100110100</t>
  </si>
  <si>
    <t>49 b 51 14 0b00000000000000010011001100011100</t>
  </si>
  <si>
    <t>50 u 51 40 0b00000000000010100011001111010000</t>
  </si>
  <si>
    <t>51 z  0  2 0b00000000000000000000000000000100</t>
  </si>
  <si>
    <t>52 n 51 12 0b00000000000001100011001110011000</t>
  </si>
  <si>
    <t>53 s 51 14 0b00000000000011110011001110011100</t>
  </si>
  <si>
    <t>54 t 51 54 0b00000000000010110011001101101100</t>
  </si>
  <si>
    <t>55 u 51 14 0b00000000000010100011001110011100</t>
  </si>
  <si>
    <t>56 y 51 50 0b00000000000000100011001111100100</t>
  </si>
  <si>
    <t>57 u 49 30 0b00000000000010100011000110111100</t>
  </si>
  <si>
    <t>58 b 50 60 0b00000000000000010011001001111000</t>
  </si>
  <si>
    <t>59 s 46  6 0b00000000000011110010111010001100</t>
  </si>
  <si>
    <t>60 c 50 60 0b00000000000011010011001001111000</t>
  </si>
  <si>
    <t>61 b 46 60 0b00000000000000010010111001111000</t>
  </si>
  <si>
    <t>62 c 47  6 0b00000000000011010010111110001100</t>
  </si>
  <si>
    <t>63 u 49 54 0b00000000000010100011000101101100</t>
  </si>
  <si>
    <t>Addr Track</t>
  </si>
  <si>
    <t>Addr Sector</t>
  </si>
  <si>
    <t>Text</t>
  </si>
  <si>
    <t>Valid Track</t>
  </si>
  <si>
    <t>z Instr</t>
  </si>
  <si>
    <t>Could be Z Cond</t>
  </si>
  <si>
    <t>Could be Z 0</t>
  </si>
  <si>
    <t>0 Track</t>
  </si>
  <si>
    <t>Non-0 Sector</t>
  </si>
  <si>
    <t>Z and Non-0 Sector</t>
  </si>
  <si>
    <t>Could be z</t>
  </si>
  <si>
    <t xml:space="preserve">Is operand </t>
  </si>
  <si>
    <t>Could be z and is Operand</t>
  </si>
  <si>
    <t>S-Opcode</t>
  </si>
  <si>
    <t>M-Opcode</t>
  </si>
  <si>
    <t>M-Addr</t>
  </si>
  <si>
    <t>S-Addr</t>
  </si>
  <si>
    <t>Opcode diff</t>
  </si>
  <si>
    <t>S-Track</t>
  </si>
  <si>
    <t>M-Track</t>
  </si>
  <si>
    <t>Track diff</t>
  </si>
  <si>
    <t>S-Sector</t>
  </si>
  <si>
    <t>M-Sector</t>
  </si>
  <si>
    <t>Sector diff</t>
  </si>
  <si>
    <t>https://github.com/georgeweigt/mel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</si>
</sst>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49" fontId="0" fillId="0" borderId="0" xfId="0" quotePrefix="1" applyNumberFormat="1"/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A159-739B-400F-A0D1-DFD87516F15F}">
  <dimension ref="A1:V64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54296875" style="2" bestFit="1" customWidth="1"/>
    <col min="2" max="2" width="5.26953125" style="2" bestFit="1" customWidth="1"/>
    <col min="3" max="3" width="6" style="2" bestFit="1" customWidth="1"/>
    <col min="4" max="4" width="33.36328125" bestFit="1" customWidth="1"/>
    <col min="5" max="5" width="10.26953125" bestFit="1" customWidth="1"/>
    <col min="7" max="7" width="9.453125" bestFit="1" customWidth="1"/>
    <col min="8" max="8" width="7.26953125" bestFit="1" customWidth="1"/>
    <col min="9" max="9" width="5.26953125" bestFit="1" customWidth="1"/>
    <col min="10" max="10" width="6" bestFit="1" customWidth="1"/>
    <col min="11" max="11" width="5.54296875" bestFit="1" customWidth="1"/>
    <col min="13" max="13" width="5.90625" bestFit="1" customWidth="1"/>
    <col min="14" max="14" width="9.81640625" bestFit="1" customWidth="1"/>
    <col min="15" max="15" width="14.453125" bestFit="1" customWidth="1"/>
    <col min="16" max="16" width="9.453125" bestFit="1" customWidth="1"/>
    <col min="17" max="17" width="13.54296875" bestFit="1" customWidth="1"/>
    <col min="18" max="18" width="11.54296875" bestFit="1" customWidth="1"/>
    <col min="19" max="19" width="16.6328125" bestFit="1" customWidth="1"/>
    <col min="20" max="20" width="12.7265625" bestFit="1" customWidth="1"/>
    <col min="21" max="21" width="10.1796875" bestFit="1" customWidth="1"/>
    <col min="22" max="22" width="22.90625" bestFit="1" customWidth="1"/>
  </cols>
  <sheetData>
    <row r="1" spans="1:22" x14ac:dyDescent="0.35">
      <c r="A1" s="2" t="s">
        <v>306</v>
      </c>
      <c r="B1" s="2" t="s">
        <v>307</v>
      </c>
      <c r="C1" s="2" t="s">
        <v>308</v>
      </c>
      <c r="D1" t="s">
        <v>304</v>
      </c>
      <c r="E1" t="s">
        <v>783</v>
      </c>
      <c r="F1" t="s">
        <v>768</v>
      </c>
      <c r="G1" t="s">
        <v>769</v>
      </c>
      <c r="H1" t="s">
        <v>305</v>
      </c>
      <c r="I1" t="s">
        <v>307</v>
      </c>
      <c r="J1" t="s">
        <v>308</v>
      </c>
      <c r="K1" t="s">
        <v>317</v>
      </c>
      <c r="M1" t="s">
        <v>1227</v>
      </c>
      <c r="N1" t="s">
        <v>1226</v>
      </c>
      <c r="O1" t="s">
        <v>1228</v>
      </c>
      <c r="P1" t="s">
        <v>1230</v>
      </c>
      <c r="Q1" t="s">
        <v>1229</v>
      </c>
      <c r="R1" t="s">
        <v>1231</v>
      </c>
      <c r="S1" t="s">
        <v>1232</v>
      </c>
      <c r="T1" t="s">
        <v>1233</v>
      </c>
      <c r="U1" t="s">
        <v>1234</v>
      </c>
      <c r="V1" t="s">
        <v>1235</v>
      </c>
    </row>
    <row r="2" spans="1:22" x14ac:dyDescent="0.35">
      <c r="A2" s="2">
        <v>2880</v>
      </c>
      <c r="B2" s="2">
        <f>QUOTIENT(A2,64)</f>
        <v>45</v>
      </c>
      <c r="C2" s="2">
        <f>MOD(A2,64)</f>
        <v>0</v>
      </c>
      <c r="D2" s="1" t="s">
        <v>0</v>
      </c>
      <c r="E2" t="str">
        <f>MID(D2,13,4)</f>
        <v>1101</v>
      </c>
      <c r="F2" t="str">
        <f t="shared" ref="F2:F65" si="0">MID(D2,19,6)</f>
        <v>101111</v>
      </c>
      <c r="G2" t="str">
        <f t="shared" ref="G2:G65" si="1">MID(D2,25,6)</f>
        <v>100011</v>
      </c>
      <c r="H2" t="str">
        <f>LOOKUP(E2,Lookups!$A$1:$A$16,Lookups!$B$1:$B$16)</f>
        <v>c</v>
      </c>
      <c r="I2">
        <f>BIN2DEC(F2)</f>
        <v>47</v>
      </c>
      <c r="J2">
        <f>BIN2DEC(G2)</f>
        <v>35</v>
      </c>
      <c r="K2">
        <f t="shared" ref="K2:K65" si="2">I2*64+J2</f>
        <v>3043</v>
      </c>
      <c r="M2" t="b">
        <f>IF(H2="z", TRUE,FALSE)</f>
        <v>0</v>
      </c>
      <c r="N2" t="b">
        <f>IF(AND(I2,60),TRUE,FALSE)</f>
        <v>1</v>
      </c>
      <c r="O2" t="b">
        <f>IF(AND(M2,N2),TRUE,FALSE)</f>
        <v>0</v>
      </c>
      <c r="P2" t="b">
        <f>IF(I2=0,TRUE, FALSE)</f>
        <v>0</v>
      </c>
      <c r="Q2" t="b">
        <f>IF(AND(M2,P2),TRUE,FALSE)</f>
        <v>0</v>
      </c>
      <c r="R2" t="b">
        <f>IF(J2&lt;&gt;0,TRUE,FALSE)</f>
        <v>1</v>
      </c>
      <c r="S2" t="b">
        <f>IF(AND(M2,R2),TRUE,FALSE)</f>
        <v>0</v>
      </c>
      <c r="T2" t="b">
        <f>IF(AND(OR(O2,Q2),NOT(S2)),TRUE,FALSE)</f>
        <v>0</v>
      </c>
      <c r="U2" t="b">
        <f>IF(AND(A2,COUNTIF($K$2:$K$449,A2)),TRUE,FALSE)</f>
        <v>0</v>
      </c>
      <c r="V2" t="b">
        <f>IF(AND(T2,U2),TRUE,FALSE)</f>
        <v>0</v>
      </c>
    </row>
    <row r="3" spans="1:22" x14ac:dyDescent="0.35">
      <c r="A3" s="2">
        <v>2881</v>
      </c>
      <c r="B3" s="2">
        <f t="shared" ref="B3:B66" si="3">QUOTIENT(A3,64)</f>
        <v>45</v>
      </c>
      <c r="C3" s="2">
        <f t="shared" ref="C3:C66" si="4">MOD(A3,64)</f>
        <v>1</v>
      </c>
      <c r="D3" s="1" t="s">
        <v>1</v>
      </c>
      <c r="E3" t="str">
        <f t="shared" ref="E3:E66" si="5">MID(D3,13,4)</f>
        <v>1101</v>
      </c>
      <c r="F3" t="str">
        <f t="shared" si="0"/>
        <v>110010</v>
      </c>
      <c r="G3" t="str">
        <f t="shared" si="1"/>
        <v>011110</v>
      </c>
      <c r="H3" t="str">
        <f>LOOKUP(E3,Lookups!$A$1:$A$16,Lookups!$B$1:$B$16)</f>
        <v>c</v>
      </c>
      <c r="I3">
        <f t="shared" ref="I3:I66" si="6">BIN2DEC(F3)</f>
        <v>50</v>
      </c>
      <c r="J3">
        <f t="shared" ref="J3:J66" si="7">BIN2DEC(G3)</f>
        <v>30</v>
      </c>
      <c r="K3">
        <f t="shared" si="2"/>
        <v>3230</v>
      </c>
      <c r="M3" t="b">
        <f t="shared" ref="M3:M66" si="8">IF(H3="z", TRUE,FALSE)</f>
        <v>0</v>
      </c>
      <c r="N3" t="b">
        <f t="shared" ref="N3:N66" si="9">IF(AND(I3,60),TRUE,FALSE)</f>
        <v>1</v>
      </c>
      <c r="O3" t="b">
        <f t="shared" ref="O3:O66" si="10">IF(AND(M3,N3),TRUE,FALSE)</f>
        <v>0</v>
      </c>
      <c r="P3" t="b">
        <f t="shared" ref="P3:P66" si="11">IF(I3=0,TRUE, FALSE)</f>
        <v>0</v>
      </c>
      <c r="Q3" t="b">
        <f t="shared" ref="Q3:Q66" si="12">IF(AND(M3,P3),TRUE,FALSE)</f>
        <v>0</v>
      </c>
      <c r="R3" t="b">
        <f t="shared" ref="R3:R66" si="13">IF(J3&lt;&gt;0,TRUE,FALSE)</f>
        <v>1</v>
      </c>
      <c r="S3" t="b">
        <f t="shared" ref="S3:S66" si="14">IF(AND(M3,R3),TRUE,FALSE)</f>
        <v>0</v>
      </c>
      <c r="T3" t="b">
        <f t="shared" ref="T3:T66" si="15">IF(AND(OR(O3,Q3),NOT(S3)),TRUE,FALSE)</f>
        <v>0</v>
      </c>
      <c r="U3" t="b">
        <f t="shared" ref="U3:U66" si="16">IF(AND(A3,COUNTIF($K$2:$K$449,A3)),TRUE,FALSE)</f>
        <v>0</v>
      </c>
      <c r="V3" t="b">
        <f t="shared" ref="V3:V66" si="17">IF(AND(T3,U3),TRUE,FALSE)</f>
        <v>0</v>
      </c>
    </row>
    <row r="4" spans="1:22" x14ac:dyDescent="0.35">
      <c r="A4" s="2">
        <v>2882</v>
      </c>
      <c r="B4" s="2">
        <f t="shared" si="3"/>
        <v>45</v>
      </c>
      <c r="C4" s="2">
        <f t="shared" si="4"/>
        <v>2</v>
      </c>
      <c r="D4" s="1" t="s">
        <v>2</v>
      </c>
      <c r="E4" t="str">
        <f t="shared" si="5"/>
        <v>1010</v>
      </c>
      <c r="F4" t="str">
        <f t="shared" si="0"/>
        <v>110001</v>
      </c>
      <c r="G4" t="str">
        <f t="shared" si="1"/>
        <v>110001</v>
      </c>
      <c r="H4" t="str">
        <f>LOOKUP(E4,Lookups!$A$1:$A$16,Lookups!$B$1:$B$16)</f>
        <v>u</v>
      </c>
      <c r="I4">
        <f t="shared" si="6"/>
        <v>49</v>
      </c>
      <c r="J4">
        <f t="shared" si="7"/>
        <v>49</v>
      </c>
      <c r="K4">
        <f t="shared" si="2"/>
        <v>3185</v>
      </c>
      <c r="M4" t="b">
        <f t="shared" si="8"/>
        <v>0</v>
      </c>
      <c r="N4" t="b">
        <f t="shared" si="9"/>
        <v>1</v>
      </c>
      <c r="O4" t="b">
        <f t="shared" si="10"/>
        <v>0</v>
      </c>
      <c r="P4" t="b">
        <f t="shared" si="11"/>
        <v>0</v>
      </c>
      <c r="Q4" t="b">
        <f t="shared" si="12"/>
        <v>0</v>
      </c>
      <c r="R4" t="b">
        <f t="shared" si="13"/>
        <v>1</v>
      </c>
      <c r="S4" t="b">
        <f t="shared" si="14"/>
        <v>0</v>
      </c>
      <c r="T4" t="b">
        <f t="shared" si="15"/>
        <v>0</v>
      </c>
      <c r="U4" t="b">
        <f t="shared" si="16"/>
        <v>0</v>
      </c>
      <c r="V4" t="b">
        <f t="shared" si="17"/>
        <v>0</v>
      </c>
    </row>
    <row r="5" spans="1:22" x14ac:dyDescent="0.35">
      <c r="A5" s="2">
        <v>2883</v>
      </c>
      <c r="B5" s="2">
        <f t="shared" si="3"/>
        <v>45</v>
      </c>
      <c r="C5" s="2">
        <f t="shared" si="4"/>
        <v>3</v>
      </c>
      <c r="D5" s="1" t="s">
        <v>3</v>
      </c>
      <c r="E5" t="str">
        <f t="shared" si="5"/>
        <v>1110</v>
      </c>
      <c r="F5" t="str">
        <f t="shared" si="0"/>
        <v>101101</v>
      </c>
      <c r="G5" t="str">
        <f t="shared" si="1"/>
        <v>100110</v>
      </c>
      <c r="H5" t="str">
        <f>LOOKUP(E5,Lookups!$A$1:$A$16,Lookups!$B$1:$B$16)</f>
        <v>a</v>
      </c>
      <c r="I5">
        <f t="shared" si="6"/>
        <v>45</v>
      </c>
      <c r="J5">
        <f t="shared" si="7"/>
        <v>38</v>
      </c>
      <c r="K5">
        <f t="shared" si="2"/>
        <v>2918</v>
      </c>
      <c r="M5" t="b">
        <f t="shared" si="8"/>
        <v>0</v>
      </c>
      <c r="N5" t="b">
        <f t="shared" si="9"/>
        <v>1</v>
      </c>
      <c r="O5" t="b">
        <f t="shared" si="10"/>
        <v>0</v>
      </c>
      <c r="P5" t="b">
        <f t="shared" si="11"/>
        <v>0</v>
      </c>
      <c r="Q5" t="b">
        <f t="shared" si="12"/>
        <v>0</v>
      </c>
      <c r="R5" t="b">
        <f t="shared" si="13"/>
        <v>1</v>
      </c>
      <c r="S5" t="b">
        <f t="shared" si="14"/>
        <v>0</v>
      </c>
      <c r="T5" t="b">
        <f t="shared" si="15"/>
        <v>0</v>
      </c>
      <c r="U5" t="b">
        <f t="shared" si="16"/>
        <v>1</v>
      </c>
      <c r="V5" t="b">
        <f t="shared" si="17"/>
        <v>0</v>
      </c>
    </row>
    <row r="6" spans="1:22" x14ac:dyDescent="0.35">
      <c r="A6" s="2">
        <v>2884</v>
      </c>
      <c r="B6" s="2">
        <f t="shared" si="3"/>
        <v>45</v>
      </c>
      <c r="C6" s="2">
        <f t="shared" si="4"/>
        <v>4</v>
      </c>
      <c r="D6" s="1" t="s">
        <v>4</v>
      </c>
      <c r="E6" t="str">
        <f t="shared" si="5"/>
        <v>0010</v>
      </c>
      <c r="F6" t="str">
        <f t="shared" si="0"/>
        <v>101101</v>
      </c>
      <c r="G6" t="str">
        <f t="shared" si="1"/>
        <v>011110</v>
      </c>
      <c r="H6" t="str">
        <f>LOOKUP(E6,Lookups!$A$1:$A$16,Lookups!$B$1:$B$16)</f>
        <v>y</v>
      </c>
      <c r="I6">
        <f t="shared" si="6"/>
        <v>45</v>
      </c>
      <c r="J6">
        <f t="shared" si="7"/>
        <v>30</v>
      </c>
      <c r="K6">
        <f t="shared" si="2"/>
        <v>2910</v>
      </c>
      <c r="M6" t="b">
        <f t="shared" si="8"/>
        <v>0</v>
      </c>
      <c r="N6" t="b">
        <f t="shared" si="9"/>
        <v>1</v>
      </c>
      <c r="O6" t="b">
        <f t="shared" si="10"/>
        <v>0</v>
      </c>
      <c r="P6" t="b">
        <f t="shared" si="11"/>
        <v>0</v>
      </c>
      <c r="Q6" t="b">
        <f t="shared" si="12"/>
        <v>0</v>
      </c>
      <c r="R6" t="b">
        <f t="shared" si="13"/>
        <v>1</v>
      </c>
      <c r="S6" t="b">
        <f t="shared" si="14"/>
        <v>0</v>
      </c>
      <c r="T6" t="b">
        <f t="shared" si="15"/>
        <v>0</v>
      </c>
      <c r="U6" t="b">
        <f t="shared" si="16"/>
        <v>0</v>
      </c>
      <c r="V6" t="b">
        <f t="shared" si="17"/>
        <v>0</v>
      </c>
    </row>
    <row r="7" spans="1:22" x14ac:dyDescent="0.35">
      <c r="A7" s="2">
        <v>2885</v>
      </c>
      <c r="B7" s="2">
        <f t="shared" si="3"/>
        <v>45</v>
      </c>
      <c r="C7" s="2">
        <f t="shared" si="4"/>
        <v>5</v>
      </c>
      <c r="D7" s="1" t="s">
        <v>5</v>
      </c>
      <c r="E7" t="str">
        <f t="shared" si="5"/>
        <v>1110</v>
      </c>
      <c r="F7" t="str">
        <f t="shared" si="0"/>
        <v>101110</v>
      </c>
      <c r="G7" t="str">
        <f t="shared" si="1"/>
        <v>111111</v>
      </c>
      <c r="H7" t="str">
        <f>LOOKUP(E7,Lookups!$A$1:$A$16,Lookups!$B$1:$B$16)</f>
        <v>a</v>
      </c>
      <c r="I7">
        <f t="shared" si="6"/>
        <v>46</v>
      </c>
      <c r="J7">
        <f t="shared" si="7"/>
        <v>63</v>
      </c>
      <c r="K7">
        <f t="shared" si="2"/>
        <v>3007</v>
      </c>
      <c r="M7" t="b">
        <f t="shared" si="8"/>
        <v>0</v>
      </c>
      <c r="N7" t="b">
        <f t="shared" si="9"/>
        <v>1</v>
      </c>
      <c r="O7" t="b">
        <f t="shared" si="10"/>
        <v>0</v>
      </c>
      <c r="P7" t="b">
        <f t="shared" si="11"/>
        <v>0</v>
      </c>
      <c r="Q7" t="b">
        <f t="shared" si="12"/>
        <v>0</v>
      </c>
      <c r="R7" t="b">
        <f t="shared" si="13"/>
        <v>1</v>
      </c>
      <c r="S7" t="b">
        <f t="shared" si="14"/>
        <v>0</v>
      </c>
      <c r="T7" t="b">
        <f t="shared" si="15"/>
        <v>0</v>
      </c>
      <c r="U7" t="b">
        <f t="shared" si="16"/>
        <v>0</v>
      </c>
      <c r="V7" t="b">
        <f t="shared" si="17"/>
        <v>0</v>
      </c>
    </row>
    <row r="8" spans="1:22" x14ac:dyDescent="0.35">
      <c r="A8" s="2">
        <v>2886</v>
      </c>
      <c r="B8" s="2">
        <f t="shared" si="3"/>
        <v>45</v>
      </c>
      <c r="C8" s="2">
        <f t="shared" si="4"/>
        <v>6</v>
      </c>
      <c r="D8" s="1" t="s">
        <v>6</v>
      </c>
      <c r="E8" t="str">
        <f t="shared" si="5"/>
        <v>0010</v>
      </c>
      <c r="F8" t="str">
        <f t="shared" si="0"/>
        <v>101101</v>
      </c>
      <c r="G8" t="str">
        <f t="shared" si="1"/>
        <v>010101</v>
      </c>
      <c r="H8" t="str">
        <f>LOOKUP(E8,Lookups!$A$1:$A$16,Lookups!$B$1:$B$16)</f>
        <v>y</v>
      </c>
      <c r="I8">
        <f t="shared" si="6"/>
        <v>45</v>
      </c>
      <c r="J8">
        <f t="shared" si="7"/>
        <v>21</v>
      </c>
      <c r="K8">
        <f t="shared" si="2"/>
        <v>2901</v>
      </c>
      <c r="M8" t="b">
        <f t="shared" si="8"/>
        <v>0</v>
      </c>
      <c r="N8" t="b">
        <f t="shared" si="9"/>
        <v>1</v>
      </c>
      <c r="O8" t="b">
        <f t="shared" si="10"/>
        <v>0</v>
      </c>
      <c r="P8" t="b">
        <f t="shared" si="11"/>
        <v>0</v>
      </c>
      <c r="Q8" t="b">
        <f t="shared" si="12"/>
        <v>0</v>
      </c>
      <c r="R8" t="b">
        <f t="shared" si="13"/>
        <v>1</v>
      </c>
      <c r="S8" t="b">
        <f t="shared" si="14"/>
        <v>0</v>
      </c>
      <c r="T8" t="b">
        <f t="shared" si="15"/>
        <v>0</v>
      </c>
      <c r="U8" t="b">
        <f t="shared" si="16"/>
        <v>0</v>
      </c>
      <c r="V8" t="b">
        <f t="shared" si="17"/>
        <v>0</v>
      </c>
    </row>
    <row r="9" spans="1:22" x14ac:dyDescent="0.35">
      <c r="A9" s="2">
        <v>2887</v>
      </c>
      <c r="B9" s="2">
        <f t="shared" si="3"/>
        <v>45</v>
      </c>
      <c r="C9" s="2">
        <f t="shared" si="4"/>
        <v>7</v>
      </c>
      <c r="D9" s="1" t="s">
        <v>7</v>
      </c>
      <c r="E9" t="str">
        <f t="shared" si="5"/>
        <v>0010</v>
      </c>
      <c r="F9" t="str">
        <f t="shared" si="0"/>
        <v>101101</v>
      </c>
      <c r="G9" t="str">
        <f t="shared" si="1"/>
        <v>010110</v>
      </c>
      <c r="H9" t="str">
        <f>LOOKUP(E9,Lookups!$A$1:$A$16,Lookups!$B$1:$B$16)</f>
        <v>y</v>
      </c>
      <c r="I9">
        <f t="shared" si="6"/>
        <v>45</v>
      </c>
      <c r="J9">
        <f t="shared" si="7"/>
        <v>22</v>
      </c>
      <c r="K9">
        <f t="shared" si="2"/>
        <v>2902</v>
      </c>
      <c r="M9" t="b">
        <f t="shared" si="8"/>
        <v>0</v>
      </c>
      <c r="N9" t="b">
        <f t="shared" si="9"/>
        <v>1</v>
      </c>
      <c r="O9" t="b">
        <f t="shared" si="10"/>
        <v>0</v>
      </c>
      <c r="P9" t="b">
        <f t="shared" si="11"/>
        <v>0</v>
      </c>
      <c r="Q9" t="b">
        <f t="shared" si="12"/>
        <v>0</v>
      </c>
      <c r="R9" t="b">
        <f t="shared" si="13"/>
        <v>1</v>
      </c>
      <c r="S9" t="b">
        <f t="shared" si="14"/>
        <v>0</v>
      </c>
      <c r="T9" t="b">
        <f t="shared" si="15"/>
        <v>0</v>
      </c>
      <c r="U9" t="b">
        <f t="shared" si="16"/>
        <v>0</v>
      </c>
      <c r="V9" t="b">
        <f t="shared" si="17"/>
        <v>0</v>
      </c>
    </row>
    <row r="10" spans="1:22" x14ac:dyDescent="0.35">
      <c r="A10" s="2">
        <v>2888</v>
      </c>
      <c r="B10" s="2">
        <f t="shared" si="3"/>
        <v>45</v>
      </c>
      <c r="C10" s="2">
        <f t="shared" si="4"/>
        <v>8</v>
      </c>
      <c r="D10" s="1" t="s">
        <v>8</v>
      </c>
      <c r="E10" t="str">
        <f t="shared" si="5"/>
        <v>0010</v>
      </c>
      <c r="F10" t="str">
        <f t="shared" si="0"/>
        <v>101101</v>
      </c>
      <c r="G10" t="str">
        <f t="shared" si="1"/>
        <v>011011</v>
      </c>
      <c r="H10" t="str">
        <f>LOOKUP(E10,Lookups!$A$1:$A$16,Lookups!$B$1:$B$16)</f>
        <v>y</v>
      </c>
      <c r="I10">
        <f t="shared" si="6"/>
        <v>45</v>
      </c>
      <c r="J10">
        <f t="shared" si="7"/>
        <v>27</v>
      </c>
      <c r="K10">
        <f t="shared" si="2"/>
        <v>2907</v>
      </c>
      <c r="M10" t="b">
        <f t="shared" si="8"/>
        <v>0</v>
      </c>
      <c r="N10" t="b">
        <f t="shared" si="9"/>
        <v>1</v>
      </c>
      <c r="O10" t="b">
        <f t="shared" si="10"/>
        <v>0</v>
      </c>
      <c r="P10" t="b">
        <f t="shared" si="11"/>
        <v>0</v>
      </c>
      <c r="Q10" t="b">
        <f t="shared" si="12"/>
        <v>0</v>
      </c>
      <c r="R10" t="b">
        <f t="shared" si="13"/>
        <v>1</v>
      </c>
      <c r="S10" t="b">
        <f t="shared" si="14"/>
        <v>0</v>
      </c>
      <c r="T10" t="b">
        <f t="shared" si="15"/>
        <v>0</v>
      </c>
      <c r="U10" t="b">
        <f t="shared" si="16"/>
        <v>0</v>
      </c>
      <c r="V10" t="b">
        <f t="shared" si="17"/>
        <v>0</v>
      </c>
    </row>
    <row r="11" spans="1:22" x14ac:dyDescent="0.35">
      <c r="A11" s="2">
        <v>2889</v>
      </c>
      <c r="B11" s="2">
        <f t="shared" si="3"/>
        <v>45</v>
      </c>
      <c r="C11" s="2">
        <f t="shared" si="4"/>
        <v>9</v>
      </c>
      <c r="D11" s="1" t="s">
        <v>9</v>
      </c>
      <c r="E11" t="str">
        <f t="shared" si="5"/>
        <v>0011</v>
      </c>
      <c r="F11" t="str">
        <f t="shared" si="0"/>
        <v>110010</v>
      </c>
      <c r="G11" t="str">
        <f t="shared" si="1"/>
        <v>111100</v>
      </c>
      <c r="H11" t="str">
        <f>LOOKUP(E11,Lookups!$A$1:$A$16,Lookups!$B$1:$B$16)</f>
        <v>r</v>
      </c>
      <c r="I11">
        <f t="shared" si="6"/>
        <v>50</v>
      </c>
      <c r="J11">
        <f t="shared" si="7"/>
        <v>60</v>
      </c>
      <c r="K11">
        <f t="shared" si="2"/>
        <v>3260</v>
      </c>
      <c r="M11" t="b">
        <f t="shared" si="8"/>
        <v>0</v>
      </c>
      <c r="N11" t="b">
        <f t="shared" si="9"/>
        <v>1</v>
      </c>
      <c r="O11" t="b">
        <f t="shared" si="10"/>
        <v>0</v>
      </c>
      <c r="P11" t="b">
        <f t="shared" si="11"/>
        <v>0</v>
      </c>
      <c r="Q11" t="b">
        <f t="shared" si="12"/>
        <v>0</v>
      </c>
      <c r="R11" t="b">
        <f t="shared" si="13"/>
        <v>1</v>
      </c>
      <c r="S11" t="b">
        <f t="shared" si="14"/>
        <v>0</v>
      </c>
      <c r="T11" t="b">
        <f t="shared" si="15"/>
        <v>0</v>
      </c>
      <c r="U11" t="b">
        <f t="shared" si="16"/>
        <v>1</v>
      </c>
      <c r="V11" t="b">
        <f t="shared" si="17"/>
        <v>0</v>
      </c>
    </row>
    <row r="12" spans="1:22" x14ac:dyDescent="0.35">
      <c r="A12" s="2">
        <v>2890</v>
      </c>
      <c r="B12" s="2">
        <f t="shared" si="3"/>
        <v>45</v>
      </c>
      <c r="C12" s="2">
        <f t="shared" si="4"/>
        <v>10</v>
      </c>
      <c r="D12" s="1" t="s">
        <v>10</v>
      </c>
      <c r="E12" t="str">
        <f t="shared" si="5"/>
        <v>1010</v>
      </c>
      <c r="F12" t="str">
        <f t="shared" si="0"/>
        <v>110010</v>
      </c>
      <c r="G12" t="str">
        <f t="shared" si="1"/>
        <v>110110</v>
      </c>
      <c r="H12" t="str">
        <f>LOOKUP(E12,Lookups!$A$1:$A$16,Lookups!$B$1:$B$16)</f>
        <v>u</v>
      </c>
      <c r="I12">
        <f t="shared" si="6"/>
        <v>50</v>
      </c>
      <c r="J12">
        <f t="shared" si="7"/>
        <v>54</v>
      </c>
      <c r="K12">
        <f t="shared" si="2"/>
        <v>3254</v>
      </c>
      <c r="M12" t="b">
        <f t="shared" si="8"/>
        <v>0</v>
      </c>
      <c r="N12" t="b">
        <f t="shared" si="9"/>
        <v>1</v>
      </c>
      <c r="O12" t="b">
        <f t="shared" si="10"/>
        <v>0</v>
      </c>
      <c r="P12" t="b">
        <f t="shared" si="11"/>
        <v>0</v>
      </c>
      <c r="Q12" t="b">
        <f t="shared" si="12"/>
        <v>0</v>
      </c>
      <c r="R12" t="b">
        <f t="shared" si="13"/>
        <v>1</v>
      </c>
      <c r="S12" t="b">
        <f t="shared" si="14"/>
        <v>0</v>
      </c>
      <c r="T12" t="b">
        <f t="shared" si="15"/>
        <v>0</v>
      </c>
      <c r="U12" t="b">
        <f t="shared" si="16"/>
        <v>0</v>
      </c>
      <c r="V12" t="b">
        <f t="shared" si="17"/>
        <v>0</v>
      </c>
    </row>
    <row r="13" spans="1:22" x14ac:dyDescent="0.35">
      <c r="A13" s="2">
        <v>2891</v>
      </c>
      <c r="B13" s="2">
        <f t="shared" si="3"/>
        <v>45</v>
      </c>
      <c r="C13" s="2">
        <f t="shared" si="4"/>
        <v>11</v>
      </c>
      <c r="D13" s="1" t="s">
        <v>11</v>
      </c>
      <c r="E13" t="str">
        <f t="shared" si="5"/>
        <v>1001</v>
      </c>
      <c r="F13" t="str">
        <f t="shared" si="0"/>
        <v>110001</v>
      </c>
      <c r="G13" t="str">
        <f t="shared" si="1"/>
        <v>111100</v>
      </c>
      <c r="H13" t="str">
        <f>LOOKUP(E13,Lookups!$A$1:$A$16,Lookups!$B$1:$B$16)</f>
        <v>e</v>
      </c>
      <c r="I13">
        <f t="shared" si="6"/>
        <v>49</v>
      </c>
      <c r="J13">
        <f t="shared" si="7"/>
        <v>60</v>
      </c>
      <c r="K13">
        <f t="shared" si="2"/>
        <v>3196</v>
      </c>
      <c r="M13" t="b">
        <f t="shared" si="8"/>
        <v>0</v>
      </c>
      <c r="N13" t="b">
        <f t="shared" si="9"/>
        <v>1</v>
      </c>
      <c r="O13" t="b">
        <f t="shared" si="10"/>
        <v>0</v>
      </c>
      <c r="P13" t="b">
        <f t="shared" si="11"/>
        <v>0</v>
      </c>
      <c r="Q13" t="b">
        <f t="shared" si="12"/>
        <v>0</v>
      </c>
      <c r="R13" t="b">
        <f t="shared" si="13"/>
        <v>1</v>
      </c>
      <c r="S13" t="b">
        <f t="shared" si="14"/>
        <v>0</v>
      </c>
      <c r="T13" t="b">
        <f t="shared" si="15"/>
        <v>0</v>
      </c>
      <c r="U13" t="b">
        <f t="shared" si="16"/>
        <v>1</v>
      </c>
      <c r="V13" t="b">
        <f t="shared" si="17"/>
        <v>0</v>
      </c>
    </row>
    <row r="14" spans="1:22" x14ac:dyDescent="0.35">
      <c r="A14" s="2">
        <v>2892</v>
      </c>
      <c r="B14" s="2">
        <f t="shared" si="3"/>
        <v>45</v>
      </c>
      <c r="C14" s="2">
        <f t="shared" si="4"/>
        <v>12</v>
      </c>
      <c r="D14" s="1" t="s">
        <v>12</v>
      </c>
      <c r="E14" t="str">
        <f t="shared" si="5"/>
        <v>1111</v>
      </c>
      <c r="F14" t="str">
        <f t="shared" si="0"/>
        <v>110001</v>
      </c>
      <c r="G14" t="str">
        <f t="shared" si="1"/>
        <v>111000</v>
      </c>
      <c r="H14" t="str">
        <f>LOOKUP(E14,Lookups!$A$1:$A$16,Lookups!$B$1:$B$16)</f>
        <v>s</v>
      </c>
      <c r="I14">
        <f t="shared" si="6"/>
        <v>49</v>
      </c>
      <c r="J14">
        <f t="shared" si="7"/>
        <v>56</v>
      </c>
      <c r="K14">
        <f t="shared" si="2"/>
        <v>3192</v>
      </c>
      <c r="M14" t="b">
        <f t="shared" si="8"/>
        <v>0</v>
      </c>
      <c r="N14" t="b">
        <f t="shared" si="9"/>
        <v>1</v>
      </c>
      <c r="O14" t="b">
        <f t="shared" si="10"/>
        <v>0</v>
      </c>
      <c r="P14" t="b">
        <f t="shared" si="11"/>
        <v>0</v>
      </c>
      <c r="Q14" t="b">
        <f t="shared" si="12"/>
        <v>0</v>
      </c>
      <c r="R14" t="b">
        <f t="shared" si="13"/>
        <v>1</v>
      </c>
      <c r="S14" t="b">
        <f t="shared" si="14"/>
        <v>0</v>
      </c>
      <c r="T14" t="b">
        <f t="shared" si="15"/>
        <v>0</v>
      </c>
      <c r="U14" t="b">
        <f t="shared" si="16"/>
        <v>0</v>
      </c>
      <c r="V14" t="b">
        <f t="shared" si="17"/>
        <v>0</v>
      </c>
    </row>
    <row r="15" spans="1:22" x14ac:dyDescent="0.35">
      <c r="A15" s="2">
        <v>2893</v>
      </c>
      <c r="B15" s="2">
        <f t="shared" si="3"/>
        <v>45</v>
      </c>
      <c r="C15" s="2">
        <f t="shared" si="4"/>
        <v>13</v>
      </c>
      <c r="D15" s="1" t="s">
        <v>13</v>
      </c>
      <c r="E15" t="str">
        <f t="shared" si="5"/>
        <v>1011</v>
      </c>
      <c r="F15" t="str">
        <f t="shared" si="0"/>
        <v>101101</v>
      </c>
      <c r="G15" t="str">
        <f t="shared" si="1"/>
        <v>001001</v>
      </c>
      <c r="H15" t="str">
        <f>LOOKUP(E15,Lookups!$A$1:$A$16,Lookups!$B$1:$B$16)</f>
        <v>t</v>
      </c>
      <c r="I15">
        <f t="shared" si="6"/>
        <v>45</v>
      </c>
      <c r="J15">
        <f t="shared" si="7"/>
        <v>9</v>
      </c>
      <c r="K15">
        <f t="shared" si="2"/>
        <v>2889</v>
      </c>
      <c r="M15" t="b">
        <f t="shared" si="8"/>
        <v>0</v>
      </c>
      <c r="N15" t="b">
        <f t="shared" si="9"/>
        <v>1</v>
      </c>
      <c r="O15" t="b">
        <f t="shared" si="10"/>
        <v>0</v>
      </c>
      <c r="P15" t="b">
        <f t="shared" si="11"/>
        <v>0</v>
      </c>
      <c r="Q15" t="b">
        <f t="shared" si="12"/>
        <v>0</v>
      </c>
      <c r="R15" t="b">
        <f t="shared" si="13"/>
        <v>1</v>
      </c>
      <c r="S15" t="b">
        <f t="shared" si="14"/>
        <v>0</v>
      </c>
      <c r="T15" t="b">
        <f t="shared" si="15"/>
        <v>0</v>
      </c>
      <c r="U15" t="b">
        <f t="shared" si="16"/>
        <v>0</v>
      </c>
      <c r="V15" t="b">
        <f t="shared" si="17"/>
        <v>0</v>
      </c>
    </row>
    <row r="16" spans="1:22" x14ac:dyDescent="0.35">
      <c r="A16" s="2">
        <v>2894</v>
      </c>
      <c r="B16" s="2">
        <f t="shared" si="3"/>
        <v>45</v>
      </c>
      <c r="C16" s="2">
        <f t="shared" si="4"/>
        <v>14</v>
      </c>
      <c r="D16" s="1" t="s">
        <v>14</v>
      </c>
      <c r="E16" t="str">
        <f t="shared" si="5"/>
        <v>1110</v>
      </c>
      <c r="F16" t="str">
        <f t="shared" si="0"/>
        <v>101110</v>
      </c>
      <c r="G16" t="str">
        <f t="shared" si="1"/>
        <v>100011</v>
      </c>
      <c r="H16" t="str">
        <f>LOOKUP(E16,Lookups!$A$1:$A$16,Lookups!$B$1:$B$16)</f>
        <v>a</v>
      </c>
      <c r="I16">
        <f t="shared" si="6"/>
        <v>46</v>
      </c>
      <c r="J16">
        <f t="shared" si="7"/>
        <v>35</v>
      </c>
      <c r="K16">
        <f t="shared" si="2"/>
        <v>2979</v>
      </c>
      <c r="M16" t="b">
        <f t="shared" si="8"/>
        <v>0</v>
      </c>
      <c r="N16" t="b">
        <f t="shared" si="9"/>
        <v>1</v>
      </c>
      <c r="O16" t="b">
        <f t="shared" si="10"/>
        <v>0</v>
      </c>
      <c r="P16" t="b">
        <f t="shared" si="11"/>
        <v>0</v>
      </c>
      <c r="Q16" t="b">
        <f t="shared" si="12"/>
        <v>0</v>
      </c>
      <c r="R16" t="b">
        <f t="shared" si="13"/>
        <v>1</v>
      </c>
      <c r="S16" t="b">
        <f t="shared" si="14"/>
        <v>0</v>
      </c>
      <c r="T16" t="b">
        <f t="shared" si="15"/>
        <v>0</v>
      </c>
      <c r="U16" t="b">
        <f t="shared" si="16"/>
        <v>0</v>
      </c>
      <c r="V16" t="b">
        <f t="shared" si="17"/>
        <v>0</v>
      </c>
    </row>
    <row r="17" spans="1:22" x14ac:dyDescent="0.35">
      <c r="A17" s="2">
        <v>2895</v>
      </c>
      <c r="B17" s="2">
        <f t="shared" si="3"/>
        <v>45</v>
      </c>
      <c r="C17" s="2">
        <f t="shared" si="4"/>
        <v>15</v>
      </c>
      <c r="D17" s="1" t="s">
        <v>15</v>
      </c>
      <c r="E17" t="str">
        <f t="shared" si="5"/>
        <v>1100</v>
      </c>
      <c r="F17" t="str">
        <f t="shared" si="0"/>
        <v>101101</v>
      </c>
      <c r="G17" t="str">
        <f t="shared" si="1"/>
        <v>100101</v>
      </c>
      <c r="H17" t="str">
        <f>LOOKUP(E17,Lookups!$A$1:$A$16,Lookups!$B$1:$B$16)</f>
        <v>h</v>
      </c>
      <c r="I17">
        <f t="shared" si="6"/>
        <v>45</v>
      </c>
      <c r="J17">
        <f t="shared" si="7"/>
        <v>37</v>
      </c>
      <c r="K17">
        <f t="shared" si="2"/>
        <v>2917</v>
      </c>
      <c r="M17" t="b">
        <f t="shared" si="8"/>
        <v>0</v>
      </c>
      <c r="N17" t="b">
        <f t="shared" si="9"/>
        <v>1</v>
      </c>
      <c r="O17" t="b">
        <f t="shared" si="10"/>
        <v>0</v>
      </c>
      <c r="P17" t="b">
        <f t="shared" si="11"/>
        <v>0</v>
      </c>
      <c r="Q17" t="b">
        <f t="shared" si="12"/>
        <v>0</v>
      </c>
      <c r="R17" t="b">
        <f t="shared" si="13"/>
        <v>1</v>
      </c>
      <c r="S17" t="b">
        <f t="shared" si="14"/>
        <v>0</v>
      </c>
      <c r="T17" t="b">
        <f t="shared" si="15"/>
        <v>0</v>
      </c>
      <c r="U17" t="b">
        <f t="shared" si="16"/>
        <v>0</v>
      </c>
      <c r="V17" t="b">
        <f t="shared" si="17"/>
        <v>0</v>
      </c>
    </row>
    <row r="18" spans="1:22" x14ac:dyDescent="0.35">
      <c r="A18" s="2">
        <v>2896</v>
      </c>
      <c r="B18" s="2">
        <f t="shared" si="3"/>
        <v>45</v>
      </c>
      <c r="C18" s="2">
        <f t="shared" si="4"/>
        <v>16</v>
      </c>
      <c r="D18" s="1" t="s">
        <v>16</v>
      </c>
      <c r="E18" t="str">
        <f t="shared" si="5"/>
        <v>1110</v>
      </c>
      <c r="F18" t="str">
        <f t="shared" si="0"/>
        <v>101101</v>
      </c>
      <c r="G18" t="str">
        <f t="shared" si="1"/>
        <v>000011</v>
      </c>
      <c r="H18" t="str">
        <f>LOOKUP(E18,Lookups!$A$1:$A$16,Lookups!$B$1:$B$16)</f>
        <v>a</v>
      </c>
      <c r="I18">
        <f t="shared" si="6"/>
        <v>45</v>
      </c>
      <c r="J18">
        <f t="shared" si="7"/>
        <v>3</v>
      </c>
      <c r="K18">
        <f t="shared" si="2"/>
        <v>2883</v>
      </c>
      <c r="M18" t="b">
        <f t="shared" si="8"/>
        <v>0</v>
      </c>
      <c r="N18" t="b">
        <f t="shared" si="9"/>
        <v>1</v>
      </c>
      <c r="O18" t="b">
        <f t="shared" si="10"/>
        <v>0</v>
      </c>
      <c r="P18" t="b">
        <f t="shared" si="11"/>
        <v>0</v>
      </c>
      <c r="Q18" t="b">
        <f t="shared" si="12"/>
        <v>0</v>
      </c>
      <c r="R18" t="b">
        <f t="shared" si="13"/>
        <v>1</v>
      </c>
      <c r="S18" t="b">
        <f t="shared" si="14"/>
        <v>0</v>
      </c>
      <c r="T18" t="b">
        <f t="shared" si="15"/>
        <v>0</v>
      </c>
      <c r="U18" t="b">
        <f t="shared" si="16"/>
        <v>0</v>
      </c>
      <c r="V18" t="b">
        <f t="shared" si="17"/>
        <v>0</v>
      </c>
    </row>
    <row r="19" spans="1:22" x14ac:dyDescent="0.35">
      <c r="A19" s="2">
        <v>2897</v>
      </c>
      <c r="B19" s="2">
        <f t="shared" si="3"/>
        <v>45</v>
      </c>
      <c r="C19" s="2">
        <f t="shared" si="4"/>
        <v>17</v>
      </c>
      <c r="D19" s="1" t="s">
        <v>17</v>
      </c>
      <c r="E19" t="str">
        <f t="shared" si="5"/>
        <v>0010</v>
      </c>
      <c r="F19" t="str">
        <f t="shared" si="0"/>
        <v>101101</v>
      </c>
      <c r="G19" t="str">
        <f t="shared" si="1"/>
        <v>011010</v>
      </c>
      <c r="H19" t="str">
        <f>LOOKUP(E19,Lookups!$A$1:$A$16,Lookups!$B$1:$B$16)</f>
        <v>y</v>
      </c>
      <c r="I19">
        <f t="shared" si="6"/>
        <v>45</v>
      </c>
      <c r="J19">
        <f t="shared" si="7"/>
        <v>26</v>
      </c>
      <c r="K19">
        <f t="shared" si="2"/>
        <v>2906</v>
      </c>
      <c r="M19" t="b">
        <f t="shared" si="8"/>
        <v>0</v>
      </c>
      <c r="N19" t="b">
        <f t="shared" si="9"/>
        <v>1</v>
      </c>
      <c r="O19" t="b">
        <f t="shared" si="10"/>
        <v>0</v>
      </c>
      <c r="P19" t="b">
        <f t="shared" si="11"/>
        <v>0</v>
      </c>
      <c r="Q19" t="b">
        <f t="shared" si="12"/>
        <v>0</v>
      </c>
      <c r="R19" t="b">
        <f t="shared" si="13"/>
        <v>1</v>
      </c>
      <c r="S19" t="b">
        <f t="shared" si="14"/>
        <v>0</v>
      </c>
      <c r="T19" t="b">
        <f t="shared" si="15"/>
        <v>0</v>
      </c>
      <c r="U19" t="b">
        <f t="shared" si="16"/>
        <v>0</v>
      </c>
      <c r="V19" t="b">
        <f t="shared" si="17"/>
        <v>0</v>
      </c>
    </row>
    <row r="20" spans="1:22" x14ac:dyDescent="0.35">
      <c r="A20" s="2">
        <v>2898</v>
      </c>
      <c r="B20" s="2">
        <f t="shared" si="3"/>
        <v>45</v>
      </c>
      <c r="C20" s="2">
        <f t="shared" si="4"/>
        <v>18</v>
      </c>
      <c r="D20" s="1" t="s">
        <v>18</v>
      </c>
      <c r="E20" t="str">
        <f t="shared" si="5"/>
        <v>0010</v>
      </c>
      <c r="F20" t="str">
        <f t="shared" si="0"/>
        <v>101101</v>
      </c>
      <c r="G20" t="str">
        <f t="shared" si="1"/>
        <v>011100</v>
      </c>
      <c r="H20" t="str">
        <f>LOOKUP(E20,Lookups!$A$1:$A$16,Lookups!$B$1:$B$16)</f>
        <v>y</v>
      </c>
      <c r="I20">
        <f t="shared" si="6"/>
        <v>45</v>
      </c>
      <c r="J20">
        <f t="shared" si="7"/>
        <v>28</v>
      </c>
      <c r="K20">
        <f t="shared" si="2"/>
        <v>2908</v>
      </c>
      <c r="M20" t="b">
        <f t="shared" si="8"/>
        <v>0</v>
      </c>
      <c r="N20" t="b">
        <f t="shared" si="9"/>
        <v>1</v>
      </c>
      <c r="O20" t="b">
        <f t="shared" si="10"/>
        <v>0</v>
      </c>
      <c r="P20" t="b">
        <f t="shared" si="11"/>
        <v>0</v>
      </c>
      <c r="Q20" t="b">
        <f t="shared" si="12"/>
        <v>0</v>
      </c>
      <c r="R20" t="b">
        <f t="shared" si="13"/>
        <v>1</v>
      </c>
      <c r="S20" t="b">
        <f t="shared" si="14"/>
        <v>0</v>
      </c>
      <c r="T20" t="b">
        <f t="shared" si="15"/>
        <v>0</v>
      </c>
      <c r="U20" t="b">
        <f t="shared" si="16"/>
        <v>0</v>
      </c>
      <c r="V20" t="b">
        <f t="shared" si="17"/>
        <v>0</v>
      </c>
    </row>
    <row r="21" spans="1:22" x14ac:dyDescent="0.35">
      <c r="A21" s="2">
        <v>2899</v>
      </c>
      <c r="B21" s="2">
        <f t="shared" si="3"/>
        <v>45</v>
      </c>
      <c r="C21" s="2">
        <f t="shared" si="4"/>
        <v>19</v>
      </c>
      <c r="D21" s="1" t="s">
        <v>19</v>
      </c>
      <c r="E21" t="str">
        <f t="shared" si="5"/>
        <v>0010</v>
      </c>
      <c r="F21" t="str">
        <f t="shared" si="0"/>
        <v>101101</v>
      </c>
      <c r="G21" t="str">
        <f t="shared" si="1"/>
        <v>010100</v>
      </c>
      <c r="H21" t="str">
        <f>LOOKUP(E21,Lookups!$A$1:$A$16,Lookups!$B$1:$B$16)</f>
        <v>y</v>
      </c>
      <c r="I21">
        <f t="shared" si="6"/>
        <v>45</v>
      </c>
      <c r="J21">
        <f t="shared" si="7"/>
        <v>20</v>
      </c>
      <c r="K21">
        <f t="shared" si="2"/>
        <v>2900</v>
      </c>
      <c r="M21" t="b">
        <f t="shared" si="8"/>
        <v>0</v>
      </c>
      <c r="N21" t="b">
        <f t="shared" si="9"/>
        <v>1</v>
      </c>
      <c r="O21" t="b">
        <f t="shared" si="10"/>
        <v>0</v>
      </c>
      <c r="P21" t="b">
        <f t="shared" si="11"/>
        <v>0</v>
      </c>
      <c r="Q21" t="b">
        <f t="shared" si="12"/>
        <v>0</v>
      </c>
      <c r="R21" t="b">
        <f t="shared" si="13"/>
        <v>1</v>
      </c>
      <c r="S21" t="b">
        <f t="shared" si="14"/>
        <v>0</v>
      </c>
      <c r="T21" t="b">
        <f t="shared" si="15"/>
        <v>0</v>
      </c>
      <c r="U21" t="b">
        <f t="shared" si="16"/>
        <v>0</v>
      </c>
      <c r="V21" t="b">
        <f t="shared" si="17"/>
        <v>0</v>
      </c>
    </row>
    <row r="22" spans="1:22" x14ac:dyDescent="0.35">
      <c r="A22" s="2">
        <v>2900</v>
      </c>
      <c r="B22" s="2">
        <f t="shared" si="3"/>
        <v>45</v>
      </c>
      <c r="C22" s="2">
        <f t="shared" si="4"/>
        <v>20</v>
      </c>
      <c r="D22" s="1" t="s">
        <v>20</v>
      </c>
      <c r="E22" t="str">
        <f t="shared" si="5"/>
        <v>0001</v>
      </c>
      <c r="F22" t="str">
        <f t="shared" si="0"/>
        <v>101101</v>
      </c>
      <c r="G22" t="str">
        <f t="shared" si="1"/>
        <v>101010</v>
      </c>
      <c r="H22" t="str">
        <f>LOOKUP(E22,Lookups!$A$1:$A$16,Lookups!$B$1:$B$16)</f>
        <v>b</v>
      </c>
      <c r="I22">
        <f t="shared" si="6"/>
        <v>45</v>
      </c>
      <c r="J22">
        <f t="shared" si="7"/>
        <v>42</v>
      </c>
      <c r="K22">
        <f t="shared" si="2"/>
        <v>2922</v>
      </c>
      <c r="M22" t="b">
        <f t="shared" si="8"/>
        <v>0</v>
      </c>
      <c r="N22" t="b">
        <f t="shared" si="9"/>
        <v>1</v>
      </c>
      <c r="O22" t="b">
        <f t="shared" si="10"/>
        <v>0</v>
      </c>
      <c r="P22" t="b">
        <f t="shared" si="11"/>
        <v>0</v>
      </c>
      <c r="Q22" t="b">
        <f t="shared" si="12"/>
        <v>0</v>
      </c>
      <c r="R22" t="b">
        <f t="shared" si="13"/>
        <v>1</v>
      </c>
      <c r="S22" t="b">
        <f t="shared" si="14"/>
        <v>0</v>
      </c>
      <c r="T22" t="b">
        <f t="shared" si="15"/>
        <v>0</v>
      </c>
      <c r="U22" t="b">
        <f t="shared" si="16"/>
        <v>1</v>
      </c>
      <c r="V22" t="b">
        <f t="shared" si="17"/>
        <v>0</v>
      </c>
    </row>
    <row r="23" spans="1:22" x14ac:dyDescent="0.35">
      <c r="A23" s="2">
        <v>2901</v>
      </c>
      <c r="B23" s="2">
        <f t="shared" si="3"/>
        <v>45</v>
      </c>
      <c r="C23" s="2">
        <f t="shared" si="4"/>
        <v>21</v>
      </c>
      <c r="D23" s="1" t="s">
        <v>21</v>
      </c>
      <c r="E23" t="str">
        <f t="shared" si="5"/>
        <v>1001</v>
      </c>
      <c r="F23" t="str">
        <f t="shared" si="0"/>
        <v>101101</v>
      </c>
      <c r="G23" t="str">
        <f t="shared" si="1"/>
        <v>111001</v>
      </c>
      <c r="H23" t="str">
        <f>LOOKUP(E23,Lookups!$A$1:$A$16,Lookups!$B$1:$B$16)</f>
        <v>e</v>
      </c>
      <c r="I23">
        <f t="shared" si="6"/>
        <v>45</v>
      </c>
      <c r="J23">
        <f t="shared" si="7"/>
        <v>57</v>
      </c>
      <c r="K23">
        <f t="shared" si="2"/>
        <v>2937</v>
      </c>
      <c r="M23" t="b">
        <f t="shared" si="8"/>
        <v>0</v>
      </c>
      <c r="N23" t="b">
        <f t="shared" si="9"/>
        <v>1</v>
      </c>
      <c r="O23" t="b">
        <f t="shared" si="10"/>
        <v>0</v>
      </c>
      <c r="P23" t="b">
        <f t="shared" si="11"/>
        <v>0</v>
      </c>
      <c r="Q23" t="b">
        <f t="shared" si="12"/>
        <v>0</v>
      </c>
      <c r="R23" t="b">
        <f t="shared" si="13"/>
        <v>1</v>
      </c>
      <c r="S23" t="b">
        <f t="shared" si="14"/>
        <v>0</v>
      </c>
      <c r="T23" t="b">
        <f t="shared" si="15"/>
        <v>0</v>
      </c>
      <c r="U23" t="b">
        <f t="shared" si="16"/>
        <v>1</v>
      </c>
      <c r="V23" t="b">
        <f t="shared" si="17"/>
        <v>0</v>
      </c>
    </row>
    <row r="24" spans="1:22" x14ac:dyDescent="0.35">
      <c r="A24" s="2">
        <v>2902</v>
      </c>
      <c r="B24" s="2">
        <f t="shared" si="3"/>
        <v>45</v>
      </c>
      <c r="C24" s="2">
        <f t="shared" si="4"/>
        <v>22</v>
      </c>
      <c r="D24" s="1" t="s">
        <v>22</v>
      </c>
      <c r="E24" t="str">
        <f t="shared" si="5"/>
        <v>1111</v>
      </c>
      <c r="F24" t="str">
        <f t="shared" si="0"/>
        <v>101101</v>
      </c>
      <c r="G24" t="str">
        <f t="shared" si="1"/>
        <v>111001</v>
      </c>
      <c r="H24" t="str">
        <f>LOOKUP(E24,Lookups!$A$1:$A$16,Lookups!$B$1:$B$16)</f>
        <v>s</v>
      </c>
      <c r="I24">
        <f t="shared" si="6"/>
        <v>45</v>
      </c>
      <c r="J24">
        <f t="shared" si="7"/>
        <v>57</v>
      </c>
      <c r="K24">
        <f t="shared" si="2"/>
        <v>2937</v>
      </c>
      <c r="M24" t="b">
        <f t="shared" si="8"/>
        <v>0</v>
      </c>
      <c r="N24" t="b">
        <f t="shared" si="9"/>
        <v>1</v>
      </c>
      <c r="O24" t="b">
        <f t="shared" si="10"/>
        <v>0</v>
      </c>
      <c r="P24" t="b">
        <f t="shared" si="11"/>
        <v>0</v>
      </c>
      <c r="Q24" t="b">
        <f t="shared" si="12"/>
        <v>0</v>
      </c>
      <c r="R24" t="b">
        <f t="shared" si="13"/>
        <v>1</v>
      </c>
      <c r="S24" t="b">
        <f t="shared" si="14"/>
        <v>0</v>
      </c>
      <c r="T24" t="b">
        <f t="shared" si="15"/>
        <v>0</v>
      </c>
      <c r="U24" t="b">
        <f t="shared" si="16"/>
        <v>1</v>
      </c>
      <c r="V24" t="b">
        <f t="shared" si="17"/>
        <v>0</v>
      </c>
    </row>
    <row r="25" spans="1:22" x14ac:dyDescent="0.35">
      <c r="A25" s="2">
        <v>2903</v>
      </c>
      <c r="B25" s="2">
        <f t="shared" si="3"/>
        <v>45</v>
      </c>
      <c r="C25" s="2">
        <f t="shared" si="4"/>
        <v>23</v>
      </c>
      <c r="D25" s="1" t="s">
        <v>23</v>
      </c>
      <c r="E25" t="str">
        <f t="shared" si="5"/>
        <v>1011</v>
      </c>
      <c r="F25" t="str">
        <f t="shared" si="0"/>
        <v>101101</v>
      </c>
      <c r="G25" t="str">
        <f t="shared" si="1"/>
        <v>011010</v>
      </c>
      <c r="H25" t="str">
        <f>LOOKUP(E25,Lookups!$A$1:$A$16,Lookups!$B$1:$B$16)</f>
        <v>t</v>
      </c>
      <c r="I25">
        <f t="shared" si="6"/>
        <v>45</v>
      </c>
      <c r="J25">
        <f t="shared" si="7"/>
        <v>26</v>
      </c>
      <c r="K25">
        <f t="shared" si="2"/>
        <v>2906</v>
      </c>
      <c r="M25" t="b">
        <f t="shared" si="8"/>
        <v>0</v>
      </c>
      <c r="N25" t="b">
        <f t="shared" si="9"/>
        <v>1</v>
      </c>
      <c r="O25" t="b">
        <f t="shared" si="10"/>
        <v>0</v>
      </c>
      <c r="P25" t="b">
        <f t="shared" si="11"/>
        <v>0</v>
      </c>
      <c r="Q25" t="b">
        <f t="shared" si="12"/>
        <v>0</v>
      </c>
      <c r="R25" t="b">
        <f t="shared" si="13"/>
        <v>1</v>
      </c>
      <c r="S25" t="b">
        <f t="shared" si="14"/>
        <v>0</v>
      </c>
      <c r="T25" t="b">
        <f t="shared" si="15"/>
        <v>0</v>
      </c>
      <c r="U25" t="b">
        <f t="shared" si="16"/>
        <v>0</v>
      </c>
      <c r="V25" t="b">
        <f t="shared" si="17"/>
        <v>0</v>
      </c>
    </row>
    <row r="26" spans="1:22" x14ac:dyDescent="0.35">
      <c r="A26" s="2">
        <v>2904</v>
      </c>
      <c r="B26" s="2">
        <f t="shared" si="3"/>
        <v>45</v>
      </c>
      <c r="C26" s="2">
        <f t="shared" si="4"/>
        <v>24</v>
      </c>
      <c r="D26" s="1" t="s">
        <v>24</v>
      </c>
      <c r="E26" t="str">
        <f t="shared" si="5"/>
        <v>1010</v>
      </c>
      <c r="F26" t="str">
        <f t="shared" si="0"/>
        <v>101110</v>
      </c>
      <c r="G26" t="str">
        <f t="shared" si="1"/>
        <v>011010</v>
      </c>
      <c r="H26" t="str">
        <f>LOOKUP(E26,Lookups!$A$1:$A$16,Lookups!$B$1:$B$16)</f>
        <v>u</v>
      </c>
      <c r="I26">
        <f t="shared" si="6"/>
        <v>46</v>
      </c>
      <c r="J26">
        <f t="shared" si="7"/>
        <v>26</v>
      </c>
      <c r="K26">
        <f t="shared" si="2"/>
        <v>2970</v>
      </c>
      <c r="M26" t="b">
        <f t="shared" si="8"/>
        <v>0</v>
      </c>
      <c r="N26" t="b">
        <f t="shared" si="9"/>
        <v>1</v>
      </c>
      <c r="O26" t="b">
        <f t="shared" si="10"/>
        <v>0</v>
      </c>
      <c r="P26" t="b">
        <f t="shared" si="11"/>
        <v>0</v>
      </c>
      <c r="Q26" t="b">
        <f t="shared" si="12"/>
        <v>0</v>
      </c>
      <c r="R26" t="b">
        <f t="shared" si="13"/>
        <v>1</v>
      </c>
      <c r="S26" t="b">
        <f t="shared" si="14"/>
        <v>0</v>
      </c>
      <c r="T26" t="b">
        <f t="shared" si="15"/>
        <v>0</v>
      </c>
      <c r="U26" t="b">
        <f t="shared" si="16"/>
        <v>0</v>
      </c>
      <c r="V26" t="b">
        <f t="shared" si="17"/>
        <v>0</v>
      </c>
    </row>
    <row r="27" spans="1:22" x14ac:dyDescent="0.35">
      <c r="A27" s="2">
        <v>2905</v>
      </c>
      <c r="B27" s="2">
        <f t="shared" si="3"/>
        <v>45</v>
      </c>
      <c r="C27" s="2">
        <f t="shared" si="4"/>
        <v>25</v>
      </c>
      <c r="D27" s="1" t="s">
        <v>25</v>
      </c>
      <c r="E27" t="str">
        <f t="shared" si="5"/>
        <v>0001</v>
      </c>
      <c r="F27" t="str">
        <f t="shared" si="0"/>
        <v>101101</v>
      </c>
      <c r="G27" t="str">
        <f t="shared" si="1"/>
        <v>110100</v>
      </c>
      <c r="H27" t="str">
        <f>LOOKUP(E27,Lookups!$A$1:$A$16,Lookups!$B$1:$B$16)</f>
        <v>b</v>
      </c>
      <c r="I27">
        <f t="shared" si="6"/>
        <v>45</v>
      </c>
      <c r="J27">
        <f t="shared" si="7"/>
        <v>52</v>
      </c>
      <c r="K27">
        <f t="shared" si="2"/>
        <v>2932</v>
      </c>
      <c r="M27" t="b">
        <f t="shared" si="8"/>
        <v>0</v>
      </c>
      <c r="N27" t="b">
        <f t="shared" si="9"/>
        <v>1</v>
      </c>
      <c r="O27" t="b">
        <f t="shared" si="10"/>
        <v>0</v>
      </c>
      <c r="P27" t="b">
        <f t="shared" si="11"/>
        <v>0</v>
      </c>
      <c r="Q27" t="b">
        <f t="shared" si="12"/>
        <v>0</v>
      </c>
      <c r="R27" t="b">
        <f t="shared" si="13"/>
        <v>1</v>
      </c>
      <c r="S27" t="b">
        <f t="shared" si="14"/>
        <v>0</v>
      </c>
      <c r="T27" t="b">
        <f t="shared" si="15"/>
        <v>0</v>
      </c>
      <c r="U27" t="b">
        <f t="shared" si="16"/>
        <v>1</v>
      </c>
      <c r="V27" t="b">
        <f t="shared" si="17"/>
        <v>0</v>
      </c>
    </row>
    <row r="28" spans="1:22" x14ac:dyDescent="0.35">
      <c r="A28" s="2">
        <v>2906</v>
      </c>
      <c r="B28" s="2">
        <f t="shared" si="3"/>
        <v>45</v>
      </c>
      <c r="C28" s="2">
        <f t="shared" si="4"/>
        <v>26</v>
      </c>
      <c r="D28" s="1" t="s">
        <v>20</v>
      </c>
      <c r="E28" t="str">
        <f t="shared" si="5"/>
        <v>0001</v>
      </c>
      <c r="F28" t="str">
        <f t="shared" si="0"/>
        <v>101101</v>
      </c>
      <c r="G28" t="str">
        <f t="shared" si="1"/>
        <v>101010</v>
      </c>
      <c r="H28" t="str">
        <f>LOOKUP(E28,Lookups!$A$1:$A$16,Lookups!$B$1:$B$16)</f>
        <v>b</v>
      </c>
      <c r="I28">
        <f t="shared" si="6"/>
        <v>45</v>
      </c>
      <c r="J28">
        <f t="shared" si="7"/>
        <v>42</v>
      </c>
      <c r="K28">
        <f t="shared" si="2"/>
        <v>2922</v>
      </c>
      <c r="M28" t="b">
        <f t="shared" si="8"/>
        <v>0</v>
      </c>
      <c r="N28" t="b">
        <f t="shared" si="9"/>
        <v>1</v>
      </c>
      <c r="O28" t="b">
        <f t="shared" si="10"/>
        <v>0</v>
      </c>
      <c r="P28" t="b">
        <f t="shared" si="11"/>
        <v>0</v>
      </c>
      <c r="Q28" t="b">
        <f t="shared" si="12"/>
        <v>0</v>
      </c>
      <c r="R28" t="b">
        <f t="shared" si="13"/>
        <v>1</v>
      </c>
      <c r="S28" t="b">
        <f t="shared" si="14"/>
        <v>0</v>
      </c>
      <c r="T28" t="b">
        <f t="shared" si="15"/>
        <v>0</v>
      </c>
      <c r="U28" t="b">
        <f t="shared" si="16"/>
        <v>1</v>
      </c>
      <c r="V28" t="b">
        <f t="shared" si="17"/>
        <v>0</v>
      </c>
    </row>
    <row r="29" spans="1:22" x14ac:dyDescent="0.35">
      <c r="A29" s="2">
        <v>2907</v>
      </c>
      <c r="B29" s="2">
        <f t="shared" si="3"/>
        <v>45</v>
      </c>
      <c r="C29" s="2">
        <f t="shared" si="4"/>
        <v>27</v>
      </c>
      <c r="D29" s="1" t="s">
        <v>26</v>
      </c>
      <c r="E29" t="str">
        <f t="shared" si="5"/>
        <v>1110</v>
      </c>
      <c r="F29" t="str">
        <f t="shared" si="0"/>
        <v>101101</v>
      </c>
      <c r="G29" t="str">
        <f t="shared" si="1"/>
        <v>111001</v>
      </c>
      <c r="H29" t="str">
        <f>LOOKUP(E29,Lookups!$A$1:$A$16,Lookups!$B$1:$B$16)</f>
        <v>a</v>
      </c>
      <c r="I29">
        <f t="shared" si="6"/>
        <v>45</v>
      </c>
      <c r="J29">
        <f t="shared" si="7"/>
        <v>57</v>
      </c>
      <c r="K29">
        <f t="shared" si="2"/>
        <v>2937</v>
      </c>
      <c r="M29" t="b">
        <f t="shared" si="8"/>
        <v>0</v>
      </c>
      <c r="N29" t="b">
        <f t="shared" si="9"/>
        <v>1</v>
      </c>
      <c r="O29" t="b">
        <f t="shared" si="10"/>
        <v>0</v>
      </c>
      <c r="P29" t="b">
        <f t="shared" si="11"/>
        <v>0</v>
      </c>
      <c r="Q29" t="b">
        <f t="shared" si="12"/>
        <v>0</v>
      </c>
      <c r="R29" t="b">
        <f t="shared" si="13"/>
        <v>1</v>
      </c>
      <c r="S29" t="b">
        <f t="shared" si="14"/>
        <v>0</v>
      </c>
      <c r="T29" t="b">
        <f t="shared" si="15"/>
        <v>0</v>
      </c>
      <c r="U29" t="b">
        <f t="shared" si="16"/>
        <v>1</v>
      </c>
      <c r="V29" t="b">
        <f t="shared" si="17"/>
        <v>0</v>
      </c>
    </row>
    <row r="30" spans="1:22" x14ac:dyDescent="0.35">
      <c r="A30" s="2">
        <v>2908</v>
      </c>
      <c r="B30" s="2">
        <f t="shared" si="3"/>
        <v>45</v>
      </c>
      <c r="C30" s="2">
        <f t="shared" si="4"/>
        <v>28</v>
      </c>
      <c r="D30" s="1" t="s">
        <v>27</v>
      </c>
      <c r="E30" t="str">
        <f t="shared" si="5"/>
        <v>1100</v>
      </c>
      <c r="F30" t="str">
        <f t="shared" si="0"/>
        <v>101101</v>
      </c>
      <c r="G30" t="str">
        <f t="shared" si="1"/>
        <v>101010</v>
      </c>
      <c r="H30" t="str">
        <f>LOOKUP(E30,Lookups!$A$1:$A$16,Lookups!$B$1:$B$16)</f>
        <v>h</v>
      </c>
      <c r="I30">
        <f t="shared" si="6"/>
        <v>45</v>
      </c>
      <c r="J30">
        <f t="shared" si="7"/>
        <v>42</v>
      </c>
      <c r="K30">
        <f t="shared" si="2"/>
        <v>2922</v>
      </c>
      <c r="M30" t="b">
        <f t="shared" si="8"/>
        <v>0</v>
      </c>
      <c r="N30" t="b">
        <f t="shared" si="9"/>
        <v>1</v>
      </c>
      <c r="O30" t="b">
        <f t="shared" si="10"/>
        <v>0</v>
      </c>
      <c r="P30" t="b">
        <f t="shared" si="11"/>
        <v>0</v>
      </c>
      <c r="Q30" t="b">
        <f t="shared" si="12"/>
        <v>0</v>
      </c>
      <c r="R30" t="b">
        <f t="shared" si="13"/>
        <v>1</v>
      </c>
      <c r="S30" t="b">
        <f t="shared" si="14"/>
        <v>0</v>
      </c>
      <c r="T30" t="b">
        <f t="shared" si="15"/>
        <v>0</v>
      </c>
      <c r="U30" t="b">
        <f t="shared" si="16"/>
        <v>1</v>
      </c>
      <c r="V30" t="b">
        <f t="shared" si="17"/>
        <v>0</v>
      </c>
    </row>
    <row r="31" spans="1:22" x14ac:dyDescent="0.35">
      <c r="A31" s="2">
        <v>2909</v>
      </c>
      <c r="B31" s="2">
        <f t="shared" si="3"/>
        <v>45</v>
      </c>
      <c r="C31" s="2">
        <f t="shared" si="4"/>
        <v>29</v>
      </c>
      <c r="D31" s="1" t="s">
        <v>28</v>
      </c>
      <c r="E31" t="str">
        <f t="shared" si="5"/>
        <v>1101</v>
      </c>
      <c r="F31" t="str">
        <f t="shared" si="0"/>
        <v>101101</v>
      </c>
      <c r="G31" t="str">
        <f t="shared" si="1"/>
        <v>100010</v>
      </c>
      <c r="H31" t="str">
        <f>LOOKUP(E31,Lookups!$A$1:$A$16,Lookups!$B$1:$B$16)</f>
        <v>c</v>
      </c>
      <c r="I31">
        <f t="shared" si="6"/>
        <v>45</v>
      </c>
      <c r="J31">
        <f t="shared" si="7"/>
        <v>34</v>
      </c>
      <c r="K31">
        <f t="shared" si="2"/>
        <v>2914</v>
      </c>
      <c r="M31" t="b">
        <f t="shared" si="8"/>
        <v>0</v>
      </c>
      <c r="N31" t="b">
        <f t="shared" si="9"/>
        <v>1</v>
      </c>
      <c r="O31" t="b">
        <f t="shared" si="10"/>
        <v>0</v>
      </c>
      <c r="P31" t="b">
        <f t="shared" si="11"/>
        <v>0</v>
      </c>
      <c r="Q31" t="b">
        <f t="shared" si="12"/>
        <v>0</v>
      </c>
      <c r="R31" t="b">
        <f t="shared" si="13"/>
        <v>1</v>
      </c>
      <c r="S31" t="b">
        <f t="shared" si="14"/>
        <v>0</v>
      </c>
      <c r="T31" t="b">
        <f t="shared" si="15"/>
        <v>0</v>
      </c>
      <c r="U31" t="b">
        <f t="shared" si="16"/>
        <v>0</v>
      </c>
      <c r="V31" t="b">
        <f t="shared" si="17"/>
        <v>0</v>
      </c>
    </row>
    <row r="32" spans="1:22" x14ac:dyDescent="0.35">
      <c r="A32" s="2">
        <v>2910</v>
      </c>
      <c r="B32" s="2">
        <f t="shared" si="3"/>
        <v>45</v>
      </c>
      <c r="C32" s="2">
        <f t="shared" si="4"/>
        <v>30</v>
      </c>
      <c r="D32" s="1" t="s">
        <v>29</v>
      </c>
      <c r="E32" t="str">
        <f t="shared" si="5"/>
        <v>0001</v>
      </c>
      <c r="F32" t="str">
        <f t="shared" si="0"/>
        <v>101101</v>
      </c>
      <c r="G32" t="str">
        <f t="shared" si="1"/>
        <v>110101</v>
      </c>
      <c r="H32" t="str">
        <f>LOOKUP(E32,Lookups!$A$1:$A$16,Lookups!$B$1:$B$16)</f>
        <v>b</v>
      </c>
      <c r="I32">
        <f t="shared" si="6"/>
        <v>45</v>
      </c>
      <c r="J32">
        <f t="shared" si="7"/>
        <v>53</v>
      </c>
      <c r="K32">
        <f t="shared" si="2"/>
        <v>2933</v>
      </c>
      <c r="M32" t="b">
        <f t="shared" si="8"/>
        <v>0</v>
      </c>
      <c r="N32" t="b">
        <f t="shared" si="9"/>
        <v>1</v>
      </c>
      <c r="O32" t="b">
        <f t="shared" si="10"/>
        <v>0</v>
      </c>
      <c r="P32" t="b">
        <f t="shared" si="11"/>
        <v>0</v>
      </c>
      <c r="Q32" t="b">
        <f t="shared" si="12"/>
        <v>0</v>
      </c>
      <c r="R32" t="b">
        <f t="shared" si="13"/>
        <v>1</v>
      </c>
      <c r="S32" t="b">
        <f t="shared" si="14"/>
        <v>0</v>
      </c>
      <c r="T32" t="b">
        <f t="shared" si="15"/>
        <v>0</v>
      </c>
      <c r="U32" t="b">
        <f t="shared" si="16"/>
        <v>1</v>
      </c>
      <c r="V32" t="b">
        <f t="shared" si="17"/>
        <v>0</v>
      </c>
    </row>
    <row r="33" spans="1:22" x14ac:dyDescent="0.35">
      <c r="A33" s="2">
        <v>2911</v>
      </c>
      <c r="B33" s="2">
        <f t="shared" si="3"/>
        <v>45</v>
      </c>
      <c r="C33" s="2">
        <f t="shared" si="4"/>
        <v>31</v>
      </c>
      <c r="D33" s="1" t="s">
        <v>30</v>
      </c>
      <c r="E33" t="str">
        <f t="shared" si="5"/>
        <v>1101</v>
      </c>
      <c r="F33" t="str">
        <f t="shared" si="0"/>
        <v>101101</v>
      </c>
      <c r="G33" t="str">
        <f t="shared" si="1"/>
        <v>100011</v>
      </c>
      <c r="H33" t="str">
        <f>LOOKUP(E33,Lookups!$A$1:$A$16,Lookups!$B$1:$B$16)</f>
        <v>c</v>
      </c>
      <c r="I33">
        <f t="shared" si="6"/>
        <v>45</v>
      </c>
      <c r="J33">
        <f t="shared" si="7"/>
        <v>35</v>
      </c>
      <c r="K33">
        <f t="shared" si="2"/>
        <v>2915</v>
      </c>
      <c r="M33" t="b">
        <f t="shared" si="8"/>
        <v>0</v>
      </c>
      <c r="N33" t="b">
        <f t="shared" si="9"/>
        <v>1</v>
      </c>
      <c r="O33" t="b">
        <f t="shared" si="10"/>
        <v>0</v>
      </c>
      <c r="P33" t="b">
        <f t="shared" si="11"/>
        <v>0</v>
      </c>
      <c r="Q33" t="b">
        <f t="shared" si="12"/>
        <v>0</v>
      </c>
      <c r="R33" t="b">
        <f t="shared" si="13"/>
        <v>1</v>
      </c>
      <c r="S33" t="b">
        <f t="shared" si="14"/>
        <v>0</v>
      </c>
      <c r="T33" t="b">
        <f t="shared" si="15"/>
        <v>0</v>
      </c>
      <c r="U33" t="b">
        <f t="shared" si="16"/>
        <v>0</v>
      </c>
      <c r="V33" t="b">
        <f t="shared" si="17"/>
        <v>0</v>
      </c>
    </row>
    <row r="34" spans="1:22" x14ac:dyDescent="0.35">
      <c r="A34" s="2">
        <v>2912</v>
      </c>
      <c r="B34" s="2">
        <f t="shared" si="3"/>
        <v>45</v>
      </c>
      <c r="C34" s="2">
        <f t="shared" si="4"/>
        <v>32</v>
      </c>
      <c r="D34" s="1" t="s">
        <v>31</v>
      </c>
      <c r="E34" t="str">
        <f t="shared" si="5"/>
        <v>0011</v>
      </c>
      <c r="F34" t="str">
        <f t="shared" si="0"/>
        <v>110011</v>
      </c>
      <c r="G34" t="str">
        <f t="shared" si="1"/>
        <v>000000</v>
      </c>
      <c r="H34" t="str">
        <f>LOOKUP(E34,Lookups!$A$1:$A$16,Lookups!$B$1:$B$16)</f>
        <v>r</v>
      </c>
      <c r="I34">
        <f t="shared" si="6"/>
        <v>51</v>
      </c>
      <c r="J34">
        <f t="shared" si="7"/>
        <v>0</v>
      </c>
      <c r="K34">
        <f t="shared" si="2"/>
        <v>3264</v>
      </c>
      <c r="M34" t="b">
        <f t="shared" si="8"/>
        <v>0</v>
      </c>
      <c r="N34" t="b">
        <f t="shared" si="9"/>
        <v>1</v>
      </c>
      <c r="O34" t="b">
        <f t="shared" si="10"/>
        <v>0</v>
      </c>
      <c r="P34" t="b">
        <f t="shared" si="11"/>
        <v>0</v>
      </c>
      <c r="Q34" t="b">
        <f t="shared" si="12"/>
        <v>0</v>
      </c>
      <c r="R34" t="b">
        <f t="shared" si="13"/>
        <v>0</v>
      </c>
      <c r="S34" t="b">
        <f t="shared" si="14"/>
        <v>0</v>
      </c>
      <c r="T34" t="b">
        <f t="shared" si="15"/>
        <v>0</v>
      </c>
      <c r="U34" t="b">
        <f t="shared" si="16"/>
        <v>0</v>
      </c>
      <c r="V34" t="b">
        <f t="shared" si="17"/>
        <v>0</v>
      </c>
    </row>
    <row r="35" spans="1:22" x14ac:dyDescent="0.35">
      <c r="A35" s="2">
        <v>2913</v>
      </c>
      <c r="B35" s="2">
        <f t="shared" si="3"/>
        <v>45</v>
      </c>
      <c r="C35" s="2">
        <f t="shared" si="4"/>
        <v>33</v>
      </c>
      <c r="D35" s="1" t="s">
        <v>32</v>
      </c>
      <c r="E35" t="str">
        <f t="shared" si="5"/>
        <v>1010</v>
      </c>
      <c r="F35" t="str">
        <f t="shared" si="0"/>
        <v>110011</v>
      </c>
      <c r="G35" t="str">
        <f t="shared" si="1"/>
        <v>000000</v>
      </c>
      <c r="H35" t="str">
        <f>LOOKUP(E35,Lookups!$A$1:$A$16,Lookups!$B$1:$B$16)</f>
        <v>u</v>
      </c>
      <c r="I35">
        <f t="shared" si="6"/>
        <v>51</v>
      </c>
      <c r="J35">
        <f t="shared" si="7"/>
        <v>0</v>
      </c>
      <c r="K35">
        <f t="shared" si="2"/>
        <v>3264</v>
      </c>
      <c r="M35" t="b">
        <f t="shared" si="8"/>
        <v>0</v>
      </c>
      <c r="N35" t="b">
        <f t="shared" si="9"/>
        <v>1</v>
      </c>
      <c r="O35" t="b">
        <f t="shared" si="10"/>
        <v>0</v>
      </c>
      <c r="P35" t="b">
        <f t="shared" si="11"/>
        <v>0</v>
      </c>
      <c r="Q35" t="b">
        <f t="shared" si="12"/>
        <v>0</v>
      </c>
      <c r="R35" t="b">
        <f t="shared" si="13"/>
        <v>0</v>
      </c>
      <c r="S35" t="b">
        <f t="shared" si="14"/>
        <v>0</v>
      </c>
      <c r="T35" t="b">
        <f t="shared" si="15"/>
        <v>0</v>
      </c>
      <c r="U35" t="b">
        <f t="shared" si="16"/>
        <v>0</v>
      </c>
      <c r="V35" t="b">
        <f t="shared" si="17"/>
        <v>0</v>
      </c>
    </row>
    <row r="36" spans="1:22" x14ac:dyDescent="0.35">
      <c r="A36" s="2">
        <v>2914</v>
      </c>
      <c r="B36" s="2">
        <f t="shared" si="3"/>
        <v>45</v>
      </c>
      <c r="C36" s="2">
        <f t="shared" si="4"/>
        <v>34</v>
      </c>
      <c r="D36" s="1" t="s">
        <v>33</v>
      </c>
      <c r="E36" t="str">
        <f t="shared" si="5"/>
        <v>0100</v>
      </c>
      <c r="F36" t="str">
        <f t="shared" si="0"/>
        <v>000110</v>
      </c>
      <c r="G36" t="str">
        <f t="shared" si="1"/>
        <v>010101</v>
      </c>
      <c r="H36" t="str">
        <f>LOOKUP(E36,Lookups!$A$1:$A$16,Lookups!$B$1:$B$16)</f>
        <v>i</v>
      </c>
      <c r="I36">
        <f t="shared" si="6"/>
        <v>6</v>
      </c>
      <c r="J36">
        <f t="shared" si="7"/>
        <v>21</v>
      </c>
      <c r="K36">
        <f t="shared" si="2"/>
        <v>405</v>
      </c>
      <c r="M36" t="b">
        <f t="shared" si="8"/>
        <v>0</v>
      </c>
      <c r="N36" t="b">
        <f t="shared" si="9"/>
        <v>1</v>
      </c>
      <c r="O36" t="b">
        <f t="shared" si="10"/>
        <v>0</v>
      </c>
      <c r="P36" t="b">
        <f t="shared" si="11"/>
        <v>0</v>
      </c>
      <c r="Q36" t="b">
        <f t="shared" si="12"/>
        <v>0</v>
      </c>
      <c r="R36" t="b">
        <f t="shared" si="13"/>
        <v>1</v>
      </c>
      <c r="S36" t="b">
        <f t="shared" si="14"/>
        <v>0</v>
      </c>
      <c r="T36" t="b">
        <f t="shared" si="15"/>
        <v>0</v>
      </c>
      <c r="U36" t="b">
        <f t="shared" si="16"/>
        <v>1</v>
      </c>
      <c r="V36" t="b">
        <f t="shared" si="17"/>
        <v>0</v>
      </c>
    </row>
    <row r="37" spans="1:22" x14ac:dyDescent="0.35">
      <c r="A37" s="2">
        <v>2915</v>
      </c>
      <c r="B37" s="2">
        <f t="shared" si="3"/>
        <v>45</v>
      </c>
      <c r="C37" s="2">
        <f t="shared" si="4"/>
        <v>35</v>
      </c>
      <c r="D37" s="1" t="s">
        <v>34</v>
      </c>
      <c r="E37" t="str">
        <f t="shared" si="5"/>
        <v>0110</v>
      </c>
      <c r="F37" t="str">
        <f t="shared" si="0"/>
        <v>100010</v>
      </c>
      <c r="G37" t="str">
        <f t="shared" si="1"/>
        <v>011111</v>
      </c>
      <c r="H37" t="str">
        <f>LOOKUP(E37,Lookups!$A$1:$A$16,Lookups!$B$1:$B$16)</f>
        <v>n</v>
      </c>
      <c r="I37">
        <f t="shared" si="6"/>
        <v>34</v>
      </c>
      <c r="J37">
        <f t="shared" si="7"/>
        <v>31</v>
      </c>
      <c r="K37">
        <f t="shared" si="2"/>
        <v>2207</v>
      </c>
      <c r="M37" t="b">
        <f t="shared" si="8"/>
        <v>0</v>
      </c>
      <c r="N37" t="b">
        <f t="shared" si="9"/>
        <v>1</v>
      </c>
      <c r="O37" t="b">
        <f t="shared" si="10"/>
        <v>0</v>
      </c>
      <c r="P37" t="b">
        <f t="shared" si="11"/>
        <v>0</v>
      </c>
      <c r="Q37" t="b">
        <f t="shared" si="12"/>
        <v>0</v>
      </c>
      <c r="R37" t="b">
        <f t="shared" si="13"/>
        <v>1</v>
      </c>
      <c r="S37" t="b">
        <f t="shared" si="14"/>
        <v>0</v>
      </c>
      <c r="T37" t="b">
        <f t="shared" si="15"/>
        <v>0</v>
      </c>
      <c r="U37" t="b">
        <f t="shared" si="16"/>
        <v>1</v>
      </c>
      <c r="V37" t="b">
        <f t="shared" si="17"/>
        <v>0</v>
      </c>
    </row>
    <row r="38" spans="1:22" x14ac:dyDescent="0.35">
      <c r="A38" s="2">
        <v>2916</v>
      </c>
      <c r="B38" s="2">
        <f t="shared" si="3"/>
        <v>45</v>
      </c>
      <c r="C38" s="2">
        <f t="shared" si="4"/>
        <v>36</v>
      </c>
      <c r="D38" s="1" t="s">
        <v>35</v>
      </c>
      <c r="E38" t="str">
        <f t="shared" si="5"/>
        <v>1010</v>
      </c>
      <c r="F38" t="str">
        <f t="shared" si="0"/>
        <v>101110</v>
      </c>
      <c r="G38" t="str">
        <f t="shared" si="1"/>
        <v>000000</v>
      </c>
      <c r="H38" t="str">
        <f>LOOKUP(E38,Lookups!$A$1:$A$16,Lookups!$B$1:$B$16)</f>
        <v>u</v>
      </c>
      <c r="I38">
        <f t="shared" si="6"/>
        <v>46</v>
      </c>
      <c r="J38">
        <f t="shared" si="7"/>
        <v>0</v>
      </c>
      <c r="K38">
        <f t="shared" si="2"/>
        <v>2944</v>
      </c>
      <c r="M38" t="b">
        <f t="shared" si="8"/>
        <v>0</v>
      </c>
      <c r="N38" t="b">
        <f t="shared" si="9"/>
        <v>1</v>
      </c>
      <c r="O38" t="b">
        <f t="shared" si="10"/>
        <v>0</v>
      </c>
      <c r="P38" t="b">
        <f t="shared" si="11"/>
        <v>0</v>
      </c>
      <c r="Q38" t="b">
        <f t="shared" si="12"/>
        <v>0</v>
      </c>
      <c r="R38" t="b">
        <f t="shared" si="13"/>
        <v>0</v>
      </c>
      <c r="S38" t="b">
        <f t="shared" si="14"/>
        <v>0</v>
      </c>
      <c r="T38" t="b">
        <f t="shared" si="15"/>
        <v>0</v>
      </c>
      <c r="U38" t="b">
        <f t="shared" si="16"/>
        <v>0</v>
      </c>
      <c r="V38" t="b">
        <f t="shared" si="17"/>
        <v>0</v>
      </c>
    </row>
    <row r="39" spans="1:22" x14ac:dyDescent="0.35">
      <c r="A39" s="2">
        <v>2917</v>
      </c>
      <c r="B39" s="2">
        <f t="shared" si="3"/>
        <v>45</v>
      </c>
      <c r="C39" s="2">
        <f t="shared" si="4"/>
        <v>37</v>
      </c>
      <c r="D39" s="1" t="s">
        <v>36</v>
      </c>
      <c r="E39" t="str">
        <f t="shared" si="5"/>
        <v>0000</v>
      </c>
      <c r="F39" t="str">
        <f t="shared" si="0"/>
        <v>000000</v>
      </c>
      <c r="G39" t="str">
        <f t="shared" si="1"/>
        <v>000110</v>
      </c>
      <c r="H39" t="str">
        <f>LOOKUP(E39,Lookups!$A$1:$A$16,Lookups!$B$1:$B$16)</f>
        <v>z</v>
      </c>
      <c r="I39">
        <f t="shared" si="6"/>
        <v>0</v>
      </c>
      <c r="J39">
        <f t="shared" si="7"/>
        <v>6</v>
      </c>
      <c r="K39">
        <f t="shared" si="2"/>
        <v>6</v>
      </c>
      <c r="M39" t="b">
        <f t="shared" si="8"/>
        <v>1</v>
      </c>
      <c r="N39" t="b">
        <f t="shared" si="9"/>
        <v>0</v>
      </c>
      <c r="O39" t="b">
        <f t="shared" si="10"/>
        <v>0</v>
      </c>
      <c r="P39" t="b">
        <f t="shared" si="11"/>
        <v>1</v>
      </c>
      <c r="Q39" t="b">
        <f t="shared" si="12"/>
        <v>1</v>
      </c>
      <c r="R39" t="b">
        <f t="shared" si="13"/>
        <v>1</v>
      </c>
      <c r="S39" t="b">
        <f t="shared" si="14"/>
        <v>1</v>
      </c>
      <c r="T39" t="b">
        <f t="shared" si="15"/>
        <v>0</v>
      </c>
      <c r="U39" t="b">
        <f t="shared" si="16"/>
        <v>1</v>
      </c>
      <c r="V39" t="b">
        <f t="shared" si="17"/>
        <v>0</v>
      </c>
    </row>
    <row r="40" spans="1:22" x14ac:dyDescent="0.35">
      <c r="A40" s="2">
        <v>2918</v>
      </c>
      <c r="B40" s="2">
        <f t="shared" si="3"/>
        <v>45</v>
      </c>
      <c r="C40" s="2">
        <f t="shared" si="4"/>
        <v>38</v>
      </c>
      <c r="D40" s="1" t="s">
        <v>37</v>
      </c>
      <c r="E40" t="str">
        <f t="shared" si="5"/>
        <v>0000</v>
      </c>
      <c r="F40" t="str">
        <f t="shared" si="0"/>
        <v>101101</v>
      </c>
      <c r="G40" t="str">
        <f t="shared" si="1"/>
        <v>110100</v>
      </c>
      <c r="H40" t="str">
        <f>LOOKUP(E40,Lookups!$A$1:$A$16,Lookups!$B$1:$B$16)</f>
        <v>z</v>
      </c>
      <c r="I40">
        <f t="shared" si="6"/>
        <v>45</v>
      </c>
      <c r="J40">
        <f t="shared" si="7"/>
        <v>52</v>
      </c>
      <c r="K40">
        <f t="shared" si="2"/>
        <v>2932</v>
      </c>
      <c r="M40" t="b">
        <f t="shared" si="8"/>
        <v>1</v>
      </c>
      <c r="N40" t="b">
        <f t="shared" si="9"/>
        <v>1</v>
      </c>
      <c r="O40" t="b">
        <f t="shared" si="10"/>
        <v>1</v>
      </c>
      <c r="P40" t="b">
        <f t="shared" si="11"/>
        <v>0</v>
      </c>
      <c r="Q40" t="b">
        <f t="shared" si="12"/>
        <v>0</v>
      </c>
      <c r="R40" t="b">
        <f t="shared" si="13"/>
        <v>1</v>
      </c>
      <c r="S40" t="b">
        <f t="shared" si="14"/>
        <v>1</v>
      </c>
      <c r="T40" t="b">
        <f t="shared" si="15"/>
        <v>0</v>
      </c>
      <c r="U40" t="b">
        <f t="shared" si="16"/>
        <v>1</v>
      </c>
      <c r="V40" t="b">
        <f t="shared" si="17"/>
        <v>0</v>
      </c>
    </row>
    <row r="41" spans="1:22" x14ac:dyDescent="0.35">
      <c r="A41" s="2">
        <v>2919</v>
      </c>
      <c r="B41" s="2">
        <f t="shared" si="3"/>
        <v>45</v>
      </c>
      <c r="C41" s="2">
        <f t="shared" si="4"/>
        <v>39</v>
      </c>
      <c r="D41" s="1" t="s">
        <v>38</v>
      </c>
      <c r="E41" t="str">
        <f t="shared" si="5"/>
        <v>0010</v>
      </c>
      <c r="F41" t="str">
        <f t="shared" si="0"/>
        <v>001000</v>
      </c>
      <c r="G41" t="str">
        <f t="shared" si="1"/>
        <v>000001</v>
      </c>
      <c r="H41" t="str">
        <f>LOOKUP(E41,Lookups!$A$1:$A$16,Lookups!$B$1:$B$16)</f>
        <v>y</v>
      </c>
      <c r="I41">
        <f t="shared" si="6"/>
        <v>8</v>
      </c>
      <c r="J41">
        <f t="shared" si="7"/>
        <v>1</v>
      </c>
      <c r="K41">
        <f t="shared" si="2"/>
        <v>513</v>
      </c>
      <c r="M41" t="b">
        <f t="shared" si="8"/>
        <v>0</v>
      </c>
      <c r="N41" t="b">
        <f t="shared" si="9"/>
        <v>1</v>
      </c>
      <c r="O41" t="b">
        <f t="shared" si="10"/>
        <v>0</v>
      </c>
      <c r="P41" t="b">
        <f t="shared" si="11"/>
        <v>0</v>
      </c>
      <c r="Q41" t="b">
        <f t="shared" si="12"/>
        <v>0</v>
      </c>
      <c r="R41" t="b">
        <f t="shared" si="13"/>
        <v>1</v>
      </c>
      <c r="S41" t="b">
        <f t="shared" si="14"/>
        <v>0</v>
      </c>
      <c r="T41" t="b">
        <f t="shared" si="15"/>
        <v>0</v>
      </c>
      <c r="U41" t="b">
        <f t="shared" si="16"/>
        <v>1</v>
      </c>
      <c r="V41" t="b">
        <f t="shared" si="17"/>
        <v>0</v>
      </c>
    </row>
    <row r="42" spans="1:22" x14ac:dyDescent="0.35">
      <c r="A42" s="2">
        <v>2920</v>
      </c>
      <c r="B42" s="2">
        <f t="shared" si="3"/>
        <v>45</v>
      </c>
      <c r="C42" s="2">
        <f t="shared" si="4"/>
        <v>40</v>
      </c>
      <c r="D42" s="1" t="s">
        <v>39</v>
      </c>
      <c r="E42" t="str">
        <f t="shared" si="5"/>
        <v>0100</v>
      </c>
      <c r="F42" t="str">
        <f t="shared" si="0"/>
        <v>000110</v>
      </c>
      <c r="G42" t="str">
        <f t="shared" si="1"/>
        <v>010101</v>
      </c>
      <c r="H42" t="str">
        <f>LOOKUP(E42,Lookups!$A$1:$A$16,Lookups!$B$1:$B$16)</f>
        <v>i</v>
      </c>
      <c r="I42">
        <f t="shared" si="6"/>
        <v>6</v>
      </c>
      <c r="J42">
        <f t="shared" si="7"/>
        <v>21</v>
      </c>
      <c r="K42">
        <f t="shared" si="2"/>
        <v>405</v>
      </c>
      <c r="M42" t="b">
        <f t="shared" si="8"/>
        <v>0</v>
      </c>
      <c r="N42" t="b">
        <f t="shared" si="9"/>
        <v>1</v>
      </c>
      <c r="O42" t="b">
        <f t="shared" si="10"/>
        <v>0</v>
      </c>
      <c r="P42" t="b">
        <f t="shared" si="11"/>
        <v>0</v>
      </c>
      <c r="Q42" t="b">
        <f t="shared" si="12"/>
        <v>0</v>
      </c>
      <c r="R42" t="b">
        <f t="shared" si="13"/>
        <v>1</v>
      </c>
      <c r="S42" t="b">
        <f t="shared" si="14"/>
        <v>0</v>
      </c>
      <c r="T42" t="b">
        <f t="shared" si="15"/>
        <v>0</v>
      </c>
      <c r="U42" t="b">
        <f t="shared" si="16"/>
        <v>0</v>
      </c>
      <c r="V42" t="b">
        <f t="shared" si="17"/>
        <v>0</v>
      </c>
    </row>
    <row r="43" spans="1:22" x14ac:dyDescent="0.35">
      <c r="A43" s="2">
        <v>2921</v>
      </c>
      <c r="B43" s="2">
        <f t="shared" si="3"/>
        <v>45</v>
      </c>
      <c r="C43" s="2">
        <f t="shared" si="4"/>
        <v>41</v>
      </c>
      <c r="D43" s="1" t="s">
        <v>40</v>
      </c>
      <c r="E43" t="str">
        <f t="shared" si="5"/>
        <v>1100</v>
      </c>
      <c r="F43" t="str">
        <f t="shared" si="0"/>
        <v>000110</v>
      </c>
      <c r="G43" t="str">
        <f t="shared" si="1"/>
        <v>010101</v>
      </c>
      <c r="H43" t="str">
        <f>LOOKUP(E43,Lookups!$A$1:$A$16,Lookups!$B$1:$B$16)</f>
        <v>h</v>
      </c>
      <c r="I43">
        <f t="shared" si="6"/>
        <v>6</v>
      </c>
      <c r="J43">
        <f t="shared" si="7"/>
        <v>21</v>
      </c>
      <c r="K43">
        <f t="shared" si="2"/>
        <v>405</v>
      </c>
      <c r="M43" t="b">
        <f t="shared" si="8"/>
        <v>0</v>
      </c>
      <c r="N43" t="b">
        <f t="shared" si="9"/>
        <v>1</v>
      </c>
      <c r="O43" t="b">
        <f t="shared" si="10"/>
        <v>0</v>
      </c>
      <c r="P43" t="b">
        <f t="shared" si="11"/>
        <v>0</v>
      </c>
      <c r="Q43" t="b">
        <f t="shared" si="12"/>
        <v>0</v>
      </c>
      <c r="R43" t="b">
        <f t="shared" si="13"/>
        <v>1</v>
      </c>
      <c r="S43" t="b">
        <f t="shared" si="14"/>
        <v>0</v>
      </c>
      <c r="T43" t="b">
        <f t="shared" si="15"/>
        <v>0</v>
      </c>
      <c r="U43" t="b">
        <f t="shared" si="16"/>
        <v>0</v>
      </c>
      <c r="V43" t="b">
        <f t="shared" si="17"/>
        <v>0</v>
      </c>
    </row>
    <row r="44" spans="1:22" x14ac:dyDescent="0.35">
      <c r="A44" s="2">
        <v>2922</v>
      </c>
      <c r="B44" s="2">
        <f t="shared" si="3"/>
        <v>45</v>
      </c>
      <c r="C44" s="2">
        <f t="shared" si="4"/>
        <v>42</v>
      </c>
      <c r="D44" s="1" t="s">
        <v>33</v>
      </c>
      <c r="E44" t="str">
        <f t="shared" si="5"/>
        <v>0100</v>
      </c>
      <c r="F44" t="str">
        <f t="shared" si="0"/>
        <v>000110</v>
      </c>
      <c r="G44" t="str">
        <f t="shared" si="1"/>
        <v>010101</v>
      </c>
      <c r="H44" t="str">
        <f>LOOKUP(E44,Lookups!$A$1:$A$16,Lookups!$B$1:$B$16)</f>
        <v>i</v>
      </c>
      <c r="I44">
        <f t="shared" si="6"/>
        <v>6</v>
      </c>
      <c r="J44">
        <f t="shared" si="7"/>
        <v>21</v>
      </c>
      <c r="K44">
        <f t="shared" si="2"/>
        <v>405</v>
      </c>
      <c r="M44" t="b">
        <f t="shared" si="8"/>
        <v>0</v>
      </c>
      <c r="N44" t="b">
        <f t="shared" si="9"/>
        <v>1</v>
      </c>
      <c r="O44" t="b">
        <f t="shared" si="10"/>
        <v>0</v>
      </c>
      <c r="P44" t="b">
        <f t="shared" si="11"/>
        <v>0</v>
      </c>
      <c r="Q44" t="b">
        <f t="shared" si="12"/>
        <v>0</v>
      </c>
      <c r="R44" t="b">
        <f t="shared" si="13"/>
        <v>1</v>
      </c>
      <c r="S44" t="b">
        <f t="shared" si="14"/>
        <v>0</v>
      </c>
      <c r="T44" t="b">
        <f t="shared" si="15"/>
        <v>0</v>
      </c>
      <c r="U44" t="b">
        <f t="shared" si="16"/>
        <v>1</v>
      </c>
      <c r="V44" t="b">
        <f t="shared" si="17"/>
        <v>0</v>
      </c>
    </row>
    <row r="45" spans="1:22" x14ac:dyDescent="0.35">
      <c r="A45" s="2">
        <v>2923</v>
      </c>
      <c r="B45" s="2">
        <f t="shared" si="3"/>
        <v>45</v>
      </c>
      <c r="C45" s="2">
        <f t="shared" si="4"/>
        <v>43</v>
      </c>
      <c r="D45" s="1" t="s">
        <v>41</v>
      </c>
      <c r="E45" t="str">
        <f t="shared" si="5"/>
        <v>1100</v>
      </c>
      <c r="F45" t="str">
        <f t="shared" si="0"/>
        <v>000110</v>
      </c>
      <c r="G45" t="str">
        <f t="shared" si="1"/>
        <v>010101</v>
      </c>
      <c r="H45" t="str">
        <f>LOOKUP(E45,Lookups!$A$1:$A$16,Lookups!$B$1:$B$16)</f>
        <v>h</v>
      </c>
      <c r="I45">
        <f t="shared" si="6"/>
        <v>6</v>
      </c>
      <c r="J45">
        <f t="shared" si="7"/>
        <v>21</v>
      </c>
      <c r="K45">
        <f t="shared" si="2"/>
        <v>405</v>
      </c>
      <c r="M45" t="b">
        <f t="shared" si="8"/>
        <v>0</v>
      </c>
      <c r="N45" t="b">
        <f t="shared" si="9"/>
        <v>1</v>
      </c>
      <c r="O45" t="b">
        <f t="shared" si="10"/>
        <v>0</v>
      </c>
      <c r="P45" t="b">
        <f t="shared" si="11"/>
        <v>0</v>
      </c>
      <c r="Q45" t="b">
        <f t="shared" si="12"/>
        <v>0</v>
      </c>
      <c r="R45" t="b">
        <f t="shared" si="13"/>
        <v>1</v>
      </c>
      <c r="S45" t="b">
        <f t="shared" si="14"/>
        <v>0</v>
      </c>
      <c r="T45" t="b">
        <f t="shared" si="15"/>
        <v>0</v>
      </c>
      <c r="U45" t="b">
        <f t="shared" si="16"/>
        <v>0</v>
      </c>
      <c r="V45" t="b">
        <f t="shared" si="17"/>
        <v>0</v>
      </c>
    </row>
    <row r="46" spans="1:22" x14ac:dyDescent="0.35">
      <c r="A46" s="2">
        <v>2924</v>
      </c>
      <c r="B46" s="2">
        <f t="shared" si="3"/>
        <v>45</v>
      </c>
      <c r="C46" s="2">
        <f t="shared" si="4"/>
        <v>44</v>
      </c>
      <c r="D46" s="1" t="s">
        <v>42</v>
      </c>
      <c r="E46" t="str">
        <f t="shared" si="5"/>
        <v>0100</v>
      </c>
      <c r="F46" t="str">
        <f t="shared" si="0"/>
        <v>000110</v>
      </c>
      <c r="G46" t="str">
        <f t="shared" si="1"/>
        <v>010101</v>
      </c>
      <c r="H46" t="str">
        <f>LOOKUP(E46,Lookups!$A$1:$A$16,Lookups!$B$1:$B$16)</f>
        <v>i</v>
      </c>
      <c r="I46">
        <f t="shared" si="6"/>
        <v>6</v>
      </c>
      <c r="J46">
        <f t="shared" si="7"/>
        <v>21</v>
      </c>
      <c r="K46">
        <f t="shared" si="2"/>
        <v>405</v>
      </c>
      <c r="M46" t="b">
        <f t="shared" si="8"/>
        <v>0</v>
      </c>
      <c r="N46" t="b">
        <f t="shared" si="9"/>
        <v>1</v>
      </c>
      <c r="O46" t="b">
        <f t="shared" si="10"/>
        <v>0</v>
      </c>
      <c r="P46" t="b">
        <f t="shared" si="11"/>
        <v>0</v>
      </c>
      <c r="Q46" t="b">
        <f t="shared" si="12"/>
        <v>0</v>
      </c>
      <c r="R46" t="b">
        <f t="shared" si="13"/>
        <v>1</v>
      </c>
      <c r="S46" t="b">
        <f t="shared" si="14"/>
        <v>0</v>
      </c>
      <c r="T46" t="b">
        <f t="shared" si="15"/>
        <v>0</v>
      </c>
      <c r="U46" t="b">
        <f t="shared" si="16"/>
        <v>0</v>
      </c>
      <c r="V46" t="b">
        <f t="shared" si="17"/>
        <v>0</v>
      </c>
    </row>
    <row r="47" spans="1:22" x14ac:dyDescent="0.35">
      <c r="A47" s="2">
        <v>2925</v>
      </c>
      <c r="B47" s="2">
        <f t="shared" si="3"/>
        <v>45</v>
      </c>
      <c r="C47" s="2">
        <f t="shared" si="4"/>
        <v>45</v>
      </c>
      <c r="D47" s="1" t="s">
        <v>43</v>
      </c>
      <c r="E47" t="str">
        <f t="shared" si="5"/>
        <v>1100</v>
      </c>
      <c r="F47" t="str">
        <f t="shared" si="0"/>
        <v>000110</v>
      </c>
      <c r="G47" t="str">
        <f t="shared" si="1"/>
        <v>010101</v>
      </c>
      <c r="H47" t="str">
        <f>LOOKUP(E47,Lookups!$A$1:$A$16,Lookups!$B$1:$B$16)</f>
        <v>h</v>
      </c>
      <c r="I47">
        <f t="shared" si="6"/>
        <v>6</v>
      </c>
      <c r="J47">
        <f t="shared" si="7"/>
        <v>21</v>
      </c>
      <c r="K47">
        <f t="shared" si="2"/>
        <v>405</v>
      </c>
      <c r="M47" t="b">
        <f t="shared" si="8"/>
        <v>0</v>
      </c>
      <c r="N47" t="b">
        <f t="shared" si="9"/>
        <v>1</v>
      </c>
      <c r="O47" t="b">
        <f t="shared" si="10"/>
        <v>0</v>
      </c>
      <c r="P47" t="b">
        <f t="shared" si="11"/>
        <v>0</v>
      </c>
      <c r="Q47" t="b">
        <f t="shared" si="12"/>
        <v>0</v>
      </c>
      <c r="R47" t="b">
        <f t="shared" si="13"/>
        <v>1</v>
      </c>
      <c r="S47" t="b">
        <f t="shared" si="14"/>
        <v>0</v>
      </c>
      <c r="T47" t="b">
        <f t="shared" si="15"/>
        <v>0</v>
      </c>
      <c r="U47" t="b">
        <f t="shared" si="16"/>
        <v>0</v>
      </c>
      <c r="V47" t="b">
        <f t="shared" si="17"/>
        <v>0</v>
      </c>
    </row>
    <row r="48" spans="1:22" x14ac:dyDescent="0.35">
      <c r="A48" s="2">
        <v>2926</v>
      </c>
      <c r="B48" s="2">
        <f t="shared" si="3"/>
        <v>45</v>
      </c>
      <c r="C48" s="2">
        <f t="shared" si="4"/>
        <v>46</v>
      </c>
      <c r="D48" s="1" t="s">
        <v>44</v>
      </c>
      <c r="E48" t="str">
        <f t="shared" si="5"/>
        <v>0100</v>
      </c>
      <c r="F48" t="str">
        <f t="shared" si="0"/>
        <v>000110</v>
      </c>
      <c r="G48" t="str">
        <f t="shared" si="1"/>
        <v>010101</v>
      </c>
      <c r="H48" t="str">
        <f>LOOKUP(E48,Lookups!$A$1:$A$16,Lookups!$B$1:$B$16)</f>
        <v>i</v>
      </c>
      <c r="I48">
        <f t="shared" si="6"/>
        <v>6</v>
      </c>
      <c r="J48">
        <f t="shared" si="7"/>
        <v>21</v>
      </c>
      <c r="K48">
        <f t="shared" si="2"/>
        <v>405</v>
      </c>
      <c r="M48" t="b">
        <f t="shared" si="8"/>
        <v>0</v>
      </c>
      <c r="N48" t="b">
        <f t="shared" si="9"/>
        <v>1</v>
      </c>
      <c r="O48" t="b">
        <f t="shared" si="10"/>
        <v>0</v>
      </c>
      <c r="P48" t="b">
        <f t="shared" si="11"/>
        <v>0</v>
      </c>
      <c r="Q48" t="b">
        <f t="shared" si="12"/>
        <v>0</v>
      </c>
      <c r="R48" t="b">
        <f t="shared" si="13"/>
        <v>1</v>
      </c>
      <c r="S48" t="b">
        <f t="shared" si="14"/>
        <v>0</v>
      </c>
      <c r="T48" t="b">
        <f t="shared" si="15"/>
        <v>0</v>
      </c>
      <c r="U48" t="b">
        <f t="shared" si="16"/>
        <v>0</v>
      </c>
      <c r="V48" t="b">
        <f t="shared" si="17"/>
        <v>0</v>
      </c>
    </row>
    <row r="49" spans="1:22" x14ac:dyDescent="0.35">
      <c r="A49" s="2">
        <v>2927</v>
      </c>
      <c r="B49" s="2">
        <f t="shared" si="3"/>
        <v>45</v>
      </c>
      <c r="C49" s="2">
        <f t="shared" si="4"/>
        <v>47</v>
      </c>
      <c r="D49" s="1" t="s">
        <v>45</v>
      </c>
      <c r="E49" t="str">
        <f t="shared" si="5"/>
        <v>1100</v>
      </c>
      <c r="F49" t="str">
        <f t="shared" si="0"/>
        <v>000110</v>
      </c>
      <c r="G49" t="str">
        <f t="shared" si="1"/>
        <v>010101</v>
      </c>
      <c r="H49" t="str">
        <f>LOOKUP(E49,Lookups!$A$1:$A$16,Lookups!$B$1:$B$16)</f>
        <v>h</v>
      </c>
      <c r="I49">
        <f t="shared" si="6"/>
        <v>6</v>
      </c>
      <c r="J49">
        <f t="shared" si="7"/>
        <v>21</v>
      </c>
      <c r="K49">
        <f t="shared" si="2"/>
        <v>405</v>
      </c>
      <c r="M49" t="b">
        <f t="shared" si="8"/>
        <v>0</v>
      </c>
      <c r="N49" t="b">
        <f t="shared" si="9"/>
        <v>1</v>
      </c>
      <c r="O49" t="b">
        <f t="shared" si="10"/>
        <v>0</v>
      </c>
      <c r="P49" t="b">
        <f t="shared" si="11"/>
        <v>0</v>
      </c>
      <c r="Q49" t="b">
        <f t="shared" si="12"/>
        <v>0</v>
      </c>
      <c r="R49" t="b">
        <f t="shared" si="13"/>
        <v>1</v>
      </c>
      <c r="S49" t="b">
        <f t="shared" si="14"/>
        <v>0</v>
      </c>
      <c r="T49" t="b">
        <f t="shared" si="15"/>
        <v>0</v>
      </c>
      <c r="U49" t="b">
        <f t="shared" si="16"/>
        <v>0</v>
      </c>
      <c r="V49" t="b">
        <f t="shared" si="17"/>
        <v>0</v>
      </c>
    </row>
    <row r="50" spans="1:22" x14ac:dyDescent="0.35">
      <c r="A50" s="2">
        <v>2928</v>
      </c>
      <c r="B50" s="2">
        <f t="shared" si="3"/>
        <v>45</v>
      </c>
      <c r="C50" s="2">
        <f t="shared" si="4"/>
        <v>48</v>
      </c>
      <c r="D50" s="1" t="s">
        <v>46</v>
      </c>
      <c r="E50" t="str">
        <f t="shared" si="5"/>
        <v>1100</v>
      </c>
      <c r="F50" t="str">
        <f t="shared" si="0"/>
        <v>000100</v>
      </c>
      <c r="G50" t="str">
        <f t="shared" si="1"/>
        <v>000001</v>
      </c>
      <c r="H50" t="str">
        <f>LOOKUP(E50,Lookups!$A$1:$A$16,Lookups!$B$1:$B$16)</f>
        <v>h</v>
      </c>
      <c r="I50">
        <f t="shared" si="6"/>
        <v>4</v>
      </c>
      <c r="J50">
        <f t="shared" si="7"/>
        <v>1</v>
      </c>
      <c r="K50">
        <f t="shared" si="2"/>
        <v>257</v>
      </c>
      <c r="M50" t="b">
        <f t="shared" si="8"/>
        <v>0</v>
      </c>
      <c r="N50" t="b">
        <f t="shared" si="9"/>
        <v>1</v>
      </c>
      <c r="O50" t="b">
        <f t="shared" si="10"/>
        <v>0</v>
      </c>
      <c r="P50" t="b">
        <f t="shared" si="11"/>
        <v>0</v>
      </c>
      <c r="Q50" t="b">
        <f t="shared" si="12"/>
        <v>0</v>
      </c>
      <c r="R50" t="b">
        <f t="shared" si="13"/>
        <v>1</v>
      </c>
      <c r="S50" t="b">
        <f t="shared" si="14"/>
        <v>0</v>
      </c>
      <c r="T50" t="b">
        <f t="shared" si="15"/>
        <v>0</v>
      </c>
      <c r="U50" t="b">
        <f t="shared" si="16"/>
        <v>0</v>
      </c>
      <c r="V50" t="b">
        <f t="shared" si="17"/>
        <v>0</v>
      </c>
    </row>
    <row r="51" spans="1:22" x14ac:dyDescent="0.35">
      <c r="A51" s="2">
        <v>2929</v>
      </c>
      <c r="B51" s="2">
        <f t="shared" si="3"/>
        <v>45</v>
      </c>
      <c r="C51" s="2">
        <f t="shared" si="4"/>
        <v>49</v>
      </c>
      <c r="D51" s="1" t="s">
        <v>47</v>
      </c>
      <c r="E51" t="str">
        <f t="shared" si="5"/>
        <v>0100</v>
      </c>
      <c r="F51" t="str">
        <f t="shared" si="0"/>
        <v>001000</v>
      </c>
      <c r="G51" t="str">
        <f t="shared" si="1"/>
        <v>000001</v>
      </c>
      <c r="H51" t="str">
        <f>LOOKUP(E51,Lookups!$A$1:$A$16,Lookups!$B$1:$B$16)</f>
        <v>i</v>
      </c>
      <c r="I51">
        <f t="shared" si="6"/>
        <v>8</v>
      </c>
      <c r="J51">
        <f t="shared" si="7"/>
        <v>1</v>
      </c>
      <c r="K51">
        <f t="shared" si="2"/>
        <v>513</v>
      </c>
      <c r="M51" t="b">
        <f t="shared" si="8"/>
        <v>0</v>
      </c>
      <c r="N51" t="b">
        <f t="shared" si="9"/>
        <v>1</v>
      </c>
      <c r="O51" t="b">
        <f t="shared" si="10"/>
        <v>0</v>
      </c>
      <c r="P51" t="b">
        <f t="shared" si="11"/>
        <v>0</v>
      </c>
      <c r="Q51" t="b">
        <f t="shared" si="12"/>
        <v>0</v>
      </c>
      <c r="R51" t="b">
        <f t="shared" si="13"/>
        <v>1</v>
      </c>
      <c r="S51" t="b">
        <f t="shared" si="14"/>
        <v>0</v>
      </c>
      <c r="T51" t="b">
        <f t="shared" si="15"/>
        <v>0</v>
      </c>
      <c r="U51" t="b">
        <f t="shared" si="16"/>
        <v>0</v>
      </c>
      <c r="V51" t="b">
        <f t="shared" si="17"/>
        <v>0</v>
      </c>
    </row>
    <row r="52" spans="1:22" x14ac:dyDescent="0.35">
      <c r="A52" s="2">
        <v>2930</v>
      </c>
      <c r="B52" s="2">
        <f t="shared" si="3"/>
        <v>45</v>
      </c>
      <c r="C52" s="2">
        <f t="shared" si="4"/>
        <v>50</v>
      </c>
      <c r="D52" s="1" t="s">
        <v>48</v>
      </c>
      <c r="E52" t="str">
        <f t="shared" si="5"/>
        <v>0101</v>
      </c>
      <c r="F52" t="str">
        <f t="shared" si="0"/>
        <v>001000</v>
      </c>
      <c r="G52" t="str">
        <f t="shared" si="1"/>
        <v>000001</v>
      </c>
      <c r="H52" t="str">
        <f>LOOKUP(E52,Lookups!$A$1:$A$16,Lookups!$B$1:$B$16)</f>
        <v>d</v>
      </c>
      <c r="I52">
        <f t="shared" si="6"/>
        <v>8</v>
      </c>
      <c r="J52">
        <f t="shared" si="7"/>
        <v>1</v>
      </c>
      <c r="K52">
        <f t="shared" si="2"/>
        <v>513</v>
      </c>
      <c r="M52" t="b">
        <f t="shared" si="8"/>
        <v>0</v>
      </c>
      <c r="N52" t="b">
        <f t="shared" si="9"/>
        <v>1</v>
      </c>
      <c r="O52" t="b">
        <f t="shared" si="10"/>
        <v>0</v>
      </c>
      <c r="P52" t="b">
        <f t="shared" si="11"/>
        <v>0</v>
      </c>
      <c r="Q52" t="b">
        <f t="shared" si="12"/>
        <v>0</v>
      </c>
      <c r="R52" t="b">
        <f t="shared" si="13"/>
        <v>1</v>
      </c>
      <c r="S52" t="b">
        <f t="shared" si="14"/>
        <v>0</v>
      </c>
      <c r="T52" t="b">
        <f t="shared" si="15"/>
        <v>0</v>
      </c>
      <c r="U52" t="b">
        <f t="shared" si="16"/>
        <v>0</v>
      </c>
      <c r="V52" t="b">
        <f t="shared" si="17"/>
        <v>0</v>
      </c>
    </row>
    <row r="53" spans="1:22" x14ac:dyDescent="0.35">
      <c r="A53" s="2">
        <v>2931</v>
      </c>
      <c r="B53" s="2">
        <f t="shared" si="3"/>
        <v>45</v>
      </c>
      <c r="C53" s="2">
        <f t="shared" si="4"/>
        <v>51</v>
      </c>
      <c r="D53" s="1" t="s">
        <v>49</v>
      </c>
      <c r="E53" t="str">
        <f t="shared" si="5"/>
        <v>1100</v>
      </c>
      <c r="F53" t="str">
        <f t="shared" si="0"/>
        <v>001000</v>
      </c>
      <c r="G53" t="str">
        <f t="shared" si="1"/>
        <v>000001</v>
      </c>
      <c r="H53" t="str">
        <f>LOOKUP(E53,Lookups!$A$1:$A$16,Lookups!$B$1:$B$16)</f>
        <v>h</v>
      </c>
      <c r="I53">
        <f t="shared" si="6"/>
        <v>8</v>
      </c>
      <c r="J53">
        <f t="shared" si="7"/>
        <v>1</v>
      </c>
      <c r="K53">
        <f t="shared" si="2"/>
        <v>513</v>
      </c>
      <c r="M53" t="b">
        <f t="shared" si="8"/>
        <v>0</v>
      </c>
      <c r="N53" t="b">
        <f t="shared" si="9"/>
        <v>1</v>
      </c>
      <c r="O53" t="b">
        <f t="shared" si="10"/>
        <v>0</v>
      </c>
      <c r="P53" t="b">
        <f t="shared" si="11"/>
        <v>0</v>
      </c>
      <c r="Q53" t="b">
        <f t="shared" si="12"/>
        <v>0</v>
      </c>
      <c r="R53" t="b">
        <f t="shared" si="13"/>
        <v>1</v>
      </c>
      <c r="S53" t="b">
        <f t="shared" si="14"/>
        <v>0</v>
      </c>
      <c r="T53" t="b">
        <f t="shared" si="15"/>
        <v>0</v>
      </c>
      <c r="U53" t="b">
        <f t="shared" si="16"/>
        <v>0</v>
      </c>
      <c r="V53" t="b">
        <f t="shared" si="17"/>
        <v>0</v>
      </c>
    </row>
    <row r="54" spans="1:22" x14ac:dyDescent="0.35">
      <c r="A54" s="2">
        <v>2932</v>
      </c>
      <c r="B54" s="2">
        <f t="shared" si="3"/>
        <v>45</v>
      </c>
      <c r="C54" s="2">
        <f t="shared" si="4"/>
        <v>52</v>
      </c>
      <c r="D54" s="1" t="s">
        <v>50</v>
      </c>
      <c r="E54" t="str">
        <f t="shared" si="5"/>
        <v>0110</v>
      </c>
      <c r="F54" t="str">
        <f t="shared" si="0"/>
        <v>111010</v>
      </c>
      <c r="G54" t="str">
        <f t="shared" si="1"/>
        <v>011111</v>
      </c>
      <c r="H54" t="str">
        <f>LOOKUP(E54,Lookups!$A$1:$A$16,Lookups!$B$1:$B$16)</f>
        <v>n</v>
      </c>
      <c r="I54">
        <f t="shared" si="6"/>
        <v>58</v>
      </c>
      <c r="J54">
        <f t="shared" si="7"/>
        <v>31</v>
      </c>
      <c r="K54">
        <f t="shared" si="2"/>
        <v>3743</v>
      </c>
      <c r="M54" t="b">
        <f t="shared" si="8"/>
        <v>0</v>
      </c>
      <c r="N54" t="b">
        <f t="shared" si="9"/>
        <v>1</v>
      </c>
      <c r="O54" t="b">
        <f t="shared" si="10"/>
        <v>0</v>
      </c>
      <c r="P54" t="b">
        <f t="shared" si="11"/>
        <v>0</v>
      </c>
      <c r="Q54" t="b">
        <f t="shared" si="12"/>
        <v>0</v>
      </c>
      <c r="R54" t="b">
        <f t="shared" si="13"/>
        <v>1</v>
      </c>
      <c r="S54" t="b">
        <f t="shared" si="14"/>
        <v>0</v>
      </c>
      <c r="T54" t="b">
        <f t="shared" si="15"/>
        <v>0</v>
      </c>
      <c r="U54" t="b">
        <f t="shared" si="16"/>
        <v>1</v>
      </c>
      <c r="V54" t="b">
        <f t="shared" si="17"/>
        <v>0</v>
      </c>
    </row>
    <row r="55" spans="1:22" x14ac:dyDescent="0.35">
      <c r="A55" s="2">
        <v>2933</v>
      </c>
      <c r="B55" s="2">
        <f t="shared" si="3"/>
        <v>45</v>
      </c>
      <c r="C55" s="2">
        <f t="shared" si="4"/>
        <v>53</v>
      </c>
      <c r="D55" s="1" t="s">
        <v>34</v>
      </c>
      <c r="E55" t="str">
        <f t="shared" si="5"/>
        <v>0110</v>
      </c>
      <c r="F55" t="str">
        <f t="shared" si="0"/>
        <v>100010</v>
      </c>
      <c r="G55" t="str">
        <f t="shared" si="1"/>
        <v>011111</v>
      </c>
      <c r="H55" t="str">
        <f>LOOKUP(E55,Lookups!$A$1:$A$16,Lookups!$B$1:$B$16)</f>
        <v>n</v>
      </c>
      <c r="I55">
        <f t="shared" si="6"/>
        <v>34</v>
      </c>
      <c r="J55">
        <f t="shared" si="7"/>
        <v>31</v>
      </c>
      <c r="K55">
        <f t="shared" si="2"/>
        <v>2207</v>
      </c>
      <c r="M55" t="b">
        <f t="shared" si="8"/>
        <v>0</v>
      </c>
      <c r="N55" t="b">
        <f t="shared" si="9"/>
        <v>1</v>
      </c>
      <c r="O55" t="b">
        <f t="shared" si="10"/>
        <v>0</v>
      </c>
      <c r="P55" t="b">
        <f t="shared" si="11"/>
        <v>0</v>
      </c>
      <c r="Q55" t="b">
        <f t="shared" si="12"/>
        <v>0</v>
      </c>
      <c r="R55" t="b">
        <f t="shared" si="13"/>
        <v>1</v>
      </c>
      <c r="S55" t="b">
        <f t="shared" si="14"/>
        <v>0</v>
      </c>
      <c r="T55" t="b">
        <f t="shared" si="15"/>
        <v>0</v>
      </c>
      <c r="U55" t="b">
        <f t="shared" si="16"/>
        <v>1</v>
      </c>
      <c r="V55" t="b">
        <f t="shared" si="17"/>
        <v>0</v>
      </c>
    </row>
    <row r="56" spans="1:22" x14ac:dyDescent="0.35">
      <c r="A56" s="2">
        <v>2934</v>
      </c>
      <c r="B56" s="2">
        <f t="shared" si="3"/>
        <v>45</v>
      </c>
      <c r="C56" s="2">
        <f t="shared" si="4"/>
        <v>54</v>
      </c>
      <c r="D56" s="1" t="s">
        <v>51</v>
      </c>
      <c r="E56" t="str">
        <f t="shared" si="5"/>
        <v>0110</v>
      </c>
      <c r="F56" t="str">
        <f t="shared" si="0"/>
        <v>101010</v>
      </c>
      <c r="G56" t="str">
        <f t="shared" si="1"/>
        <v>011111</v>
      </c>
      <c r="H56" t="str">
        <f>LOOKUP(E56,Lookups!$A$1:$A$16,Lookups!$B$1:$B$16)</f>
        <v>n</v>
      </c>
      <c r="I56">
        <f t="shared" si="6"/>
        <v>42</v>
      </c>
      <c r="J56">
        <f t="shared" si="7"/>
        <v>31</v>
      </c>
      <c r="K56">
        <f t="shared" si="2"/>
        <v>2719</v>
      </c>
      <c r="M56" t="b">
        <f t="shared" si="8"/>
        <v>0</v>
      </c>
      <c r="N56" t="b">
        <f t="shared" si="9"/>
        <v>1</v>
      </c>
      <c r="O56" t="b">
        <f t="shared" si="10"/>
        <v>0</v>
      </c>
      <c r="P56" t="b">
        <f t="shared" si="11"/>
        <v>0</v>
      </c>
      <c r="Q56" t="b">
        <f t="shared" si="12"/>
        <v>0</v>
      </c>
      <c r="R56" t="b">
        <f t="shared" si="13"/>
        <v>1</v>
      </c>
      <c r="S56" t="b">
        <f t="shared" si="14"/>
        <v>0</v>
      </c>
      <c r="T56" t="b">
        <f t="shared" si="15"/>
        <v>0</v>
      </c>
      <c r="U56" t="b">
        <f t="shared" si="16"/>
        <v>0</v>
      </c>
      <c r="V56" t="b">
        <f t="shared" si="17"/>
        <v>0</v>
      </c>
    </row>
    <row r="57" spans="1:22" x14ac:dyDescent="0.35">
      <c r="A57" s="2">
        <v>2935</v>
      </c>
      <c r="B57" s="2">
        <f t="shared" si="3"/>
        <v>45</v>
      </c>
      <c r="C57" s="2">
        <f t="shared" si="4"/>
        <v>55</v>
      </c>
      <c r="D57" s="1" t="s">
        <v>52</v>
      </c>
      <c r="E57" t="str">
        <f t="shared" si="5"/>
        <v>0110</v>
      </c>
      <c r="F57" t="str">
        <f t="shared" si="0"/>
        <v>101010</v>
      </c>
      <c r="G57" t="str">
        <f t="shared" si="1"/>
        <v>011111</v>
      </c>
      <c r="H57" t="str">
        <f>LOOKUP(E57,Lookups!$A$1:$A$16,Lookups!$B$1:$B$16)</f>
        <v>n</v>
      </c>
      <c r="I57">
        <f t="shared" si="6"/>
        <v>42</v>
      </c>
      <c r="J57">
        <f t="shared" si="7"/>
        <v>31</v>
      </c>
      <c r="K57">
        <f t="shared" si="2"/>
        <v>2719</v>
      </c>
      <c r="M57" t="b">
        <f t="shared" si="8"/>
        <v>0</v>
      </c>
      <c r="N57" t="b">
        <f t="shared" si="9"/>
        <v>1</v>
      </c>
      <c r="O57" t="b">
        <f t="shared" si="10"/>
        <v>0</v>
      </c>
      <c r="P57" t="b">
        <f t="shared" si="11"/>
        <v>0</v>
      </c>
      <c r="Q57" t="b">
        <f t="shared" si="12"/>
        <v>0</v>
      </c>
      <c r="R57" t="b">
        <f t="shared" si="13"/>
        <v>1</v>
      </c>
      <c r="S57" t="b">
        <f t="shared" si="14"/>
        <v>0</v>
      </c>
      <c r="T57" t="b">
        <f t="shared" si="15"/>
        <v>0</v>
      </c>
      <c r="U57" t="b">
        <f t="shared" si="16"/>
        <v>0</v>
      </c>
      <c r="V57" t="b">
        <f t="shared" si="17"/>
        <v>0</v>
      </c>
    </row>
    <row r="58" spans="1:22" x14ac:dyDescent="0.35">
      <c r="A58" s="2">
        <v>2936</v>
      </c>
      <c r="B58" s="2">
        <f t="shared" si="3"/>
        <v>45</v>
      </c>
      <c r="C58" s="2">
        <f t="shared" si="4"/>
        <v>56</v>
      </c>
      <c r="D58" s="1" t="s">
        <v>53</v>
      </c>
      <c r="E58" t="str">
        <f t="shared" si="5"/>
        <v>0000</v>
      </c>
      <c r="F58" t="str">
        <f t="shared" si="0"/>
        <v>000000</v>
      </c>
      <c r="G58" t="str">
        <f t="shared" si="1"/>
        <v>000000</v>
      </c>
      <c r="H58" t="str">
        <f>LOOKUP(E58,Lookups!$A$1:$A$16,Lookups!$B$1:$B$16)</f>
        <v>z</v>
      </c>
      <c r="I58">
        <f t="shared" si="6"/>
        <v>0</v>
      </c>
      <c r="J58">
        <f t="shared" si="7"/>
        <v>0</v>
      </c>
      <c r="K58">
        <f t="shared" si="2"/>
        <v>0</v>
      </c>
      <c r="M58" t="b">
        <f t="shared" si="8"/>
        <v>1</v>
      </c>
      <c r="N58" t="b">
        <f t="shared" si="9"/>
        <v>0</v>
      </c>
      <c r="O58" t="b">
        <f t="shared" si="10"/>
        <v>0</v>
      </c>
      <c r="P58" t="b">
        <f t="shared" si="11"/>
        <v>1</v>
      </c>
      <c r="Q58" t="b">
        <f t="shared" si="12"/>
        <v>1</v>
      </c>
      <c r="R58" t="b">
        <f t="shared" si="13"/>
        <v>0</v>
      </c>
      <c r="S58" t="b">
        <f t="shared" si="14"/>
        <v>0</v>
      </c>
      <c r="T58" t="b">
        <f t="shared" si="15"/>
        <v>1</v>
      </c>
      <c r="U58" t="b">
        <f t="shared" si="16"/>
        <v>0</v>
      </c>
      <c r="V58" t="b">
        <f t="shared" si="17"/>
        <v>0</v>
      </c>
    </row>
    <row r="59" spans="1:22" x14ac:dyDescent="0.35">
      <c r="A59" s="2">
        <v>2937</v>
      </c>
      <c r="B59" s="2">
        <f t="shared" si="3"/>
        <v>45</v>
      </c>
      <c r="C59" s="2">
        <f t="shared" si="4"/>
        <v>57</v>
      </c>
      <c r="D59" s="1" t="s">
        <v>54</v>
      </c>
      <c r="E59" t="str">
        <f t="shared" si="5"/>
        <v>0000</v>
      </c>
      <c r="F59" t="str">
        <f t="shared" si="0"/>
        <v>000000</v>
      </c>
      <c r="G59" t="str">
        <f t="shared" si="1"/>
        <v>000000</v>
      </c>
      <c r="H59" t="str">
        <f>LOOKUP(E59,Lookups!$A$1:$A$16,Lookups!$B$1:$B$16)</f>
        <v>z</v>
      </c>
      <c r="I59">
        <f t="shared" si="6"/>
        <v>0</v>
      </c>
      <c r="J59">
        <f t="shared" si="7"/>
        <v>0</v>
      </c>
      <c r="K59">
        <f t="shared" si="2"/>
        <v>0</v>
      </c>
      <c r="M59" t="b">
        <f t="shared" si="8"/>
        <v>1</v>
      </c>
      <c r="N59" t="b">
        <f t="shared" si="9"/>
        <v>0</v>
      </c>
      <c r="O59" t="b">
        <f t="shared" si="10"/>
        <v>0</v>
      </c>
      <c r="P59" t="b">
        <f t="shared" si="11"/>
        <v>1</v>
      </c>
      <c r="Q59" t="b">
        <f t="shared" si="12"/>
        <v>1</v>
      </c>
      <c r="R59" t="b">
        <f t="shared" si="13"/>
        <v>0</v>
      </c>
      <c r="S59" t="b">
        <f t="shared" si="14"/>
        <v>0</v>
      </c>
      <c r="T59" t="b">
        <f t="shared" si="15"/>
        <v>1</v>
      </c>
      <c r="U59" t="b">
        <f t="shared" si="16"/>
        <v>1</v>
      </c>
      <c r="V59" t="b">
        <f t="shared" si="17"/>
        <v>1</v>
      </c>
    </row>
    <row r="60" spans="1:22" x14ac:dyDescent="0.35">
      <c r="A60" s="2">
        <v>2938</v>
      </c>
      <c r="B60" s="2">
        <f t="shared" si="3"/>
        <v>45</v>
      </c>
      <c r="C60" s="2">
        <f t="shared" si="4"/>
        <v>58</v>
      </c>
      <c r="D60" s="1" t="s">
        <v>55</v>
      </c>
      <c r="E60" t="str">
        <f t="shared" si="5"/>
        <v>0001</v>
      </c>
      <c r="F60" t="str">
        <f t="shared" si="0"/>
        <v>000000</v>
      </c>
      <c r="G60" t="str">
        <f t="shared" si="1"/>
        <v>000000</v>
      </c>
      <c r="H60" t="str">
        <f>LOOKUP(E60,Lookups!$A$1:$A$16,Lookups!$B$1:$B$16)</f>
        <v>b</v>
      </c>
      <c r="I60">
        <f t="shared" si="6"/>
        <v>0</v>
      </c>
      <c r="J60">
        <f t="shared" si="7"/>
        <v>0</v>
      </c>
      <c r="K60">
        <f t="shared" si="2"/>
        <v>0</v>
      </c>
      <c r="M60" t="b">
        <f t="shared" si="8"/>
        <v>0</v>
      </c>
      <c r="N60" t="b">
        <f t="shared" si="9"/>
        <v>0</v>
      </c>
      <c r="O60" t="b">
        <f t="shared" si="10"/>
        <v>0</v>
      </c>
      <c r="P60" t="b">
        <f t="shared" si="11"/>
        <v>1</v>
      </c>
      <c r="Q60" t="b">
        <f t="shared" si="12"/>
        <v>0</v>
      </c>
      <c r="R60" t="b">
        <f t="shared" si="13"/>
        <v>0</v>
      </c>
      <c r="S60" t="b">
        <f t="shared" si="14"/>
        <v>0</v>
      </c>
      <c r="T60" t="b">
        <f t="shared" si="15"/>
        <v>0</v>
      </c>
      <c r="U60" t="b">
        <f t="shared" si="16"/>
        <v>0</v>
      </c>
      <c r="V60" t="b">
        <f t="shared" si="17"/>
        <v>0</v>
      </c>
    </row>
    <row r="61" spans="1:22" x14ac:dyDescent="0.35">
      <c r="A61" s="2">
        <v>2939</v>
      </c>
      <c r="B61" s="2">
        <f t="shared" si="3"/>
        <v>45</v>
      </c>
      <c r="C61" s="2">
        <f t="shared" si="4"/>
        <v>59</v>
      </c>
      <c r="D61" s="1" t="s">
        <v>56</v>
      </c>
      <c r="E61" t="str">
        <f t="shared" si="5"/>
        <v>0000</v>
      </c>
      <c r="F61" t="str">
        <f t="shared" si="0"/>
        <v>000000</v>
      </c>
      <c r="G61" t="str">
        <f t="shared" si="1"/>
        <v>000000</v>
      </c>
      <c r="H61" t="str">
        <f>LOOKUP(E61,Lookups!$A$1:$A$16,Lookups!$B$1:$B$16)</f>
        <v>z</v>
      </c>
      <c r="I61">
        <f t="shared" si="6"/>
        <v>0</v>
      </c>
      <c r="J61">
        <f t="shared" si="7"/>
        <v>0</v>
      </c>
      <c r="K61">
        <f t="shared" si="2"/>
        <v>0</v>
      </c>
      <c r="M61" t="b">
        <f t="shared" si="8"/>
        <v>1</v>
      </c>
      <c r="N61" t="b">
        <f t="shared" si="9"/>
        <v>0</v>
      </c>
      <c r="O61" t="b">
        <f t="shared" si="10"/>
        <v>0</v>
      </c>
      <c r="P61" t="b">
        <f t="shared" si="11"/>
        <v>1</v>
      </c>
      <c r="Q61" t="b">
        <f t="shared" si="12"/>
        <v>1</v>
      </c>
      <c r="R61" t="b">
        <f t="shared" si="13"/>
        <v>0</v>
      </c>
      <c r="S61" t="b">
        <f t="shared" si="14"/>
        <v>0</v>
      </c>
      <c r="T61" t="b">
        <f t="shared" si="15"/>
        <v>1</v>
      </c>
      <c r="U61" t="b">
        <f t="shared" si="16"/>
        <v>0</v>
      </c>
      <c r="V61" t="b">
        <f t="shared" si="17"/>
        <v>0</v>
      </c>
    </row>
    <row r="62" spans="1:22" x14ac:dyDescent="0.35">
      <c r="A62" s="2">
        <v>2940</v>
      </c>
      <c r="B62" s="2">
        <f t="shared" si="3"/>
        <v>45</v>
      </c>
      <c r="C62" s="2">
        <f t="shared" si="4"/>
        <v>60</v>
      </c>
      <c r="D62" s="1" t="s">
        <v>57</v>
      </c>
      <c r="E62" t="str">
        <f t="shared" si="5"/>
        <v>0000</v>
      </c>
      <c r="F62" t="str">
        <f t="shared" si="0"/>
        <v>000000</v>
      </c>
      <c r="G62" t="str">
        <f t="shared" si="1"/>
        <v>000001</v>
      </c>
      <c r="H62" t="str">
        <f>LOOKUP(E62,Lookups!$A$1:$A$16,Lookups!$B$1:$B$16)</f>
        <v>z</v>
      </c>
      <c r="I62">
        <f t="shared" si="6"/>
        <v>0</v>
      </c>
      <c r="J62">
        <f t="shared" si="7"/>
        <v>1</v>
      </c>
      <c r="K62">
        <f t="shared" si="2"/>
        <v>1</v>
      </c>
      <c r="M62" t="b">
        <f t="shared" si="8"/>
        <v>1</v>
      </c>
      <c r="N62" t="b">
        <f t="shared" si="9"/>
        <v>0</v>
      </c>
      <c r="O62" t="b">
        <f t="shared" si="10"/>
        <v>0</v>
      </c>
      <c r="P62" t="b">
        <f t="shared" si="11"/>
        <v>1</v>
      </c>
      <c r="Q62" t="b">
        <f t="shared" si="12"/>
        <v>1</v>
      </c>
      <c r="R62" t="b">
        <f t="shared" si="13"/>
        <v>1</v>
      </c>
      <c r="S62" t="b">
        <f t="shared" si="14"/>
        <v>1</v>
      </c>
      <c r="T62" t="b">
        <f t="shared" si="15"/>
        <v>0</v>
      </c>
      <c r="U62" t="b">
        <f t="shared" si="16"/>
        <v>1</v>
      </c>
      <c r="V62" t="b">
        <f t="shared" si="17"/>
        <v>0</v>
      </c>
    </row>
    <row r="63" spans="1:22" x14ac:dyDescent="0.35">
      <c r="A63" s="2">
        <v>2941</v>
      </c>
      <c r="B63" s="2">
        <f t="shared" si="3"/>
        <v>45</v>
      </c>
      <c r="C63" s="2">
        <f t="shared" si="4"/>
        <v>61</v>
      </c>
      <c r="D63" s="1" t="s">
        <v>58</v>
      </c>
      <c r="E63" t="str">
        <f t="shared" si="5"/>
        <v>1110</v>
      </c>
      <c r="F63" t="str">
        <f t="shared" si="0"/>
        <v>111110</v>
      </c>
      <c r="G63" t="str">
        <f t="shared" si="1"/>
        <v>011111</v>
      </c>
      <c r="H63" t="str">
        <f>LOOKUP(E63,Lookups!$A$1:$A$16,Lookups!$B$1:$B$16)</f>
        <v>a</v>
      </c>
      <c r="I63">
        <f t="shared" si="6"/>
        <v>62</v>
      </c>
      <c r="J63">
        <f t="shared" si="7"/>
        <v>31</v>
      </c>
      <c r="K63">
        <f t="shared" si="2"/>
        <v>3999</v>
      </c>
      <c r="M63" t="b">
        <f t="shared" si="8"/>
        <v>0</v>
      </c>
      <c r="N63" t="b">
        <f t="shared" si="9"/>
        <v>1</v>
      </c>
      <c r="O63" t="b">
        <f t="shared" si="10"/>
        <v>0</v>
      </c>
      <c r="P63" t="b">
        <f t="shared" si="11"/>
        <v>0</v>
      </c>
      <c r="Q63" t="b">
        <f t="shared" si="12"/>
        <v>0</v>
      </c>
      <c r="R63" t="b">
        <f t="shared" si="13"/>
        <v>1</v>
      </c>
      <c r="S63" t="b">
        <f t="shared" si="14"/>
        <v>0</v>
      </c>
      <c r="T63" t="b">
        <f t="shared" si="15"/>
        <v>0</v>
      </c>
      <c r="U63" t="b">
        <f t="shared" si="16"/>
        <v>1</v>
      </c>
      <c r="V63" t="b">
        <f t="shared" si="17"/>
        <v>0</v>
      </c>
    </row>
    <row r="64" spans="1:22" x14ac:dyDescent="0.35">
      <c r="A64" s="2">
        <v>2942</v>
      </c>
      <c r="B64" s="2">
        <f t="shared" si="3"/>
        <v>45</v>
      </c>
      <c r="C64" s="2">
        <f t="shared" si="4"/>
        <v>62</v>
      </c>
      <c r="D64" s="1" t="s">
        <v>59</v>
      </c>
      <c r="E64" t="str">
        <f t="shared" si="5"/>
        <v>1111</v>
      </c>
      <c r="F64" t="str">
        <f t="shared" si="0"/>
        <v>111111</v>
      </c>
      <c r="G64" t="str">
        <f t="shared" si="1"/>
        <v>111111</v>
      </c>
      <c r="H64" t="str">
        <f>LOOKUP(E64,Lookups!$A$1:$A$16,Lookups!$B$1:$B$16)</f>
        <v>s</v>
      </c>
      <c r="I64">
        <f t="shared" si="6"/>
        <v>63</v>
      </c>
      <c r="J64">
        <f t="shared" si="7"/>
        <v>63</v>
      </c>
      <c r="K64">
        <f t="shared" si="2"/>
        <v>4095</v>
      </c>
      <c r="M64" t="b">
        <f t="shared" si="8"/>
        <v>0</v>
      </c>
      <c r="N64" t="b">
        <f t="shared" si="9"/>
        <v>1</v>
      </c>
      <c r="O64" t="b">
        <f t="shared" si="10"/>
        <v>0</v>
      </c>
      <c r="P64" t="b">
        <f t="shared" si="11"/>
        <v>0</v>
      </c>
      <c r="Q64" t="b">
        <f t="shared" si="12"/>
        <v>0</v>
      </c>
      <c r="R64" t="b">
        <f t="shared" si="13"/>
        <v>1</v>
      </c>
      <c r="S64" t="b">
        <f t="shared" si="14"/>
        <v>0</v>
      </c>
      <c r="T64" t="b">
        <f t="shared" si="15"/>
        <v>0</v>
      </c>
      <c r="U64" t="b">
        <f t="shared" si="16"/>
        <v>1</v>
      </c>
      <c r="V64" t="b">
        <f t="shared" si="17"/>
        <v>0</v>
      </c>
    </row>
    <row r="65" spans="1:22" x14ac:dyDescent="0.35">
      <c r="A65" s="2">
        <v>2943</v>
      </c>
      <c r="B65" s="2">
        <f t="shared" si="3"/>
        <v>45</v>
      </c>
      <c r="C65" s="2">
        <f t="shared" si="4"/>
        <v>63</v>
      </c>
      <c r="D65" s="1" t="s">
        <v>60</v>
      </c>
      <c r="E65" t="str">
        <f t="shared" si="5"/>
        <v>0000</v>
      </c>
      <c r="F65" t="str">
        <f t="shared" si="0"/>
        <v>000000</v>
      </c>
      <c r="G65" t="str">
        <f t="shared" si="1"/>
        <v>000000</v>
      </c>
      <c r="H65" t="str">
        <f>LOOKUP(E65,Lookups!$A$1:$A$16,Lookups!$B$1:$B$16)</f>
        <v>z</v>
      </c>
      <c r="I65">
        <f t="shared" si="6"/>
        <v>0</v>
      </c>
      <c r="J65">
        <f t="shared" si="7"/>
        <v>0</v>
      </c>
      <c r="K65">
        <f t="shared" si="2"/>
        <v>0</v>
      </c>
      <c r="M65" t="b">
        <f t="shared" si="8"/>
        <v>1</v>
      </c>
      <c r="N65" t="b">
        <f t="shared" si="9"/>
        <v>0</v>
      </c>
      <c r="O65" t="b">
        <f t="shared" si="10"/>
        <v>0</v>
      </c>
      <c r="P65" t="b">
        <f t="shared" si="11"/>
        <v>1</v>
      </c>
      <c r="Q65" t="b">
        <f t="shared" si="12"/>
        <v>1</v>
      </c>
      <c r="R65" t="b">
        <f t="shared" si="13"/>
        <v>0</v>
      </c>
      <c r="S65" t="b">
        <f t="shared" si="14"/>
        <v>0</v>
      </c>
      <c r="T65" t="b">
        <f t="shared" si="15"/>
        <v>1</v>
      </c>
      <c r="U65" t="b">
        <f t="shared" si="16"/>
        <v>0</v>
      </c>
      <c r="V65" t="b">
        <f t="shared" si="17"/>
        <v>0</v>
      </c>
    </row>
    <row r="66" spans="1:22" x14ac:dyDescent="0.35">
      <c r="A66" s="2">
        <v>2944</v>
      </c>
      <c r="B66" s="2">
        <f t="shared" si="3"/>
        <v>46</v>
      </c>
      <c r="C66" s="2">
        <f t="shared" si="4"/>
        <v>0</v>
      </c>
      <c r="D66" s="1" t="s">
        <v>61</v>
      </c>
      <c r="E66" t="str">
        <f t="shared" si="5"/>
        <v>0001</v>
      </c>
      <c r="F66" t="str">
        <f t="shared" ref="F66:F129" si="18">MID(D66,19,6)</f>
        <v>101101</v>
      </c>
      <c r="G66" t="str">
        <f t="shared" ref="G66:G129" si="19">MID(D66,25,6)</f>
        <v>100101</v>
      </c>
      <c r="H66" t="str">
        <f>LOOKUP(E66,Lookups!$A$1:$A$16,Lookups!$B$1:$B$16)</f>
        <v>b</v>
      </c>
      <c r="I66">
        <f t="shared" si="6"/>
        <v>45</v>
      </c>
      <c r="J66">
        <f t="shared" si="7"/>
        <v>37</v>
      </c>
      <c r="K66">
        <f t="shared" ref="K66:K129" si="20">I66*64+J66</f>
        <v>2917</v>
      </c>
      <c r="M66" t="b">
        <f t="shared" si="8"/>
        <v>0</v>
      </c>
      <c r="N66" t="b">
        <f t="shared" si="9"/>
        <v>1</v>
      </c>
      <c r="O66" t="b">
        <f t="shared" si="10"/>
        <v>0</v>
      </c>
      <c r="P66" t="b">
        <f t="shared" si="11"/>
        <v>0</v>
      </c>
      <c r="Q66" t="b">
        <f t="shared" si="12"/>
        <v>0</v>
      </c>
      <c r="R66" t="b">
        <f t="shared" si="13"/>
        <v>1</v>
      </c>
      <c r="S66" t="b">
        <f t="shared" si="14"/>
        <v>0</v>
      </c>
      <c r="T66" t="b">
        <f t="shared" si="15"/>
        <v>0</v>
      </c>
      <c r="U66" t="b">
        <f t="shared" si="16"/>
        <v>1</v>
      </c>
      <c r="V66" t="b">
        <f t="shared" si="17"/>
        <v>0</v>
      </c>
    </row>
    <row r="67" spans="1:22" x14ac:dyDescent="0.35">
      <c r="A67" s="2">
        <v>2945</v>
      </c>
      <c r="B67" s="2">
        <f t="shared" ref="B67:B130" si="21">QUOTIENT(A67,64)</f>
        <v>46</v>
      </c>
      <c r="C67" s="2">
        <f t="shared" ref="C67:C130" si="22">MOD(A67,64)</f>
        <v>1</v>
      </c>
      <c r="D67" s="1" t="s">
        <v>62</v>
      </c>
      <c r="E67" t="str">
        <f t="shared" ref="E67:E130" si="23">MID(D67,13,4)</f>
        <v>1111</v>
      </c>
      <c r="F67" t="str">
        <f t="shared" si="18"/>
        <v>110001</v>
      </c>
      <c r="G67" t="str">
        <f t="shared" si="19"/>
        <v>111111</v>
      </c>
      <c r="H67" t="str">
        <f>LOOKUP(E67,Lookups!$A$1:$A$16,Lookups!$B$1:$B$16)</f>
        <v>s</v>
      </c>
      <c r="I67">
        <f t="shared" ref="I67:I130" si="24">BIN2DEC(F67)</f>
        <v>49</v>
      </c>
      <c r="J67">
        <f t="shared" ref="J67:J130" si="25">BIN2DEC(G67)</f>
        <v>63</v>
      </c>
      <c r="K67">
        <f t="shared" si="20"/>
        <v>3199</v>
      </c>
      <c r="M67" t="b">
        <f t="shared" ref="M67:M130" si="26">IF(H67="z", TRUE,FALSE)</f>
        <v>0</v>
      </c>
      <c r="N67" t="b">
        <f t="shared" ref="N67:N130" si="27">IF(AND(I67,60),TRUE,FALSE)</f>
        <v>1</v>
      </c>
      <c r="O67" t="b">
        <f t="shared" ref="O67:O130" si="28">IF(AND(M67,N67),TRUE,FALSE)</f>
        <v>0</v>
      </c>
      <c r="P67" t="b">
        <f t="shared" ref="P67:P130" si="29">IF(I67=0,TRUE, FALSE)</f>
        <v>0</v>
      </c>
      <c r="Q67" t="b">
        <f t="shared" ref="Q67:Q130" si="30">IF(AND(M67,P67),TRUE,FALSE)</f>
        <v>0</v>
      </c>
      <c r="R67" t="b">
        <f t="shared" ref="R67:R130" si="31">IF(J67&lt;&gt;0,TRUE,FALSE)</f>
        <v>1</v>
      </c>
      <c r="S67" t="b">
        <f t="shared" ref="S67:S130" si="32">IF(AND(M67,R67),TRUE,FALSE)</f>
        <v>0</v>
      </c>
      <c r="T67" t="b">
        <f t="shared" ref="T67:T130" si="33">IF(AND(OR(O67,Q67),NOT(S67)),TRUE,FALSE)</f>
        <v>0</v>
      </c>
      <c r="U67" t="b">
        <f t="shared" ref="U67:U130" si="34">IF(AND(A67,COUNTIF($K$2:$K$449,A67)),TRUE,FALSE)</f>
        <v>0</v>
      </c>
      <c r="V67" t="b">
        <f t="shared" ref="V67:V130" si="35">IF(AND(T67,U67),TRUE,FALSE)</f>
        <v>0</v>
      </c>
    </row>
    <row r="68" spans="1:22" x14ac:dyDescent="0.35">
      <c r="A68" s="2">
        <v>2946</v>
      </c>
      <c r="B68" s="2">
        <f t="shared" si="21"/>
        <v>46</v>
      </c>
      <c r="C68" s="2">
        <f t="shared" si="22"/>
        <v>2</v>
      </c>
      <c r="D68" s="1" t="s">
        <v>63</v>
      </c>
      <c r="E68" t="str">
        <f t="shared" si="23"/>
        <v>1011</v>
      </c>
      <c r="F68" t="str">
        <f t="shared" si="18"/>
        <v>101110</v>
      </c>
      <c r="G68" t="str">
        <f t="shared" si="19"/>
        <v>001001</v>
      </c>
      <c r="H68" t="str">
        <f>LOOKUP(E68,Lookups!$A$1:$A$16,Lookups!$B$1:$B$16)</f>
        <v>t</v>
      </c>
      <c r="I68">
        <f t="shared" si="24"/>
        <v>46</v>
      </c>
      <c r="J68">
        <f t="shared" si="25"/>
        <v>9</v>
      </c>
      <c r="K68">
        <f t="shared" si="20"/>
        <v>2953</v>
      </c>
      <c r="M68" t="b">
        <f t="shared" si="26"/>
        <v>0</v>
      </c>
      <c r="N68" t="b">
        <f t="shared" si="27"/>
        <v>1</v>
      </c>
      <c r="O68" t="b">
        <f t="shared" si="28"/>
        <v>0</v>
      </c>
      <c r="P68" t="b">
        <f t="shared" si="29"/>
        <v>0</v>
      </c>
      <c r="Q68" t="b">
        <f t="shared" si="30"/>
        <v>0</v>
      </c>
      <c r="R68" t="b">
        <f t="shared" si="31"/>
        <v>1</v>
      </c>
      <c r="S68" t="b">
        <f t="shared" si="32"/>
        <v>0</v>
      </c>
      <c r="T68" t="b">
        <f t="shared" si="33"/>
        <v>0</v>
      </c>
      <c r="U68" t="b">
        <f t="shared" si="34"/>
        <v>0</v>
      </c>
      <c r="V68" t="b">
        <f t="shared" si="35"/>
        <v>0</v>
      </c>
    </row>
    <row r="69" spans="1:22" x14ac:dyDescent="0.35">
      <c r="A69" s="2">
        <v>2947</v>
      </c>
      <c r="B69" s="2">
        <f t="shared" si="21"/>
        <v>46</v>
      </c>
      <c r="C69" s="2">
        <f t="shared" si="22"/>
        <v>3</v>
      </c>
      <c r="D69" s="1" t="s">
        <v>64</v>
      </c>
      <c r="E69" t="str">
        <f t="shared" si="23"/>
        <v>1111</v>
      </c>
      <c r="F69" t="str">
        <f t="shared" si="18"/>
        <v>110010</v>
      </c>
      <c r="G69" t="str">
        <f t="shared" si="19"/>
        <v>100111</v>
      </c>
      <c r="H69" t="str">
        <f>LOOKUP(E69,Lookups!$A$1:$A$16,Lookups!$B$1:$B$16)</f>
        <v>s</v>
      </c>
      <c r="I69">
        <f t="shared" si="24"/>
        <v>50</v>
      </c>
      <c r="J69">
        <f t="shared" si="25"/>
        <v>39</v>
      </c>
      <c r="K69">
        <f t="shared" si="20"/>
        <v>3239</v>
      </c>
      <c r="M69" t="b">
        <f t="shared" si="26"/>
        <v>0</v>
      </c>
      <c r="N69" t="b">
        <f t="shared" si="27"/>
        <v>1</v>
      </c>
      <c r="O69" t="b">
        <f t="shared" si="28"/>
        <v>0</v>
      </c>
      <c r="P69" t="b">
        <f t="shared" si="29"/>
        <v>0</v>
      </c>
      <c r="Q69" t="b">
        <f t="shared" si="30"/>
        <v>0</v>
      </c>
      <c r="R69" t="b">
        <f t="shared" si="31"/>
        <v>1</v>
      </c>
      <c r="S69" t="b">
        <f t="shared" si="32"/>
        <v>0</v>
      </c>
      <c r="T69" t="b">
        <f t="shared" si="33"/>
        <v>0</v>
      </c>
      <c r="U69" t="b">
        <f t="shared" si="34"/>
        <v>0</v>
      </c>
      <c r="V69" t="b">
        <f t="shared" si="35"/>
        <v>0</v>
      </c>
    </row>
    <row r="70" spans="1:22" x14ac:dyDescent="0.35">
      <c r="A70" s="2">
        <v>2948</v>
      </c>
      <c r="B70" s="2">
        <f t="shared" si="21"/>
        <v>46</v>
      </c>
      <c r="C70" s="2">
        <f t="shared" si="22"/>
        <v>4</v>
      </c>
      <c r="D70" s="1" t="s">
        <v>65</v>
      </c>
      <c r="E70" t="str">
        <f t="shared" si="23"/>
        <v>1011</v>
      </c>
      <c r="F70" t="str">
        <f t="shared" si="18"/>
        <v>101110</v>
      </c>
      <c r="G70" t="str">
        <f t="shared" si="19"/>
        <v>000111</v>
      </c>
      <c r="H70" t="str">
        <f>LOOKUP(E70,Lookups!$A$1:$A$16,Lookups!$B$1:$B$16)</f>
        <v>t</v>
      </c>
      <c r="I70">
        <f t="shared" si="24"/>
        <v>46</v>
      </c>
      <c r="J70">
        <f t="shared" si="25"/>
        <v>7</v>
      </c>
      <c r="K70">
        <f t="shared" si="20"/>
        <v>2951</v>
      </c>
      <c r="M70" t="b">
        <f t="shared" si="26"/>
        <v>0</v>
      </c>
      <c r="N70" t="b">
        <f t="shared" si="27"/>
        <v>1</v>
      </c>
      <c r="O70" t="b">
        <f t="shared" si="28"/>
        <v>0</v>
      </c>
      <c r="P70" t="b">
        <f t="shared" si="29"/>
        <v>0</v>
      </c>
      <c r="Q70" t="b">
        <f t="shared" si="30"/>
        <v>0</v>
      </c>
      <c r="R70" t="b">
        <f t="shared" si="31"/>
        <v>1</v>
      </c>
      <c r="S70" t="b">
        <f t="shared" si="32"/>
        <v>0</v>
      </c>
      <c r="T70" t="b">
        <f t="shared" si="33"/>
        <v>0</v>
      </c>
      <c r="U70" t="b">
        <f t="shared" si="34"/>
        <v>0</v>
      </c>
      <c r="V70" t="b">
        <f t="shared" si="35"/>
        <v>0</v>
      </c>
    </row>
    <row r="71" spans="1:22" x14ac:dyDescent="0.35">
      <c r="A71" s="2">
        <v>2949</v>
      </c>
      <c r="B71" s="2">
        <f t="shared" si="21"/>
        <v>46</v>
      </c>
      <c r="C71" s="2">
        <f t="shared" si="22"/>
        <v>5</v>
      </c>
      <c r="D71" s="1" t="s">
        <v>66</v>
      </c>
      <c r="E71" t="str">
        <f t="shared" si="23"/>
        <v>0001</v>
      </c>
      <c r="F71" t="str">
        <f t="shared" si="18"/>
        <v>101111</v>
      </c>
      <c r="G71" t="str">
        <f t="shared" si="19"/>
        <v>110001</v>
      </c>
      <c r="H71" t="str">
        <f>LOOKUP(E71,Lookups!$A$1:$A$16,Lookups!$B$1:$B$16)</f>
        <v>b</v>
      </c>
      <c r="I71">
        <f t="shared" si="24"/>
        <v>47</v>
      </c>
      <c r="J71">
        <f t="shared" si="25"/>
        <v>49</v>
      </c>
      <c r="K71">
        <f t="shared" si="20"/>
        <v>3057</v>
      </c>
      <c r="M71" t="b">
        <f t="shared" si="26"/>
        <v>0</v>
      </c>
      <c r="N71" t="b">
        <f t="shared" si="27"/>
        <v>1</v>
      </c>
      <c r="O71" t="b">
        <f t="shared" si="28"/>
        <v>0</v>
      </c>
      <c r="P71" t="b">
        <f t="shared" si="29"/>
        <v>0</v>
      </c>
      <c r="Q71" t="b">
        <f t="shared" si="30"/>
        <v>0</v>
      </c>
      <c r="R71" t="b">
        <f t="shared" si="31"/>
        <v>1</v>
      </c>
      <c r="S71" t="b">
        <f t="shared" si="32"/>
        <v>0</v>
      </c>
      <c r="T71" t="b">
        <f t="shared" si="33"/>
        <v>0</v>
      </c>
      <c r="U71" t="b">
        <f t="shared" si="34"/>
        <v>0</v>
      </c>
      <c r="V71" t="b">
        <f t="shared" si="35"/>
        <v>0</v>
      </c>
    </row>
    <row r="72" spans="1:22" x14ac:dyDescent="0.35">
      <c r="A72" s="2">
        <v>2950</v>
      </c>
      <c r="B72" s="2">
        <f t="shared" si="21"/>
        <v>46</v>
      </c>
      <c r="C72" s="2">
        <f t="shared" si="22"/>
        <v>6</v>
      </c>
      <c r="D72" s="1" t="s">
        <v>67</v>
      </c>
      <c r="E72" t="str">
        <f t="shared" si="23"/>
        <v>1010</v>
      </c>
      <c r="F72" t="str">
        <f t="shared" si="18"/>
        <v>101110</v>
      </c>
      <c r="G72" t="str">
        <f t="shared" si="19"/>
        <v>001010</v>
      </c>
      <c r="H72" t="str">
        <f>LOOKUP(E72,Lookups!$A$1:$A$16,Lookups!$B$1:$B$16)</f>
        <v>u</v>
      </c>
      <c r="I72">
        <f t="shared" si="24"/>
        <v>46</v>
      </c>
      <c r="J72">
        <f t="shared" si="25"/>
        <v>10</v>
      </c>
      <c r="K72">
        <f t="shared" si="20"/>
        <v>2954</v>
      </c>
      <c r="M72" t="b">
        <f t="shared" si="26"/>
        <v>0</v>
      </c>
      <c r="N72" t="b">
        <f t="shared" si="27"/>
        <v>1</v>
      </c>
      <c r="O72" t="b">
        <f t="shared" si="28"/>
        <v>0</v>
      </c>
      <c r="P72" t="b">
        <f t="shared" si="29"/>
        <v>0</v>
      </c>
      <c r="Q72" t="b">
        <f t="shared" si="30"/>
        <v>0</v>
      </c>
      <c r="R72" t="b">
        <f t="shared" si="31"/>
        <v>1</v>
      </c>
      <c r="S72" t="b">
        <f t="shared" si="32"/>
        <v>0</v>
      </c>
      <c r="T72" t="b">
        <f t="shared" si="33"/>
        <v>0</v>
      </c>
      <c r="U72" t="b">
        <f t="shared" si="34"/>
        <v>0</v>
      </c>
      <c r="V72" t="b">
        <f t="shared" si="35"/>
        <v>0</v>
      </c>
    </row>
    <row r="73" spans="1:22" x14ac:dyDescent="0.35">
      <c r="A73" s="2">
        <v>2951</v>
      </c>
      <c r="B73" s="2">
        <f t="shared" si="21"/>
        <v>46</v>
      </c>
      <c r="C73" s="2">
        <f t="shared" si="22"/>
        <v>7</v>
      </c>
      <c r="D73" s="1" t="s">
        <v>61</v>
      </c>
      <c r="E73" t="str">
        <f t="shared" si="23"/>
        <v>0001</v>
      </c>
      <c r="F73" t="str">
        <f t="shared" si="18"/>
        <v>101101</v>
      </c>
      <c r="G73" t="str">
        <f t="shared" si="19"/>
        <v>100101</v>
      </c>
      <c r="H73" t="str">
        <f>LOOKUP(E73,Lookups!$A$1:$A$16,Lookups!$B$1:$B$16)</f>
        <v>b</v>
      </c>
      <c r="I73">
        <f t="shared" si="24"/>
        <v>45</v>
      </c>
      <c r="J73">
        <f t="shared" si="25"/>
        <v>37</v>
      </c>
      <c r="K73">
        <f t="shared" si="20"/>
        <v>2917</v>
      </c>
      <c r="M73" t="b">
        <f t="shared" si="26"/>
        <v>0</v>
      </c>
      <c r="N73" t="b">
        <f t="shared" si="27"/>
        <v>1</v>
      </c>
      <c r="O73" t="b">
        <f t="shared" si="28"/>
        <v>0</v>
      </c>
      <c r="P73" t="b">
        <f t="shared" si="29"/>
        <v>0</v>
      </c>
      <c r="Q73" t="b">
        <f t="shared" si="30"/>
        <v>0</v>
      </c>
      <c r="R73" t="b">
        <f t="shared" si="31"/>
        <v>1</v>
      </c>
      <c r="S73" t="b">
        <f t="shared" si="32"/>
        <v>0</v>
      </c>
      <c r="T73" t="b">
        <f t="shared" si="33"/>
        <v>0</v>
      </c>
      <c r="U73" t="b">
        <f t="shared" si="34"/>
        <v>1</v>
      </c>
      <c r="V73" t="b">
        <f t="shared" si="35"/>
        <v>0</v>
      </c>
    </row>
    <row r="74" spans="1:22" x14ac:dyDescent="0.35">
      <c r="A74" s="2">
        <v>2952</v>
      </c>
      <c r="B74" s="2">
        <f t="shared" si="21"/>
        <v>46</v>
      </c>
      <c r="C74" s="2">
        <f t="shared" si="22"/>
        <v>8</v>
      </c>
      <c r="D74" s="1" t="s">
        <v>67</v>
      </c>
      <c r="E74" t="str">
        <f t="shared" si="23"/>
        <v>1010</v>
      </c>
      <c r="F74" t="str">
        <f t="shared" si="18"/>
        <v>101110</v>
      </c>
      <c r="G74" t="str">
        <f t="shared" si="19"/>
        <v>001010</v>
      </c>
      <c r="H74" t="str">
        <f>LOOKUP(E74,Lookups!$A$1:$A$16,Lookups!$B$1:$B$16)</f>
        <v>u</v>
      </c>
      <c r="I74">
        <f t="shared" si="24"/>
        <v>46</v>
      </c>
      <c r="J74">
        <f t="shared" si="25"/>
        <v>10</v>
      </c>
      <c r="K74">
        <f t="shared" si="20"/>
        <v>2954</v>
      </c>
      <c r="M74" t="b">
        <f t="shared" si="26"/>
        <v>0</v>
      </c>
      <c r="N74" t="b">
        <f t="shared" si="27"/>
        <v>1</v>
      </c>
      <c r="O74" t="b">
        <f t="shared" si="28"/>
        <v>0</v>
      </c>
      <c r="P74" t="b">
        <f t="shared" si="29"/>
        <v>0</v>
      </c>
      <c r="Q74" t="b">
        <f t="shared" si="30"/>
        <v>0</v>
      </c>
      <c r="R74" t="b">
        <f t="shared" si="31"/>
        <v>1</v>
      </c>
      <c r="S74" t="b">
        <f t="shared" si="32"/>
        <v>0</v>
      </c>
      <c r="T74" t="b">
        <f t="shared" si="33"/>
        <v>0</v>
      </c>
      <c r="U74" t="b">
        <f t="shared" si="34"/>
        <v>0</v>
      </c>
      <c r="V74" t="b">
        <f t="shared" si="35"/>
        <v>0</v>
      </c>
    </row>
    <row r="75" spans="1:22" x14ac:dyDescent="0.35">
      <c r="A75" s="2">
        <v>2953</v>
      </c>
      <c r="B75" s="2">
        <f t="shared" si="21"/>
        <v>46</v>
      </c>
      <c r="C75" s="2">
        <f t="shared" si="22"/>
        <v>9</v>
      </c>
      <c r="D75" s="1" t="s">
        <v>68</v>
      </c>
      <c r="E75" t="str">
        <f t="shared" si="23"/>
        <v>0001</v>
      </c>
      <c r="F75" t="str">
        <f t="shared" si="18"/>
        <v>101101</v>
      </c>
      <c r="G75" t="str">
        <f t="shared" si="19"/>
        <v>111100</v>
      </c>
      <c r="H75" t="str">
        <f>LOOKUP(E75,Lookups!$A$1:$A$16,Lookups!$B$1:$B$16)</f>
        <v>b</v>
      </c>
      <c r="I75">
        <f t="shared" si="24"/>
        <v>45</v>
      </c>
      <c r="J75">
        <f t="shared" si="25"/>
        <v>60</v>
      </c>
      <c r="K75">
        <f t="shared" si="20"/>
        <v>2940</v>
      </c>
      <c r="M75" t="b">
        <f t="shared" si="26"/>
        <v>0</v>
      </c>
      <c r="N75" t="b">
        <f t="shared" si="27"/>
        <v>1</v>
      </c>
      <c r="O75" t="b">
        <f t="shared" si="28"/>
        <v>0</v>
      </c>
      <c r="P75" t="b">
        <f t="shared" si="29"/>
        <v>0</v>
      </c>
      <c r="Q75" t="b">
        <f t="shared" si="30"/>
        <v>0</v>
      </c>
      <c r="R75" t="b">
        <f t="shared" si="31"/>
        <v>1</v>
      </c>
      <c r="S75" t="b">
        <f t="shared" si="32"/>
        <v>0</v>
      </c>
      <c r="T75" t="b">
        <f t="shared" si="33"/>
        <v>0</v>
      </c>
      <c r="U75" t="b">
        <f t="shared" si="34"/>
        <v>1</v>
      </c>
      <c r="V75" t="b">
        <f t="shared" si="35"/>
        <v>0</v>
      </c>
    </row>
    <row r="76" spans="1:22" x14ac:dyDescent="0.35">
      <c r="A76" s="2">
        <v>2954</v>
      </c>
      <c r="B76" s="2">
        <f t="shared" si="21"/>
        <v>46</v>
      </c>
      <c r="C76" s="2">
        <f t="shared" si="22"/>
        <v>10</v>
      </c>
      <c r="D76" s="1" t="s">
        <v>69</v>
      </c>
      <c r="E76" t="str">
        <f t="shared" si="23"/>
        <v>1010</v>
      </c>
      <c r="F76" t="str">
        <f t="shared" si="18"/>
        <v>101111</v>
      </c>
      <c r="G76" t="str">
        <f t="shared" si="19"/>
        <v>111000</v>
      </c>
      <c r="H76" t="str">
        <f>LOOKUP(E76,Lookups!$A$1:$A$16,Lookups!$B$1:$B$16)</f>
        <v>u</v>
      </c>
      <c r="I76">
        <f t="shared" si="24"/>
        <v>47</v>
      </c>
      <c r="J76">
        <f t="shared" si="25"/>
        <v>56</v>
      </c>
      <c r="K76">
        <f t="shared" si="20"/>
        <v>3064</v>
      </c>
      <c r="M76" t="b">
        <f t="shared" si="26"/>
        <v>0</v>
      </c>
      <c r="N76" t="b">
        <f t="shared" si="27"/>
        <v>1</v>
      </c>
      <c r="O76" t="b">
        <f t="shared" si="28"/>
        <v>0</v>
      </c>
      <c r="P76" t="b">
        <f t="shared" si="29"/>
        <v>0</v>
      </c>
      <c r="Q76" t="b">
        <f t="shared" si="30"/>
        <v>0</v>
      </c>
      <c r="R76" t="b">
        <f t="shared" si="31"/>
        <v>1</v>
      </c>
      <c r="S76" t="b">
        <f t="shared" si="32"/>
        <v>0</v>
      </c>
      <c r="T76" t="b">
        <f t="shared" si="33"/>
        <v>0</v>
      </c>
      <c r="U76" t="b">
        <f t="shared" si="34"/>
        <v>1</v>
      </c>
      <c r="V76" t="b">
        <f t="shared" si="35"/>
        <v>0</v>
      </c>
    </row>
    <row r="77" spans="1:22" x14ac:dyDescent="0.35">
      <c r="A77" s="2">
        <v>2955</v>
      </c>
      <c r="B77" s="2">
        <f t="shared" si="21"/>
        <v>46</v>
      </c>
      <c r="C77" s="2">
        <f t="shared" si="22"/>
        <v>11</v>
      </c>
      <c r="D77" s="1" t="s">
        <v>70</v>
      </c>
      <c r="E77" t="str">
        <f t="shared" si="23"/>
        <v>0001</v>
      </c>
      <c r="F77" t="str">
        <f t="shared" si="18"/>
        <v>101110</v>
      </c>
      <c r="G77" t="str">
        <f t="shared" si="19"/>
        <v>011110</v>
      </c>
      <c r="H77" t="str">
        <f>LOOKUP(E77,Lookups!$A$1:$A$16,Lookups!$B$1:$B$16)</f>
        <v>b</v>
      </c>
      <c r="I77">
        <f t="shared" si="24"/>
        <v>46</v>
      </c>
      <c r="J77">
        <f t="shared" si="25"/>
        <v>30</v>
      </c>
      <c r="K77">
        <f t="shared" si="20"/>
        <v>2974</v>
      </c>
      <c r="M77" t="b">
        <f t="shared" si="26"/>
        <v>0</v>
      </c>
      <c r="N77" t="b">
        <f t="shared" si="27"/>
        <v>1</v>
      </c>
      <c r="O77" t="b">
        <f t="shared" si="28"/>
        <v>0</v>
      </c>
      <c r="P77" t="b">
        <f t="shared" si="29"/>
        <v>0</v>
      </c>
      <c r="Q77" t="b">
        <f t="shared" si="30"/>
        <v>0</v>
      </c>
      <c r="R77" t="b">
        <f t="shared" si="31"/>
        <v>1</v>
      </c>
      <c r="S77" t="b">
        <f t="shared" si="32"/>
        <v>0</v>
      </c>
      <c r="T77" t="b">
        <f t="shared" si="33"/>
        <v>0</v>
      </c>
      <c r="U77" t="b">
        <f t="shared" si="34"/>
        <v>1</v>
      </c>
      <c r="V77" t="b">
        <f t="shared" si="35"/>
        <v>0</v>
      </c>
    </row>
    <row r="78" spans="1:22" x14ac:dyDescent="0.35">
      <c r="A78" s="2">
        <v>2956</v>
      </c>
      <c r="B78" s="2">
        <f t="shared" si="21"/>
        <v>46</v>
      </c>
      <c r="C78" s="2">
        <f t="shared" si="22"/>
        <v>12</v>
      </c>
      <c r="D78" s="1" t="s">
        <v>71</v>
      </c>
      <c r="E78" t="str">
        <f t="shared" si="23"/>
        <v>0010</v>
      </c>
      <c r="F78" t="str">
        <f t="shared" si="18"/>
        <v>101110</v>
      </c>
      <c r="G78" t="str">
        <f t="shared" si="19"/>
        <v>001110</v>
      </c>
      <c r="H78" t="str">
        <f>LOOKUP(E78,Lookups!$A$1:$A$16,Lookups!$B$1:$B$16)</f>
        <v>y</v>
      </c>
      <c r="I78">
        <f t="shared" si="24"/>
        <v>46</v>
      </c>
      <c r="J78">
        <f t="shared" si="25"/>
        <v>14</v>
      </c>
      <c r="K78">
        <f t="shared" si="20"/>
        <v>2958</v>
      </c>
      <c r="M78" t="b">
        <f t="shared" si="26"/>
        <v>0</v>
      </c>
      <c r="N78" t="b">
        <f t="shared" si="27"/>
        <v>1</v>
      </c>
      <c r="O78" t="b">
        <f t="shared" si="28"/>
        <v>0</v>
      </c>
      <c r="P78" t="b">
        <f t="shared" si="29"/>
        <v>0</v>
      </c>
      <c r="Q78" t="b">
        <f t="shared" si="30"/>
        <v>0</v>
      </c>
      <c r="R78" t="b">
        <f t="shared" si="31"/>
        <v>1</v>
      </c>
      <c r="S78" t="b">
        <f t="shared" si="32"/>
        <v>0</v>
      </c>
      <c r="T78" t="b">
        <f t="shared" si="33"/>
        <v>0</v>
      </c>
      <c r="U78" t="b">
        <f t="shared" si="34"/>
        <v>0</v>
      </c>
      <c r="V78" t="b">
        <f t="shared" si="35"/>
        <v>0</v>
      </c>
    </row>
    <row r="79" spans="1:22" x14ac:dyDescent="0.35">
      <c r="A79" s="2">
        <v>2957</v>
      </c>
      <c r="B79" s="2">
        <f t="shared" si="21"/>
        <v>46</v>
      </c>
      <c r="C79" s="2">
        <f t="shared" si="22"/>
        <v>13</v>
      </c>
      <c r="D79" s="1" t="s">
        <v>72</v>
      </c>
      <c r="E79" t="str">
        <f t="shared" si="23"/>
        <v>0010</v>
      </c>
      <c r="F79" t="str">
        <f t="shared" si="18"/>
        <v>101110</v>
      </c>
      <c r="G79" t="str">
        <f t="shared" si="19"/>
        <v>010000</v>
      </c>
      <c r="H79" t="str">
        <f>LOOKUP(E79,Lookups!$A$1:$A$16,Lookups!$B$1:$B$16)</f>
        <v>y</v>
      </c>
      <c r="I79">
        <f t="shared" si="24"/>
        <v>46</v>
      </c>
      <c r="J79">
        <f t="shared" si="25"/>
        <v>16</v>
      </c>
      <c r="K79">
        <f t="shared" si="20"/>
        <v>2960</v>
      </c>
      <c r="M79" t="b">
        <f t="shared" si="26"/>
        <v>0</v>
      </c>
      <c r="N79" t="b">
        <f t="shared" si="27"/>
        <v>1</v>
      </c>
      <c r="O79" t="b">
        <f t="shared" si="28"/>
        <v>0</v>
      </c>
      <c r="P79" t="b">
        <f t="shared" si="29"/>
        <v>0</v>
      </c>
      <c r="Q79" t="b">
        <f t="shared" si="30"/>
        <v>0</v>
      </c>
      <c r="R79" t="b">
        <f t="shared" si="31"/>
        <v>1</v>
      </c>
      <c r="S79" t="b">
        <f t="shared" si="32"/>
        <v>0</v>
      </c>
      <c r="T79" t="b">
        <f t="shared" si="33"/>
        <v>0</v>
      </c>
      <c r="U79" t="b">
        <f t="shared" si="34"/>
        <v>0</v>
      </c>
      <c r="V79" t="b">
        <f t="shared" si="35"/>
        <v>0</v>
      </c>
    </row>
    <row r="80" spans="1:22" x14ac:dyDescent="0.35">
      <c r="A80" s="2">
        <v>2958</v>
      </c>
      <c r="B80" s="2">
        <f t="shared" si="21"/>
        <v>46</v>
      </c>
      <c r="C80" s="2">
        <f t="shared" si="22"/>
        <v>14</v>
      </c>
      <c r="D80" s="1" t="s">
        <v>25</v>
      </c>
      <c r="E80" t="str">
        <f t="shared" si="23"/>
        <v>0001</v>
      </c>
      <c r="F80" t="str">
        <f t="shared" si="18"/>
        <v>101101</v>
      </c>
      <c r="G80" t="str">
        <f t="shared" si="19"/>
        <v>110100</v>
      </c>
      <c r="H80" t="str">
        <f>LOOKUP(E80,Lookups!$A$1:$A$16,Lookups!$B$1:$B$16)</f>
        <v>b</v>
      </c>
      <c r="I80">
        <f t="shared" si="24"/>
        <v>45</v>
      </c>
      <c r="J80">
        <f t="shared" si="25"/>
        <v>52</v>
      </c>
      <c r="K80">
        <f t="shared" si="20"/>
        <v>2932</v>
      </c>
      <c r="M80" t="b">
        <f t="shared" si="26"/>
        <v>0</v>
      </c>
      <c r="N80" t="b">
        <f t="shared" si="27"/>
        <v>1</v>
      </c>
      <c r="O80" t="b">
        <f t="shared" si="28"/>
        <v>0</v>
      </c>
      <c r="P80" t="b">
        <f t="shared" si="29"/>
        <v>0</v>
      </c>
      <c r="Q80" t="b">
        <f t="shared" si="30"/>
        <v>0</v>
      </c>
      <c r="R80" t="b">
        <f t="shared" si="31"/>
        <v>1</v>
      </c>
      <c r="S80" t="b">
        <f t="shared" si="32"/>
        <v>0</v>
      </c>
      <c r="T80" t="b">
        <f t="shared" si="33"/>
        <v>0</v>
      </c>
      <c r="U80" t="b">
        <f t="shared" si="34"/>
        <v>1</v>
      </c>
      <c r="V80" t="b">
        <f t="shared" si="35"/>
        <v>0</v>
      </c>
    </row>
    <row r="81" spans="1:22" x14ac:dyDescent="0.35">
      <c r="A81" s="2">
        <v>2959</v>
      </c>
      <c r="B81" s="2">
        <f t="shared" si="21"/>
        <v>46</v>
      </c>
      <c r="C81" s="2">
        <f t="shared" si="22"/>
        <v>15</v>
      </c>
      <c r="D81" s="1" t="s">
        <v>73</v>
      </c>
      <c r="E81" t="str">
        <f t="shared" si="23"/>
        <v>1001</v>
      </c>
      <c r="F81" t="str">
        <f t="shared" si="18"/>
        <v>101101</v>
      </c>
      <c r="G81" t="str">
        <f t="shared" si="19"/>
        <v>111101</v>
      </c>
      <c r="H81" t="str">
        <f>LOOKUP(E81,Lookups!$A$1:$A$16,Lookups!$B$1:$B$16)</f>
        <v>e</v>
      </c>
      <c r="I81">
        <f t="shared" si="24"/>
        <v>45</v>
      </c>
      <c r="J81">
        <f t="shared" si="25"/>
        <v>61</v>
      </c>
      <c r="K81">
        <f t="shared" si="20"/>
        <v>2941</v>
      </c>
      <c r="M81" t="b">
        <f t="shared" si="26"/>
        <v>0</v>
      </c>
      <c r="N81" t="b">
        <f t="shared" si="27"/>
        <v>1</v>
      </c>
      <c r="O81" t="b">
        <f t="shared" si="28"/>
        <v>0</v>
      </c>
      <c r="P81" t="b">
        <f t="shared" si="29"/>
        <v>0</v>
      </c>
      <c r="Q81" t="b">
        <f t="shared" si="30"/>
        <v>0</v>
      </c>
      <c r="R81" t="b">
        <f t="shared" si="31"/>
        <v>1</v>
      </c>
      <c r="S81" t="b">
        <f t="shared" si="32"/>
        <v>0</v>
      </c>
      <c r="T81" t="b">
        <f t="shared" si="33"/>
        <v>0</v>
      </c>
      <c r="U81" t="b">
        <f t="shared" si="34"/>
        <v>0</v>
      </c>
      <c r="V81" t="b">
        <f t="shared" si="35"/>
        <v>0</v>
      </c>
    </row>
    <row r="82" spans="1:22" x14ac:dyDescent="0.35">
      <c r="A82" s="2">
        <v>2960</v>
      </c>
      <c r="B82" s="2">
        <f t="shared" si="21"/>
        <v>46</v>
      </c>
      <c r="C82" s="2">
        <f t="shared" si="22"/>
        <v>16</v>
      </c>
      <c r="D82" s="1" t="s">
        <v>74</v>
      </c>
      <c r="E82" t="str">
        <f t="shared" si="23"/>
        <v>1101</v>
      </c>
      <c r="F82" t="str">
        <f t="shared" si="18"/>
        <v>101101</v>
      </c>
      <c r="G82" t="str">
        <f t="shared" si="19"/>
        <v>110100</v>
      </c>
      <c r="H82" t="str">
        <f>LOOKUP(E82,Lookups!$A$1:$A$16,Lookups!$B$1:$B$16)</f>
        <v>c</v>
      </c>
      <c r="I82">
        <f t="shared" si="24"/>
        <v>45</v>
      </c>
      <c r="J82">
        <f t="shared" si="25"/>
        <v>52</v>
      </c>
      <c r="K82">
        <f t="shared" si="20"/>
        <v>2932</v>
      </c>
      <c r="M82" t="b">
        <f t="shared" si="26"/>
        <v>0</v>
      </c>
      <c r="N82" t="b">
        <f t="shared" si="27"/>
        <v>1</v>
      </c>
      <c r="O82" t="b">
        <f t="shared" si="28"/>
        <v>0</v>
      </c>
      <c r="P82" t="b">
        <f t="shared" si="29"/>
        <v>0</v>
      </c>
      <c r="Q82" t="b">
        <f t="shared" si="30"/>
        <v>0</v>
      </c>
      <c r="R82" t="b">
        <f t="shared" si="31"/>
        <v>1</v>
      </c>
      <c r="S82" t="b">
        <f t="shared" si="32"/>
        <v>0</v>
      </c>
      <c r="T82" t="b">
        <f t="shared" si="33"/>
        <v>0</v>
      </c>
      <c r="U82" t="b">
        <f t="shared" si="34"/>
        <v>1</v>
      </c>
      <c r="V82" t="b">
        <f t="shared" si="35"/>
        <v>0</v>
      </c>
    </row>
    <row r="83" spans="1:22" x14ac:dyDescent="0.35">
      <c r="A83" s="2">
        <v>2961</v>
      </c>
      <c r="B83" s="2">
        <f t="shared" si="21"/>
        <v>46</v>
      </c>
      <c r="C83" s="2">
        <f t="shared" si="22"/>
        <v>17</v>
      </c>
      <c r="D83" s="1" t="s">
        <v>75</v>
      </c>
      <c r="E83" t="str">
        <f t="shared" si="23"/>
        <v>0001</v>
      </c>
      <c r="F83" t="str">
        <f t="shared" si="18"/>
        <v>101110</v>
      </c>
      <c r="G83" t="str">
        <f t="shared" si="19"/>
        <v>001110</v>
      </c>
      <c r="H83" t="str">
        <f>LOOKUP(E83,Lookups!$A$1:$A$16,Lookups!$B$1:$B$16)</f>
        <v>b</v>
      </c>
      <c r="I83">
        <f t="shared" si="24"/>
        <v>46</v>
      </c>
      <c r="J83">
        <f t="shared" si="25"/>
        <v>14</v>
      </c>
      <c r="K83">
        <f t="shared" si="20"/>
        <v>2958</v>
      </c>
      <c r="M83" t="b">
        <f t="shared" si="26"/>
        <v>0</v>
      </c>
      <c r="N83" t="b">
        <f t="shared" si="27"/>
        <v>1</v>
      </c>
      <c r="O83" t="b">
        <f t="shared" si="28"/>
        <v>0</v>
      </c>
      <c r="P83" t="b">
        <f t="shared" si="29"/>
        <v>0</v>
      </c>
      <c r="Q83" t="b">
        <f t="shared" si="30"/>
        <v>0</v>
      </c>
      <c r="R83" t="b">
        <f t="shared" si="31"/>
        <v>1</v>
      </c>
      <c r="S83" t="b">
        <f t="shared" si="32"/>
        <v>0</v>
      </c>
      <c r="T83" t="b">
        <f t="shared" si="33"/>
        <v>0</v>
      </c>
      <c r="U83" t="b">
        <f t="shared" si="34"/>
        <v>0</v>
      </c>
      <c r="V83" t="b">
        <f t="shared" si="35"/>
        <v>0</v>
      </c>
    </row>
    <row r="84" spans="1:22" x14ac:dyDescent="0.35">
      <c r="A84" s="2">
        <v>2962</v>
      </c>
      <c r="B84" s="2">
        <f t="shared" si="21"/>
        <v>46</v>
      </c>
      <c r="C84" s="2">
        <f t="shared" si="22"/>
        <v>18</v>
      </c>
      <c r="D84" s="1" t="s">
        <v>14</v>
      </c>
      <c r="E84" t="str">
        <f t="shared" si="23"/>
        <v>1110</v>
      </c>
      <c r="F84" t="str">
        <f t="shared" si="18"/>
        <v>101110</v>
      </c>
      <c r="G84" t="str">
        <f t="shared" si="19"/>
        <v>100011</v>
      </c>
      <c r="H84" t="str">
        <f>LOOKUP(E84,Lookups!$A$1:$A$16,Lookups!$B$1:$B$16)</f>
        <v>a</v>
      </c>
      <c r="I84">
        <f t="shared" si="24"/>
        <v>46</v>
      </c>
      <c r="J84">
        <f t="shared" si="25"/>
        <v>35</v>
      </c>
      <c r="K84">
        <f t="shared" si="20"/>
        <v>2979</v>
      </c>
      <c r="M84" t="b">
        <f t="shared" si="26"/>
        <v>0</v>
      </c>
      <c r="N84" t="b">
        <f t="shared" si="27"/>
        <v>1</v>
      </c>
      <c r="O84" t="b">
        <f t="shared" si="28"/>
        <v>0</v>
      </c>
      <c r="P84" t="b">
        <f t="shared" si="29"/>
        <v>0</v>
      </c>
      <c r="Q84" t="b">
        <f t="shared" si="30"/>
        <v>0</v>
      </c>
      <c r="R84" t="b">
        <f t="shared" si="31"/>
        <v>1</v>
      </c>
      <c r="S84" t="b">
        <f t="shared" si="32"/>
        <v>0</v>
      </c>
      <c r="T84" t="b">
        <f t="shared" si="33"/>
        <v>0</v>
      </c>
      <c r="U84" t="b">
        <f t="shared" si="34"/>
        <v>0</v>
      </c>
      <c r="V84" t="b">
        <f t="shared" si="35"/>
        <v>0</v>
      </c>
    </row>
    <row r="85" spans="1:22" x14ac:dyDescent="0.35">
      <c r="A85" s="2">
        <v>2963</v>
      </c>
      <c r="B85" s="2">
        <f t="shared" si="21"/>
        <v>46</v>
      </c>
      <c r="C85" s="2">
        <f t="shared" si="22"/>
        <v>19</v>
      </c>
      <c r="D85" s="1" t="s">
        <v>76</v>
      </c>
      <c r="E85" t="str">
        <f t="shared" si="23"/>
        <v>1100</v>
      </c>
      <c r="F85" t="str">
        <f t="shared" si="18"/>
        <v>101110</v>
      </c>
      <c r="G85" t="str">
        <f t="shared" si="19"/>
        <v>001110</v>
      </c>
      <c r="H85" t="str">
        <f>LOOKUP(E85,Lookups!$A$1:$A$16,Lookups!$B$1:$B$16)</f>
        <v>h</v>
      </c>
      <c r="I85">
        <f t="shared" si="24"/>
        <v>46</v>
      </c>
      <c r="J85">
        <f t="shared" si="25"/>
        <v>14</v>
      </c>
      <c r="K85">
        <f t="shared" si="20"/>
        <v>2958</v>
      </c>
      <c r="M85" t="b">
        <f t="shared" si="26"/>
        <v>0</v>
      </c>
      <c r="N85" t="b">
        <f t="shared" si="27"/>
        <v>1</v>
      </c>
      <c r="O85" t="b">
        <f t="shared" si="28"/>
        <v>0</v>
      </c>
      <c r="P85" t="b">
        <f t="shared" si="29"/>
        <v>0</v>
      </c>
      <c r="Q85" t="b">
        <f t="shared" si="30"/>
        <v>0</v>
      </c>
      <c r="R85" t="b">
        <f t="shared" si="31"/>
        <v>1</v>
      </c>
      <c r="S85" t="b">
        <f t="shared" si="32"/>
        <v>0</v>
      </c>
      <c r="T85" t="b">
        <f t="shared" si="33"/>
        <v>0</v>
      </c>
      <c r="U85" t="b">
        <f t="shared" si="34"/>
        <v>0</v>
      </c>
      <c r="V85" t="b">
        <f t="shared" si="35"/>
        <v>0</v>
      </c>
    </row>
    <row r="86" spans="1:22" x14ac:dyDescent="0.35">
      <c r="A86" s="2">
        <v>2964</v>
      </c>
      <c r="B86" s="2">
        <f t="shared" si="21"/>
        <v>46</v>
      </c>
      <c r="C86" s="2">
        <f t="shared" si="22"/>
        <v>20</v>
      </c>
      <c r="D86" s="1" t="s">
        <v>72</v>
      </c>
      <c r="E86" t="str">
        <f t="shared" si="23"/>
        <v>0010</v>
      </c>
      <c r="F86" t="str">
        <f t="shared" si="18"/>
        <v>101110</v>
      </c>
      <c r="G86" t="str">
        <f t="shared" si="19"/>
        <v>010000</v>
      </c>
      <c r="H86" t="str">
        <f>LOOKUP(E86,Lookups!$A$1:$A$16,Lookups!$B$1:$B$16)</f>
        <v>y</v>
      </c>
      <c r="I86">
        <f t="shared" si="24"/>
        <v>46</v>
      </c>
      <c r="J86">
        <f t="shared" si="25"/>
        <v>16</v>
      </c>
      <c r="K86">
        <f t="shared" si="20"/>
        <v>2960</v>
      </c>
      <c r="M86" t="b">
        <f t="shared" si="26"/>
        <v>0</v>
      </c>
      <c r="N86" t="b">
        <f t="shared" si="27"/>
        <v>1</v>
      </c>
      <c r="O86" t="b">
        <f t="shared" si="28"/>
        <v>0</v>
      </c>
      <c r="P86" t="b">
        <f t="shared" si="29"/>
        <v>0</v>
      </c>
      <c r="Q86" t="b">
        <f t="shared" si="30"/>
        <v>0</v>
      </c>
      <c r="R86" t="b">
        <f t="shared" si="31"/>
        <v>1</v>
      </c>
      <c r="S86" t="b">
        <f t="shared" si="32"/>
        <v>0</v>
      </c>
      <c r="T86" t="b">
        <f t="shared" si="33"/>
        <v>0</v>
      </c>
      <c r="U86" t="b">
        <f t="shared" si="34"/>
        <v>0</v>
      </c>
      <c r="V86" t="b">
        <f t="shared" si="35"/>
        <v>0</v>
      </c>
    </row>
    <row r="87" spans="1:22" x14ac:dyDescent="0.35">
      <c r="A87" s="2">
        <v>2965</v>
      </c>
      <c r="B87" s="2">
        <f t="shared" si="21"/>
        <v>46</v>
      </c>
      <c r="C87" s="2">
        <f t="shared" si="22"/>
        <v>21</v>
      </c>
      <c r="D87" s="1" t="s">
        <v>77</v>
      </c>
      <c r="E87" t="str">
        <f t="shared" si="23"/>
        <v>1111</v>
      </c>
      <c r="F87" t="str">
        <f t="shared" si="18"/>
        <v>101101</v>
      </c>
      <c r="G87" t="str">
        <f t="shared" si="19"/>
        <v>011001</v>
      </c>
      <c r="H87" t="str">
        <f>LOOKUP(E87,Lookups!$A$1:$A$16,Lookups!$B$1:$B$16)</f>
        <v>s</v>
      </c>
      <c r="I87">
        <f t="shared" si="24"/>
        <v>45</v>
      </c>
      <c r="J87">
        <f t="shared" si="25"/>
        <v>25</v>
      </c>
      <c r="K87">
        <f t="shared" si="20"/>
        <v>2905</v>
      </c>
      <c r="M87" t="b">
        <f t="shared" si="26"/>
        <v>0</v>
      </c>
      <c r="N87" t="b">
        <f t="shared" si="27"/>
        <v>1</v>
      </c>
      <c r="O87" t="b">
        <f t="shared" si="28"/>
        <v>0</v>
      </c>
      <c r="P87" t="b">
        <f t="shared" si="29"/>
        <v>0</v>
      </c>
      <c r="Q87" t="b">
        <f t="shared" si="30"/>
        <v>0</v>
      </c>
      <c r="R87" t="b">
        <f t="shared" si="31"/>
        <v>1</v>
      </c>
      <c r="S87" t="b">
        <f t="shared" si="32"/>
        <v>0</v>
      </c>
      <c r="T87" t="b">
        <f t="shared" si="33"/>
        <v>0</v>
      </c>
      <c r="U87" t="b">
        <f t="shared" si="34"/>
        <v>0</v>
      </c>
      <c r="V87" t="b">
        <f t="shared" si="35"/>
        <v>0</v>
      </c>
    </row>
    <row r="88" spans="1:22" x14ac:dyDescent="0.35">
      <c r="A88" s="2">
        <v>2966</v>
      </c>
      <c r="B88" s="2">
        <f t="shared" si="21"/>
        <v>46</v>
      </c>
      <c r="C88" s="2">
        <f t="shared" si="22"/>
        <v>22</v>
      </c>
      <c r="D88" s="1" t="s">
        <v>78</v>
      </c>
      <c r="E88" t="str">
        <f t="shared" si="23"/>
        <v>1011</v>
      </c>
      <c r="F88" t="str">
        <f t="shared" si="18"/>
        <v>101110</v>
      </c>
      <c r="G88" t="str">
        <f t="shared" si="19"/>
        <v>001110</v>
      </c>
      <c r="H88" t="str">
        <f>LOOKUP(E88,Lookups!$A$1:$A$16,Lookups!$B$1:$B$16)</f>
        <v>t</v>
      </c>
      <c r="I88">
        <f t="shared" si="24"/>
        <v>46</v>
      </c>
      <c r="J88">
        <f t="shared" si="25"/>
        <v>14</v>
      </c>
      <c r="K88">
        <f t="shared" si="20"/>
        <v>2958</v>
      </c>
      <c r="M88" t="b">
        <f t="shared" si="26"/>
        <v>0</v>
      </c>
      <c r="N88" t="b">
        <f t="shared" si="27"/>
        <v>1</v>
      </c>
      <c r="O88" t="b">
        <f t="shared" si="28"/>
        <v>0</v>
      </c>
      <c r="P88" t="b">
        <f t="shared" si="29"/>
        <v>0</v>
      </c>
      <c r="Q88" t="b">
        <f t="shared" si="30"/>
        <v>0</v>
      </c>
      <c r="R88" t="b">
        <f t="shared" si="31"/>
        <v>1</v>
      </c>
      <c r="S88" t="b">
        <f t="shared" si="32"/>
        <v>0</v>
      </c>
      <c r="T88" t="b">
        <f t="shared" si="33"/>
        <v>0</v>
      </c>
      <c r="U88" t="b">
        <f t="shared" si="34"/>
        <v>0</v>
      </c>
      <c r="V88" t="b">
        <f t="shared" si="35"/>
        <v>0</v>
      </c>
    </row>
    <row r="89" spans="1:22" x14ac:dyDescent="0.35">
      <c r="A89" s="2">
        <v>2967</v>
      </c>
      <c r="B89" s="2">
        <f t="shared" si="21"/>
        <v>46</v>
      </c>
      <c r="C89" s="2">
        <f t="shared" si="22"/>
        <v>23</v>
      </c>
      <c r="D89" s="1" t="s">
        <v>0</v>
      </c>
      <c r="E89" t="str">
        <f t="shared" si="23"/>
        <v>1101</v>
      </c>
      <c r="F89" t="str">
        <f t="shared" si="18"/>
        <v>101111</v>
      </c>
      <c r="G89" t="str">
        <f t="shared" si="19"/>
        <v>100011</v>
      </c>
      <c r="H89" t="str">
        <f>LOOKUP(E89,Lookups!$A$1:$A$16,Lookups!$B$1:$B$16)</f>
        <v>c</v>
      </c>
      <c r="I89">
        <f t="shared" si="24"/>
        <v>47</v>
      </c>
      <c r="J89">
        <f t="shared" si="25"/>
        <v>35</v>
      </c>
      <c r="K89">
        <f t="shared" si="20"/>
        <v>3043</v>
      </c>
      <c r="M89" t="b">
        <f t="shared" si="26"/>
        <v>0</v>
      </c>
      <c r="N89" t="b">
        <f t="shared" si="27"/>
        <v>1</v>
      </c>
      <c r="O89" t="b">
        <f t="shared" si="28"/>
        <v>0</v>
      </c>
      <c r="P89" t="b">
        <f t="shared" si="29"/>
        <v>0</v>
      </c>
      <c r="Q89" t="b">
        <f t="shared" si="30"/>
        <v>0</v>
      </c>
      <c r="R89" t="b">
        <f t="shared" si="31"/>
        <v>1</v>
      </c>
      <c r="S89" t="b">
        <f t="shared" si="32"/>
        <v>0</v>
      </c>
      <c r="T89" t="b">
        <f t="shared" si="33"/>
        <v>0</v>
      </c>
      <c r="U89" t="b">
        <f t="shared" si="34"/>
        <v>0</v>
      </c>
      <c r="V89" t="b">
        <f t="shared" si="35"/>
        <v>0</v>
      </c>
    </row>
    <row r="90" spans="1:22" x14ac:dyDescent="0.35">
      <c r="A90" s="2">
        <v>2968</v>
      </c>
      <c r="B90" s="2">
        <f t="shared" si="21"/>
        <v>46</v>
      </c>
      <c r="C90" s="2">
        <f t="shared" si="22"/>
        <v>24</v>
      </c>
      <c r="D90" s="1" t="s">
        <v>0</v>
      </c>
      <c r="E90" t="str">
        <f t="shared" si="23"/>
        <v>1101</v>
      </c>
      <c r="F90" t="str">
        <f t="shared" si="18"/>
        <v>101111</v>
      </c>
      <c r="G90" t="str">
        <f t="shared" si="19"/>
        <v>100011</v>
      </c>
      <c r="H90" t="str">
        <f>LOOKUP(E90,Lookups!$A$1:$A$16,Lookups!$B$1:$B$16)</f>
        <v>c</v>
      </c>
      <c r="I90">
        <f t="shared" si="24"/>
        <v>47</v>
      </c>
      <c r="J90">
        <f t="shared" si="25"/>
        <v>35</v>
      </c>
      <c r="K90">
        <f t="shared" si="20"/>
        <v>3043</v>
      </c>
      <c r="M90" t="b">
        <f t="shared" si="26"/>
        <v>0</v>
      </c>
      <c r="N90" t="b">
        <f t="shared" si="27"/>
        <v>1</v>
      </c>
      <c r="O90" t="b">
        <f t="shared" si="28"/>
        <v>0</v>
      </c>
      <c r="P90" t="b">
        <f t="shared" si="29"/>
        <v>0</v>
      </c>
      <c r="Q90" t="b">
        <f t="shared" si="30"/>
        <v>0</v>
      </c>
      <c r="R90" t="b">
        <f t="shared" si="31"/>
        <v>1</v>
      </c>
      <c r="S90" t="b">
        <f t="shared" si="32"/>
        <v>0</v>
      </c>
      <c r="T90" t="b">
        <f t="shared" si="33"/>
        <v>0</v>
      </c>
      <c r="U90" t="b">
        <f t="shared" si="34"/>
        <v>0</v>
      </c>
      <c r="V90" t="b">
        <f t="shared" si="35"/>
        <v>0</v>
      </c>
    </row>
    <row r="91" spans="1:22" x14ac:dyDescent="0.35">
      <c r="A91" s="2">
        <v>2969</v>
      </c>
      <c r="B91" s="2">
        <f t="shared" si="21"/>
        <v>46</v>
      </c>
      <c r="C91" s="2">
        <f t="shared" si="22"/>
        <v>25</v>
      </c>
      <c r="D91" s="1" t="s">
        <v>79</v>
      </c>
      <c r="E91" t="str">
        <f t="shared" si="23"/>
        <v>1010</v>
      </c>
      <c r="F91" t="str">
        <f t="shared" si="18"/>
        <v>101110</v>
      </c>
      <c r="G91" t="str">
        <f t="shared" si="19"/>
        <v>100010</v>
      </c>
      <c r="H91" t="str">
        <f>LOOKUP(E91,Lookups!$A$1:$A$16,Lookups!$B$1:$B$16)</f>
        <v>u</v>
      </c>
      <c r="I91">
        <f t="shared" si="24"/>
        <v>46</v>
      </c>
      <c r="J91">
        <f t="shared" si="25"/>
        <v>34</v>
      </c>
      <c r="K91">
        <f t="shared" si="20"/>
        <v>2978</v>
      </c>
      <c r="M91" t="b">
        <f t="shared" si="26"/>
        <v>0</v>
      </c>
      <c r="N91" t="b">
        <f t="shared" si="27"/>
        <v>1</v>
      </c>
      <c r="O91" t="b">
        <f t="shared" si="28"/>
        <v>0</v>
      </c>
      <c r="P91" t="b">
        <f t="shared" si="29"/>
        <v>0</v>
      </c>
      <c r="Q91" t="b">
        <f t="shared" si="30"/>
        <v>0</v>
      </c>
      <c r="R91" t="b">
        <f t="shared" si="31"/>
        <v>1</v>
      </c>
      <c r="S91" t="b">
        <f t="shared" si="32"/>
        <v>0</v>
      </c>
      <c r="T91" t="b">
        <f t="shared" si="33"/>
        <v>0</v>
      </c>
      <c r="U91" t="b">
        <f t="shared" si="34"/>
        <v>1</v>
      </c>
      <c r="V91" t="b">
        <f t="shared" si="35"/>
        <v>0</v>
      </c>
    </row>
    <row r="92" spans="1:22" x14ac:dyDescent="0.35">
      <c r="A92" s="2">
        <v>2970</v>
      </c>
      <c r="B92" s="2">
        <f t="shared" si="21"/>
        <v>46</v>
      </c>
      <c r="C92" s="2">
        <f t="shared" si="22"/>
        <v>26</v>
      </c>
      <c r="D92" s="1" t="s">
        <v>9</v>
      </c>
      <c r="E92" t="str">
        <f t="shared" si="23"/>
        <v>0011</v>
      </c>
      <c r="F92" t="str">
        <f t="shared" si="18"/>
        <v>110010</v>
      </c>
      <c r="G92" t="str">
        <f t="shared" si="19"/>
        <v>111100</v>
      </c>
      <c r="H92" t="str">
        <f>LOOKUP(E92,Lookups!$A$1:$A$16,Lookups!$B$1:$B$16)</f>
        <v>r</v>
      </c>
      <c r="I92">
        <f t="shared" si="24"/>
        <v>50</v>
      </c>
      <c r="J92">
        <f t="shared" si="25"/>
        <v>60</v>
      </c>
      <c r="K92">
        <f t="shared" si="20"/>
        <v>3260</v>
      </c>
      <c r="M92" t="b">
        <f t="shared" si="26"/>
        <v>0</v>
      </c>
      <c r="N92" t="b">
        <f t="shared" si="27"/>
        <v>1</v>
      </c>
      <c r="O92" t="b">
        <f t="shared" si="28"/>
        <v>0</v>
      </c>
      <c r="P92" t="b">
        <f t="shared" si="29"/>
        <v>0</v>
      </c>
      <c r="Q92" t="b">
        <f t="shared" si="30"/>
        <v>0</v>
      </c>
      <c r="R92" t="b">
        <f t="shared" si="31"/>
        <v>1</v>
      </c>
      <c r="S92" t="b">
        <f t="shared" si="32"/>
        <v>0</v>
      </c>
      <c r="T92" t="b">
        <f t="shared" si="33"/>
        <v>0</v>
      </c>
      <c r="U92" t="b">
        <f t="shared" si="34"/>
        <v>1</v>
      </c>
      <c r="V92" t="b">
        <f t="shared" si="35"/>
        <v>0</v>
      </c>
    </row>
    <row r="93" spans="1:22" x14ac:dyDescent="0.35">
      <c r="A93" s="2">
        <v>2971</v>
      </c>
      <c r="B93" s="2">
        <f t="shared" si="21"/>
        <v>46</v>
      </c>
      <c r="C93" s="2">
        <f t="shared" si="22"/>
        <v>27</v>
      </c>
      <c r="D93" s="1" t="s">
        <v>80</v>
      </c>
      <c r="E93" t="str">
        <f t="shared" si="23"/>
        <v>1010</v>
      </c>
      <c r="F93" t="str">
        <f t="shared" si="18"/>
        <v>110010</v>
      </c>
      <c r="G93" t="str">
        <f t="shared" si="19"/>
        <v>110011</v>
      </c>
      <c r="H93" t="str">
        <f>LOOKUP(E93,Lookups!$A$1:$A$16,Lookups!$B$1:$B$16)</f>
        <v>u</v>
      </c>
      <c r="I93">
        <f t="shared" si="24"/>
        <v>50</v>
      </c>
      <c r="J93">
        <f t="shared" si="25"/>
        <v>51</v>
      </c>
      <c r="K93">
        <f t="shared" si="20"/>
        <v>3251</v>
      </c>
      <c r="M93" t="b">
        <f t="shared" si="26"/>
        <v>0</v>
      </c>
      <c r="N93" t="b">
        <f t="shared" si="27"/>
        <v>1</v>
      </c>
      <c r="O93" t="b">
        <f t="shared" si="28"/>
        <v>0</v>
      </c>
      <c r="P93" t="b">
        <f t="shared" si="29"/>
        <v>0</v>
      </c>
      <c r="Q93" t="b">
        <f t="shared" si="30"/>
        <v>0</v>
      </c>
      <c r="R93" t="b">
        <f t="shared" si="31"/>
        <v>1</v>
      </c>
      <c r="S93" t="b">
        <f t="shared" si="32"/>
        <v>0</v>
      </c>
      <c r="T93" t="b">
        <f t="shared" si="33"/>
        <v>0</v>
      </c>
      <c r="U93" t="b">
        <f t="shared" si="34"/>
        <v>0</v>
      </c>
      <c r="V93" t="b">
        <f t="shared" si="35"/>
        <v>0</v>
      </c>
    </row>
    <row r="94" spans="1:22" x14ac:dyDescent="0.35">
      <c r="A94" s="2">
        <v>2972</v>
      </c>
      <c r="B94" s="2">
        <f t="shared" si="21"/>
        <v>46</v>
      </c>
      <c r="C94" s="2">
        <f t="shared" si="22"/>
        <v>28</v>
      </c>
      <c r="D94" s="1" t="s">
        <v>81</v>
      </c>
      <c r="E94" t="str">
        <f t="shared" si="23"/>
        <v>1001</v>
      </c>
      <c r="F94" t="str">
        <f t="shared" si="18"/>
        <v>110001</v>
      </c>
      <c r="G94" t="str">
        <f t="shared" si="19"/>
        <v>111000</v>
      </c>
      <c r="H94" t="str">
        <f>LOOKUP(E94,Lookups!$A$1:$A$16,Lookups!$B$1:$B$16)</f>
        <v>e</v>
      </c>
      <c r="I94">
        <f t="shared" si="24"/>
        <v>49</v>
      </c>
      <c r="J94">
        <f t="shared" si="25"/>
        <v>56</v>
      </c>
      <c r="K94">
        <f t="shared" si="20"/>
        <v>3192</v>
      </c>
      <c r="M94" t="b">
        <f t="shared" si="26"/>
        <v>0</v>
      </c>
      <c r="N94" t="b">
        <f t="shared" si="27"/>
        <v>1</v>
      </c>
      <c r="O94" t="b">
        <f t="shared" si="28"/>
        <v>0</v>
      </c>
      <c r="P94" t="b">
        <f t="shared" si="29"/>
        <v>0</v>
      </c>
      <c r="Q94" t="b">
        <f t="shared" si="30"/>
        <v>0</v>
      </c>
      <c r="R94" t="b">
        <f t="shared" si="31"/>
        <v>1</v>
      </c>
      <c r="S94" t="b">
        <f t="shared" si="32"/>
        <v>0</v>
      </c>
      <c r="T94" t="b">
        <f t="shared" si="33"/>
        <v>0</v>
      </c>
      <c r="U94" t="b">
        <f t="shared" si="34"/>
        <v>0</v>
      </c>
      <c r="V94" t="b">
        <f t="shared" si="35"/>
        <v>0</v>
      </c>
    </row>
    <row r="95" spans="1:22" x14ac:dyDescent="0.35">
      <c r="A95" s="2">
        <v>2973</v>
      </c>
      <c r="B95" s="2">
        <f t="shared" si="21"/>
        <v>46</v>
      </c>
      <c r="C95" s="2">
        <f t="shared" si="22"/>
        <v>29</v>
      </c>
      <c r="D95" s="1" t="s">
        <v>82</v>
      </c>
      <c r="E95" t="str">
        <f t="shared" si="23"/>
        <v>1010</v>
      </c>
      <c r="F95" t="str">
        <f t="shared" si="18"/>
        <v>101101</v>
      </c>
      <c r="G95" t="str">
        <f t="shared" si="19"/>
        <v>000011</v>
      </c>
      <c r="H95" t="str">
        <f>LOOKUP(E95,Lookups!$A$1:$A$16,Lookups!$B$1:$B$16)</f>
        <v>u</v>
      </c>
      <c r="I95">
        <f t="shared" si="24"/>
        <v>45</v>
      </c>
      <c r="J95">
        <f t="shared" si="25"/>
        <v>3</v>
      </c>
      <c r="K95">
        <f t="shared" si="20"/>
        <v>2883</v>
      </c>
      <c r="M95" t="b">
        <f t="shared" si="26"/>
        <v>0</v>
      </c>
      <c r="N95" t="b">
        <f t="shared" si="27"/>
        <v>1</v>
      </c>
      <c r="O95" t="b">
        <f t="shared" si="28"/>
        <v>0</v>
      </c>
      <c r="P95" t="b">
        <f t="shared" si="29"/>
        <v>0</v>
      </c>
      <c r="Q95" t="b">
        <f t="shared" si="30"/>
        <v>0</v>
      </c>
      <c r="R95" t="b">
        <f t="shared" si="31"/>
        <v>1</v>
      </c>
      <c r="S95" t="b">
        <f t="shared" si="32"/>
        <v>0</v>
      </c>
      <c r="T95" t="b">
        <f t="shared" si="33"/>
        <v>0</v>
      </c>
      <c r="U95" t="b">
        <f t="shared" si="34"/>
        <v>0</v>
      </c>
      <c r="V95" t="b">
        <f t="shared" si="35"/>
        <v>0</v>
      </c>
    </row>
    <row r="96" spans="1:22" x14ac:dyDescent="0.35">
      <c r="A96" s="2">
        <v>2974</v>
      </c>
      <c r="B96" s="2">
        <f t="shared" si="21"/>
        <v>46</v>
      </c>
      <c r="C96" s="2">
        <f t="shared" si="22"/>
        <v>30</v>
      </c>
      <c r="D96" s="1" t="s">
        <v>83</v>
      </c>
      <c r="E96" t="str">
        <f t="shared" si="23"/>
        <v>0000</v>
      </c>
      <c r="F96" t="str">
        <f t="shared" si="18"/>
        <v>101101</v>
      </c>
      <c r="G96" t="str">
        <f t="shared" si="19"/>
        <v>100111</v>
      </c>
      <c r="H96" t="str">
        <f>LOOKUP(E96,Lookups!$A$1:$A$16,Lookups!$B$1:$B$16)</f>
        <v>z</v>
      </c>
      <c r="I96">
        <f t="shared" si="24"/>
        <v>45</v>
      </c>
      <c r="J96">
        <f t="shared" si="25"/>
        <v>39</v>
      </c>
      <c r="K96">
        <f t="shared" si="20"/>
        <v>2919</v>
      </c>
      <c r="M96" t="b">
        <f t="shared" si="26"/>
        <v>1</v>
      </c>
      <c r="N96" t="b">
        <f t="shared" si="27"/>
        <v>1</v>
      </c>
      <c r="O96" t="b">
        <f t="shared" si="28"/>
        <v>1</v>
      </c>
      <c r="P96" t="b">
        <f t="shared" si="29"/>
        <v>0</v>
      </c>
      <c r="Q96" t="b">
        <f t="shared" si="30"/>
        <v>0</v>
      </c>
      <c r="R96" t="b">
        <f t="shared" si="31"/>
        <v>1</v>
      </c>
      <c r="S96" t="b">
        <f t="shared" si="32"/>
        <v>1</v>
      </c>
      <c r="T96" t="b">
        <f t="shared" si="33"/>
        <v>0</v>
      </c>
      <c r="U96" t="b">
        <f t="shared" si="34"/>
        <v>1</v>
      </c>
      <c r="V96" t="b">
        <f t="shared" si="35"/>
        <v>0</v>
      </c>
    </row>
    <row r="97" spans="1:22" x14ac:dyDescent="0.35">
      <c r="A97" s="2">
        <v>2975</v>
      </c>
      <c r="B97" s="2">
        <f t="shared" si="21"/>
        <v>46</v>
      </c>
      <c r="C97" s="2">
        <f t="shared" si="22"/>
        <v>31</v>
      </c>
      <c r="D97" s="1" t="s">
        <v>84</v>
      </c>
      <c r="E97" t="str">
        <f t="shared" si="23"/>
        <v>0001</v>
      </c>
      <c r="F97" t="str">
        <f t="shared" si="18"/>
        <v>110001</v>
      </c>
      <c r="G97" t="str">
        <f t="shared" si="19"/>
        <v>110101</v>
      </c>
      <c r="H97" t="str">
        <f>LOOKUP(E97,Lookups!$A$1:$A$16,Lookups!$B$1:$B$16)</f>
        <v>b</v>
      </c>
      <c r="I97">
        <f t="shared" si="24"/>
        <v>49</v>
      </c>
      <c r="J97">
        <f t="shared" si="25"/>
        <v>53</v>
      </c>
      <c r="K97">
        <f t="shared" si="20"/>
        <v>3189</v>
      </c>
      <c r="M97" t="b">
        <f t="shared" si="26"/>
        <v>0</v>
      </c>
      <c r="N97" t="b">
        <f t="shared" si="27"/>
        <v>1</v>
      </c>
      <c r="O97" t="b">
        <f t="shared" si="28"/>
        <v>0</v>
      </c>
      <c r="P97" t="b">
        <f t="shared" si="29"/>
        <v>0</v>
      </c>
      <c r="Q97" t="b">
        <f t="shared" si="30"/>
        <v>0</v>
      </c>
      <c r="R97" t="b">
        <f t="shared" si="31"/>
        <v>1</v>
      </c>
      <c r="S97" t="b">
        <f t="shared" si="32"/>
        <v>0</v>
      </c>
      <c r="T97" t="b">
        <f t="shared" si="33"/>
        <v>0</v>
      </c>
      <c r="U97" t="b">
        <f t="shared" si="34"/>
        <v>0</v>
      </c>
      <c r="V97" t="b">
        <f t="shared" si="35"/>
        <v>0</v>
      </c>
    </row>
    <row r="98" spans="1:22" x14ac:dyDescent="0.35">
      <c r="A98" s="2">
        <v>2976</v>
      </c>
      <c r="B98" s="2">
        <f t="shared" si="21"/>
        <v>46</v>
      </c>
      <c r="C98" s="2">
        <f t="shared" si="22"/>
        <v>32</v>
      </c>
      <c r="D98" s="1" t="s">
        <v>85</v>
      </c>
      <c r="E98" t="str">
        <f t="shared" si="23"/>
        <v>1111</v>
      </c>
      <c r="F98" t="str">
        <f t="shared" si="18"/>
        <v>101111</v>
      </c>
      <c r="G98" t="str">
        <f t="shared" si="19"/>
        <v>100011</v>
      </c>
      <c r="H98" t="str">
        <f>LOOKUP(E98,Lookups!$A$1:$A$16,Lookups!$B$1:$B$16)</f>
        <v>s</v>
      </c>
      <c r="I98">
        <f t="shared" si="24"/>
        <v>47</v>
      </c>
      <c r="J98">
        <f t="shared" si="25"/>
        <v>35</v>
      </c>
      <c r="K98">
        <f t="shared" si="20"/>
        <v>3043</v>
      </c>
      <c r="M98" t="b">
        <f t="shared" si="26"/>
        <v>0</v>
      </c>
      <c r="N98" t="b">
        <f t="shared" si="27"/>
        <v>1</v>
      </c>
      <c r="O98" t="b">
        <f t="shared" si="28"/>
        <v>0</v>
      </c>
      <c r="P98" t="b">
        <f t="shared" si="29"/>
        <v>0</v>
      </c>
      <c r="Q98" t="b">
        <f t="shared" si="30"/>
        <v>0</v>
      </c>
      <c r="R98" t="b">
        <f t="shared" si="31"/>
        <v>1</v>
      </c>
      <c r="S98" t="b">
        <f t="shared" si="32"/>
        <v>0</v>
      </c>
      <c r="T98" t="b">
        <f t="shared" si="33"/>
        <v>0</v>
      </c>
      <c r="U98" t="b">
        <f t="shared" si="34"/>
        <v>0</v>
      </c>
      <c r="V98" t="b">
        <f t="shared" si="35"/>
        <v>0</v>
      </c>
    </row>
    <row r="99" spans="1:22" x14ac:dyDescent="0.35">
      <c r="A99" s="2">
        <v>2977</v>
      </c>
      <c r="B99" s="2">
        <f t="shared" si="21"/>
        <v>46</v>
      </c>
      <c r="C99" s="2">
        <f t="shared" si="22"/>
        <v>33</v>
      </c>
      <c r="D99" s="1" t="s">
        <v>86</v>
      </c>
      <c r="E99" t="str">
        <f t="shared" si="23"/>
        <v>1011</v>
      </c>
      <c r="F99" t="str">
        <f t="shared" si="18"/>
        <v>101110</v>
      </c>
      <c r="G99" t="str">
        <f t="shared" si="19"/>
        <v>001011</v>
      </c>
      <c r="H99" t="str">
        <f>LOOKUP(E99,Lookups!$A$1:$A$16,Lookups!$B$1:$B$16)</f>
        <v>t</v>
      </c>
      <c r="I99">
        <f t="shared" si="24"/>
        <v>46</v>
      </c>
      <c r="J99">
        <f t="shared" si="25"/>
        <v>11</v>
      </c>
      <c r="K99">
        <f t="shared" si="20"/>
        <v>2955</v>
      </c>
      <c r="M99" t="b">
        <f t="shared" si="26"/>
        <v>0</v>
      </c>
      <c r="N99" t="b">
        <f t="shared" si="27"/>
        <v>1</v>
      </c>
      <c r="O99" t="b">
        <f t="shared" si="28"/>
        <v>0</v>
      </c>
      <c r="P99" t="b">
        <f t="shared" si="29"/>
        <v>0</v>
      </c>
      <c r="Q99" t="b">
        <f t="shared" si="30"/>
        <v>0</v>
      </c>
      <c r="R99" t="b">
        <f t="shared" si="31"/>
        <v>1</v>
      </c>
      <c r="S99" t="b">
        <f t="shared" si="32"/>
        <v>0</v>
      </c>
      <c r="T99" t="b">
        <f t="shared" si="33"/>
        <v>0</v>
      </c>
      <c r="U99" t="b">
        <f t="shared" si="34"/>
        <v>0</v>
      </c>
      <c r="V99" t="b">
        <f t="shared" si="35"/>
        <v>0</v>
      </c>
    </row>
    <row r="100" spans="1:22" x14ac:dyDescent="0.35">
      <c r="A100" s="2">
        <v>2978</v>
      </c>
      <c r="B100" s="2">
        <f t="shared" si="21"/>
        <v>46</v>
      </c>
      <c r="C100" s="2">
        <f t="shared" si="22"/>
        <v>34</v>
      </c>
      <c r="D100" s="1" t="s">
        <v>87</v>
      </c>
      <c r="E100" t="str">
        <f t="shared" si="23"/>
        <v>1000</v>
      </c>
      <c r="F100" t="str">
        <f t="shared" si="18"/>
        <v>010000</v>
      </c>
      <c r="G100" t="str">
        <f t="shared" si="19"/>
        <v>000000</v>
      </c>
      <c r="H100" t="str">
        <f>LOOKUP(E100,Lookups!$A$1:$A$16,Lookups!$B$1:$B$16)</f>
        <v>p</v>
      </c>
      <c r="I100">
        <f t="shared" si="24"/>
        <v>16</v>
      </c>
      <c r="J100">
        <f t="shared" si="25"/>
        <v>0</v>
      </c>
      <c r="K100">
        <f t="shared" si="20"/>
        <v>1024</v>
      </c>
      <c r="M100" t="b">
        <f t="shared" si="26"/>
        <v>0</v>
      </c>
      <c r="N100" t="b">
        <f t="shared" si="27"/>
        <v>1</v>
      </c>
      <c r="O100" t="b">
        <f t="shared" si="28"/>
        <v>0</v>
      </c>
      <c r="P100" t="b">
        <f t="shared" si="29"/>
        <v>0</v>
      </c>
      <c r="Q100" t="b">
        <f t="shared" si="30"/>
        <v>0</v>
      </c>
      <c r="R100" t="b">
        <f t="shared" si="31"/>
        <v>0</v>
      </c>
      <c r="S100" t="b">
        <f t="shared" si="32"/>
        <v>0</v>
      </c>
      <c r="T100" t="b">
        <f t="shared" si="33"/>
        <v>0</v>
      </c>
      <c r="U100" t="b">
        <f t="shared" si="34"/>
        <v>1</v>
      </c>
      <c r="V100" t="b">
        <f t="shared" si="35"/>
        <v>0</v>
      </c>
    </row>
    <row r="101" spans="1:22" x14ac:dyDescent="0.35">
      <c r="A101" s="2">
        <v>2979</v>
      </c>
      <c r="B101" s="2">
        <f t="shared" si="21"/>
        <v>46</v>
      </c>
      <c r="C101" s="2">
        <f t="shared" si="22"/>
        <v>35</v>
      </c>
      <c r="D101" s="1" t="s">
        <v>88</v>
      </c>
      <c r="E101" t="str">
        <f t="shared" si="23"/>
        <v>0000</v>
      </c>
      <c r="F101" t="str">
        <f t="shared" si="18"/>
        <v>000000</v>
      </c>
      <c r="G101" t="str">
        <f t="shared" si="19"/>
        <v>000001</v>
      </c>
      <c r="H101" t="str">
        <f>LOOKUP(E101,Lookups!$A$1:$A$16,Lookups!$B$1:$B$16)</f>
        <v>z</v>
      </c>
      <c r="I101">
        <f t="shared" si="24"/>
        <v>0</v>
      </c>
      <c r="J101">
        <f t="shared" si="25"/>
        <v>1</v>
      </c>
      <c r="K101">
        <f t="shared" si="20"/>
        <v>1</v>
      </c>
      <c r="M101" t="b">
        <f t="shared" si="26"/>
        <v>1</v>
      </c>
      <c r="N101" t="b">
        <f t="shared" si="27"/>
        <v>0</v>
      </c>
      <c r="O101" t="b">
        <f t="shared" si="28"/>
        <v>0</v>
      </c>
      <c r="P101" t="b">
        <f t="shared" si="29"/>
        <v>1</v>
      </c>
      <c r="Q101" t="b">
        <f t="shared" si="30"/>
        <v>1</v>
      </c>
      <c r="R101" t="b">
        <f t="shared" si="31"/>
        <v>1</v>
      </c>
      <c r="S101" t="b">
        <f t="shared" si="32"/>
        <v>1</v>
      </c>
      <c r="T101" t="b">
        <f t="shared" si="33"/>
        <v>0</v>
      </c>
      <c r="U101" t="b">
        <f t="shared" si="34"/>
        <v>1</v>
      </c>
      <c r="V101" t="b">
        <f t="shared" si="35"/>
        <v>0</v>
      </c>
    </row>
    <row r="102" spans="1:22" x14ac:dyDescent="0.35">
      <c r="A102" s="2">
        <v>2980</v>
      </c>
      <c r="B102" s="2">
        <f t="shared" si="21"/>
        <v>46</v>
      </c>
      <c r="C102" s="2">
        <f t="shared" si="22"/>
        <v>36</v>
      </c>
      <c r="D102" s="1" t="s">
        <v>89</v>
      </c>
      <c r="E102" t="str">
        <f t="shared" si="23"/>
        <v>1000</v>
      </c>
      <c r="F102" t="str">
        <f t="shared" si="18"/>
        <v>011000</v>
      </c>
      <c r="G102" t="str">
        <f t="shared" si="19"/>
        <v>000000</v>
      </c>
      <c r="H102" t="str">
        <f>LOOKUP(E102,Lookups!$A$1:$A$16,Lookups!$B$1:$B$16)</f>
        <v>p</v>
      </c>
      <c r="I102">
        <f t="shared" si="24"/>
        <v>24</v>
      </c>
      <c r="J102">
        <f t="shared" si="25"/>
        <v>0</v>
      </c>
      <c r="K102">
        <f t="shared" si="20"/>
        <v>1536</v>
      </c>
      <c r="M102" t="b">
        <f t="shared" si="26"/>
        <v>0</v>
      </c>
      <c r="N102" t="b">
        <f t="shared" si="27"/>
        <v>1</v>
      </c>
      <c r="O102" t="b">
        <f t="shared" si="28"/>
        <v>0</v>
      </c>
      <c r="P102" t="b">
        <f t="shared" si="29"/>
        <v>0</v>
      </c>
      <c r="Q102" t="b">
        <f t="shared" si="30"/>
        <v>0</v>
      </c>
      <c r="R102" t="b">
        <f t="shared" si="31"/>
        <v>0</v>
      </c>
      <c r="S102" t="b">
        <f t="shared" si="32"/>
        <v>0</v>
      </c>
      <c r="T102" t="b">
        <f t="shared" si="33"/>
        <v>0</v>
      </c>
      <c r="U102" t="b">
        <f t="shared" si="34"/>
        <v>0</v>
      </c>
      <c r="V102" t="b">
        <f t="shared" si="35"/>
        <v>0</v>
      </c>
    </row>
    <row r="103" spans="1:22" x14ac:dyDescent="0.35">
      <c r="A103" s="2">
        <v>2981</v>
      </c>
      <c r="B103" s="2">
        <f t="shared" si="21"/>
        <v>46</v>
      </c>
      <c r="C103" s="2">
        <f t="shared" si="22"/>
        <v>37</v>
      </c>
      <c r="D103" s="1" t="s">
        <v>90</v>
      </c>
      <c r="E103" t="str">
        <f t="shared" si="23"/>
        <v>0011</v>
      </c>
      <c r="F103" t="str">
        <f t="shared" si="18"/>
        <v>101110</v>
      </c>
      <c r="G103" t="str">
        <f t="shared" si="19"/>
        <v>001010</v>
      </c>
      <c r="H103" t="str">
        <f>LOOKUP(E103,Lookups!$A$1:$A$16,Lookups!$B$1:$B$16)</f>
        <v>r</v>
      </c>
      <c r="I103">
        <f t="shared" si="24"/>
        <v>46</v>
      </c>
      <c r="J103">
        <f t="shared" si="25"/>
        <v>10</v>
      </c>
      <c r="K103">
        <f t="shared" si="20"/>
        <v>2954</v>
      </c>
      <c r="M103" t="b">
        <f t="shared" si="26"/>
        <v>0</v>
      </c>
      <c r="N103" t="b">
        <f t="shared" si="27"/>
        <v>1</v>
      </c>
      <c r="O103" t="b">
        <f t="shared" si="28"/>
        <v>0</v>
      </c>
      <c r="P103" t="b">
        <f t="shared" si="29"/>
        <v>0</v>
      </c>
      <c r="Q103" t="b">
        <f t="shared" si="30"/>
        <v>0</v>
      </c>
      <c r="R103" t="b">
        <f t="shared" si="31"/>
        <v>1</v>
      </c>
      <c r="S103" t="b">
        <f t="shared" si="32"/>
        <v>0</v>
      </c>
      <c r="T103" t="b">
        <f t="shared" si="33"/>
        <v>0</v>
      </c>
      <c r="U103" t="b">
        <f t="shared" si="34"/>
        <v>0</v>
      </c>
      <c r="V103" t="b">
        <f t="shared" si="35"/>
        <v>0</v>
      </c>
    </row>
    <row r="104" spans="1:22" x14ac:dyDescent="0.35">
      <c r="A104" s="2">
        <v>2982</v>
      </c>
      <c r="B104" s="2">
        <f t="shared" si="21"/>
        <v>46</v>
      </c>
      <c r="C104" s="2">
        <f t="shared" si="22"/>
        <v>38</v>
      </c>
      <c r="D104" s="1" t="s">
        <v>24</v>
      </c>
      <c r="E104" t="str">
        <f t="shared" si="23"/>
        <v>1010</v>
      </c>
      <c r="F104" t="str">
        <f t="shared" si="18"/>
        <v>101110</v>
      </c>
      <c r="G104" t="str">
        <f t="shared" si="19"/>
        <v>011010</v>
      </c>
      <c r="H104" t="str">
        <f>LOOKUP(E104,Lookups!$A$1:$A$16,Lookups!$B$1:$B$16)</f>
        <v>u</v>
      </c>
      <c r="I104">
        <f t="shared" si="24"/>
        <v>46</v>
      </c>
      <c r="J104">
        <f t="shared" si="25"/>
        <v>26</v>
      </c>
      <c r="K104">
        <f t="shared" si="20"/>
        <v>2970</v>
      </c>
      <c r="M104" t="b">
        <f t="shared" si="26"/>
        <v>0</v>
      </c>
      <c r="N104" t="b">
        <f t="shared" si="27"/>
        <v>1</v>
      </c>
      <c r="O104" t="b">
        <f t="shared" si="28"/>
        <v>0</v>
      </c>
      <c r="P104" t="b">
        <f t="shared" si="29"/>
        <v>0</v>
      </c>
      <c r="Q104" t="b">
        <f t="shared" si="30"/>
        <v>0</v>
      </c>
      <c r="R104" t="b">
        <f t="shared" si="31"/>
        <v>1</v>
      </c>
      <c r="S104" t="b">
        <f t="shared" si="32"/>
        <v>0</v>
      </c>
      <c r="T104" t="b">
        <f t="shared" si="33"/>
        <v>0</v>
      </c>
      <c r="U104" t="b">
        <f t="shared" si="34"/>
        <v>0</v>
      </c>
      <c r="V104" t="b">
        <f t="shared" si="35"/>
        <v>0</v>
      </c>
    </row>
    <row r="105" spans="1:22" x14ac:dyDescent="0.35">
      <c r="A105" s="2">
        <v>2983</v>
      </c>
      <c r="B105" s="2">
        <f t="shared" si="21"/>
        <v>46</v>
      </c>
      <c r="C105" s="2">
        <f t="shared" si="22"/>
        <v>39</v>
      </c>
      <c r="D105" s="1" t="s">
        <v>91</v>
      </c>
      <c r="E105" t="str">
        <f t="shared" si="23"/>
        <v>1101</v>
      </c>
      <c r="F105" t="str">
        <f t="shared" si="18"/>
        <v>110011</v>
      </c>
      <c r="G105" t="str">
        <f t="shared" si="19"/>
        <v>101101</v>
      </c>
      <c r="H105" t="str">
        <f>LOOKUP(E105,Lookups!$A$1:$A$16,Lookups!$B$1:$B$16)</f>
        <v>c</v>
      </c>
      <c r="I105">
        <f t="shared" si="24"/>
        <v>51</v>
      </c>
      <c r="J105">
        <f t="shared" si="25"/>
        <v>45</v>
      </c>
      <c r="K105">
        <f t="shared" si="20"/>
        <v>3309</v>
      </c>
      <c r="M105" t="b">
        <f t="shared" si="26"/>
        <v>0</v>
      </c>
      <c r="N105" t="b">
        <f t="shared" si="27"/>
        <v>1</v>
      </c>
      <c r="O105" t="b">
        <f t="shared" si="28"/>
        <v>0</v>
      </c>
      <c r="P105" t="b">
        <f t="shared" si="29"/>
        <v>0</v>
      </c>
      <c r="Q105" t="b">
        <f t="shared" si="30"/>
        <v>0</v>
      </c>
      <c r="R105" t="b">
        <f t="shared" si="31"/>
        <v>1</v>
      </c>
      <c r="S105" t="b">
        <f t="shared" si="32"/>
        <v>0</v>
      </c>
      <c r="T105" t="b">
        <f t="shared" si="33"/>
        <v>0</v>
      </c>
      <c r="U105" t="b">
        <f t="shared" si="34"/>
        <v>0</v>
      </c>
      <c r="V105" t="b">
        <f t="shared" si="35"/>
        <v>0</v>
      </c>
    </row>
    <row r="106" spans="1:22" x14ac:dyDescent="0.35">
      <c r="A106" s="2">
        <v>2984</v>
      </c>
      <c r="B106" s="2">
        <f t="shared" si="21"/>
        <v>46</v>
      </c>
      <c r="C106" s="2">
        <f t="shared" si="22"/>
        <v>40</v>
      </c>
      <c r="D106" s="1" t="s">
        <v>92</v>
      </c>
      <c r="E106" t="str">
        <f t="shared" si="23"/>
        <v>1000</v>
      </c>
      <c r="F106" t="str">
        <f t="shared" si="18"/>
        <v>001100</v>
      </c>
      <c r="G106" t="str">
        <f t="shared" si="19"/>
        <v>000000</v>
      </c>
      <c r="H106" t="str">
        <f>LOOKUP(E106,Lookups!$A$1:$A$16,Lookups!$B$1:$B$16)</f>
        <v>p</v>
      </c>
      <c r="I106">
        <f t="shared" si="24"/>
        <v>12</v>
      </c>
      <c r="J106">
        <f t="shared" si="25"/>
        <v>0</v>
      </c>
      <c r="K106">
        <f t="shared" si="20"/>
        <v>768</v>
      </c>
      <c r="M106" t="b">
        <f t="shared" si="26"/>
        <v>0</v>
      </c>
      <c r="N106" t="b">
        <f t="shared" si="27"/>
        <v>1</v>
      </c>
      <c r="O106" t="b">
        <f t="shared" si="28"/>
        <v>0</v>
      </c>
      <c r="P106" t="b">
        <f t="shared" si="29"/>
        <v>0</v>
      </c>
      <c r="Q106" t="b">
        <f t="shared" si="30"/>
        <v>0</v>
      </c>
      <c r="R106" t="b">
        <f t="shared" si="31"/>
        <v>0</v>
      </c>
      <c r="S106" t="b">
        <f t="shared" si="32"/>
        <v>0</v>
      </c>
      <c r="T106" t="b">
        <f t="shared" si="33"/>
        <v>0</v>
      </c>
      <c r="U106" t="b">
        <f t="shared" si="34"/>
        <v>0</v>
      </c>
      <c r="V106" t="b">
        <f t="shared" si="35"/>
        <v>0</v>
      </c>
    </row>
    <row r="107" spans="1:22" x14ac:dyDescent="0.35">
      <c r="A107" s="2">
        <v>2985</v>
      </c>
      <c r="B107" s="2">
        <f t="shared" si="21"/>
        <v>46</v>
      </c>
      <c r="C107" s="2">
        <f t="shared" si="22"/>
        <v>41</v>
      </c>
      <c r="D107" s="1" t="s">
        <v>93</v>
      </c>
      <c r="E107" t="str">
        <f t="shared" si="23"/>
        <v>0000</v>
      </c>
      <c r="F107" t="str">
        <f t="shared" si="18"/>
        <v>000000</v>
      </c>
      <c r="G107" t="str">
        <f t="shared" si="19"/>
        <v>010110</v>
      </c>
      <c r="H107" t="str">
        <f>LOOKUP(E107,Lookups!$A$1:$A$16,Lookups!$B$1:$B$16)</f>
        <v>z</v>
      </c>
      <c r="I107">
        <f t="shared" si="24"/>
        <v>0</v>
      </c>
      <c r="J107">
        <f t="shared" si="25"/>
        <v>22</v>
      </c>
      <c r="K107">
        <f t="shared" si="20"/>
        <v>22</v>
      </c>
      <c r="M107" t="b">
        <f t="shared" si="26"/>
        <v>1</v>
      </c>
      <c r="N107" t="b">
        <f t="shared" si="27"/>
        <v>0</v>
      </c>
      <c r="O107" t="b">
        <f t="shared" si="28"/>
        <v>0</v>
      </c>
      <c r="P107" t="b">
        <f t="shared" si="29"/>
        <v>1</v>
      </c>
      <c r="Q107" t="b">
        <f t="shared" si="30"/>
        <v>1</v>
      </c>
      <c r="R107" t="b">
        <f t="shared" si="31"/>
        <v>1</v>
      </c>
      <c r="S107" t="b">
        <f t="shared" si="32"/>
        <v>1</v>
      </c>
      <c r="T107" t="b">
        <f t="shared" si="33"/>
        <v>0</v>
      </c>
      <c r="U107" t="b">
        <f t="shared" si="34"/>
        <v>1</v>
      </c>
      <c r="V107" t="b">
        <f t="shared" si="35"/>
        <v>0</v>
      </c>
    </row>
    <row r="108" spans="1:22" x14ac:dyDescent="0.35">
      <c r="A108" s="2">
        <v>2986</v>
      </c>
      <c r="B108" s="2">
        <f t="shared" si="21"/>
        <v>46</v>
      </c>
      <c r="C108" s="2">
        <f t="shared" si="22"/>
        <v>42</v>
      </c>
      <c r="D108" s="1" t="s">
        <v>89</v>
      </c>
      <c r="E108" t="str">
        <f t="shared" si="23"/>
        <v>1000</v>
      </c>
      <c r="F108" t="str">
        <f t="shared" si="18"/>
        <v>011000</v>
      </c>
      <c r="G108" t="str">
        <f t="shared" si="19"/>
        <v>000000</v>
      </c>
      <c r="H108" t="str">
        <f>LOOKUP(E108,Lookups!$A$1:$A$16,Lookups!$B$1:$B$16)</f>
        <v>p</v>
      </c>
      <c r="I108">
        <f t="shared" si="24"/>
        <v>24</v>
      </c>
      <c r="J108">
        <f t="shared" si="25"/>
        <v>0</v>
      </c>
      <c r="K108">
        <f t="shared" si="20"/>
        <v>1536</v>
      </c>
      <c r="M108" t="b">
        <f t="shared" si="26"/>
        <v>0</v>
      </c>
      <c r="N108" t="b">
        <f t="shared" si="27"/>
        <v>1</v>
      </c>
      <c r="O108" t="b">
        <f t="shared" si="28"/>
        <v>0</v>
      </c>
      <c r="P108" t="b">
        <f t="shared" si="29"/>
        <v>0</v>
      </c>
      <c r="Q108" t="b">
        <f t="shared" si="30"/>
        <v>0</v>
      </c>
      <c r="R108" t="b">
        <f t="shared" si="31"/>
        <v>0</v>
      </c>
      <c r="S108" t="b">
        <f t="shared" si="32"/>
        <v>0</v>
      </c>
      <c r="T108" t="b">
        <f t="shared" si="33"/>
        <v>0</v>
      </c>
      <c r="U108" t="b">
        <f t="shared" si="34"/>
        <v>0</v>
      </c>
      <c r="V108" t="b">
        <f t="shared" si="35"/>
        <v>0</v>
      </c>
    </row>
    <row r="109" spans="1:22" x14ac:dyDescent="0.35">
      <c r="A109" s="2">
        <v>2987</v>
      </c>
      <c r="B109" s="2">
        <f t="shared" si="21"/>
        <v>46</v>
      </c>
      <c r="C109" s="2">
        <f t="shared" si="22"/>
        <v>43</v>
      </c>
      <c r="D109" s="1" t="s">
        <v>90</v>
      </c>
      <c r="E109" t="str">
        <f t="shared" si="23"/>
        <v>0011</v>
      </c>
      <c r="F109" t="str">
        <f t="shared" si="18"/>
        <v>101110</v>
      </c>
      <c r="G109" t="str">
        <f t="shared" si="19"/>
        <v>001010</v>
      </c>
      <c r="H109" t="str">
        <f>LOOKUP(E109,Lookups!$A$1:$A$16,Lookups!$B$1:$B$16)</f>
        <v>r</v>
      </c>
      <c r="I109">
        <f t="shared" si="24"/>
        <v>46</v>
      </c>
      <c r="J109">
        <f t="shared" si="25"/>
        <v>10</v>
      </c>
      <c r="K109">
        <f t="shared" si="20"/>
        <v>2954</v>
      </c>
      <c r="M109" t="b">
        <f t="shared" si="26"/>
        <v>0</v>
      </c>
      <c r="N109" t="b">
        <f t="shared" si="27"/>
        <v>1</v>
      </c>
      <c r="O109" t="b">
        <f t="shared" si="28"/>
        <v>0</v>
      </c>
      <c r="P109" t="b">
        <f t="shared" si="29"/>
        <v>0</v>
      </c>
      <c r="Q109" t="b">
        <f t="shared" si="30"/>
        <v>0</v>
      </c>
      <c r="R109" t="b">
        <f t="shared" si="31"/>
        <v>1</v>
      </c>
      <c r="S109" t="b">
        <f t="shared" si="32"/>
        <v>0</v>
      </c>
      <c r="T109" t="b">
        <f t="shared" si="33"/>
        <v>0</v>
      </c>
      <c r="U109" t="b">
        <f t="shared" si="34"/>
        <v>0</v>
      </c>
      <c r="V109" t="b">
        <f t="shared" si="35"/>
        <v>0</v>
      </c>
    </row>
    <row r="110" spans="1:22" x14ac:dyDescent="0.35">
      <c r="A110" s="2">
        <v>2988</v>
      </c>
      <c r="B110" s="2">
        <f t="shared" si="21"/>
        <v>46</v>
      </c>
      <c r="C110" s="2">
        <f t="shared" si="22"/>
        <v>44</v>
      </c>
      <c r="D110" s="1" t="s">
        <v>24</v>
      </c>
      <c r="E110" t="str">
        <f t="shared" si="23"/>
        <v>1010</v>
      </c>
      <c r="F110" t="str">
        <f t="shared" si="18"/>
        <v>101110</v>
      </c>
      <c r="G110" t="str">
        <f t="shared" si="19"/>
        <v>011010</v>
      </c>
      <c r="H110" t="str">
        <f>LOOKUP(E110,Lookups!$A$1:$A$16,Lookups!$B$1:$B$16)</f>
        <v>u</v>
      </c>
      <c r="I110">
        <f t="shared" si="24"/>
        <v>46</v>
      </c>
      <c r="J110">
        <f t="shared" si="25"/>
        <v>26</v>
      </c>
      <c r="K110">
        <f t="shared" si="20"/>
        <v>2970</v>
      </c>
      <c r="M110" t="b">
        <f t="shared" si="26"/>
        <v>0</v>
      </c>
      <c r="N110" t="b">
        <f t="shared" si="27"/>
        <v>1</v>
      </c>
      <c r="O110" t="b">
        <f t="shared" si="28"/>
        <v>0</v>
      </c>
      <c r="P110" t="b">
        <f t="shared" si="29"/>
        <v>0</v>
      </c>
      <c r="Q110" t="b">
        <f t="shared" si="30"/>
        <v>0</v>
      </c>
      <c r="R110" t="b">
        <f t="shared" si="31"/>
        <v>1</v>
      </c>
      <c r="S110" t="b">
        <f t="shared" si="32"/>
        <v>0</v>
      </c>
      <c r="T110" t="b">
        <f t="shared" si="33"/>
        <v>0</v>
      </c>
      <c r="U110" t="b">
        <f t="shared" si="34"/>
        <v>0</v>
      </c>
      <c r="V110" t="b">
        <f t="shared" si="35"/>
        <v>0</v>
      </c>
    </row>
    <row r="111" spans="1:22" x14ac:dyDescent="0.35">
      <c r="A111" s="2">
        <v>2989</v>
      </c>
      <c r="B111" s="2">
        <f t="shared" si="21"/>
        <v>46</v>
      </c>
      <c r="C111" s="2">
        <f t="shared" si="22"/>
        <v>45</v>
      </c>
      <c r="D111" s="1" t="s">
        <v>94</v>
      </c>
      <c r="E111" t="str">
        <f t="shared" si="23"/>
        <v>1101</v>
      </c>
      <c r="F111" t="str">
        <f t="shared" si="18"/>
        <v>110010</v>
      </c>
      <c r="G111" t="str">
        <f t="shared" si="19"/>
        <v>011101</v>
      </c>
      <c r="H111" t="str">
        <f>LOOKUP(E111,Lookups!$A$1:$A$16,Lookups!$B$1:$B$16)</f>
        <v>c</v>
      </c>
      <c r="I111">
        <f t="shared" si="24"/>
        <v>50</v>
      </c>
      <c r="J111">
        <f t="shared" si="25"/>
        <v>29</v>
      </c>
      <c r="K111">
        <f t="shared" si="20"/>
        <v>3229</v>
      </c>
      <c r="M111" t="b">
        <f t="shared" si="26"/>
        <v>0</v>
      </c>
      <c r="N111" t="b">
        <f t="shared" si="27"/>
        <v>1</v>
      </c>
      <c r="O111" t="b">
        <f t="shared" si="28"/>
        <v>0</v>
      </c>
      <c r="P111" t="b">
        <f t="shared" si="29"/>
        <v>0</v>
      </c>
      <c r="Q111" t="b">
        <f t="shared" si="30"/>
        <v>0</v>
      </c>
      <c r="R111" t="b">
        <f t="shared" si="31"/>
        <v>1</v>
      </c>
      <c r="S111" t="b">
        <f t="shared" si="32"/>
        <v>0</v>
      </c>
      <c r="T111" t="b">
        <f t="shared" si="33"/>
        <v>0</v>
      </c>
      <c r="U111" t="b">
        <f t="shared" si="34"/>
        <v>0</v>
      </c>
      <c r="V111" t="b">
        <f t="shared" si="35"/>
        <v>0</v>
      </c>
    </row>
    <row r="112" spans="1:22" x14ac:dyDescent="0.35">
      <c r="A112" s="2">
        <v>2990</v>
      </c>
      <c r="B112" s="2">
        <f t="shared" si="21"/>
        <v>46</v>
      </c>
      <c r="C112" s="2">
        <f t="shared" si="22"/>
        <v>46</v>
      </c>
      <c r="D112" s="1" t="s">
        <v>31</v>
      </c>
      <c r="E112" t="str">
        <f t="shared" si="23"/>
        <v>0011</v>
      </c>
      <c r="F112" t="str">
        <f t="shared" si="18"/>
        <v>110011</v>
      </c>
      <c r="G112" t="str">
        <f t="shared" si="19"/>
        <v>000000</v>
      </c>
      <c r="H112" t="str">
        <f>LOOKUP(E112,Lookups!$A$1:$A$16,Lookups!$B$1:$B$16)</f>
        <v>r</v>
      </c>
      <c r="I112">
        <f t="shared" si="24"/>
        <v>51</v>
      </c>
      <c r="J112">
        <f t="shared" si="25"/>
        <v>0</v>
      </c>
      <c r="K112">
        <f t="shared" si="20"/>
        <v>3264</v>
      </c>
      <c r="M112" t="b">
        <f t="shared" si="26"/>
        <v>0</v>
      </c>
      <c r="N112" t="b">
        <f t="shared" si="27"/>
        <v>1</v>
      </c>
      <c r="O112" t="b">
        <f t="shared" si="28"/>
        <v>0</v>
      </c>
      <c r="P112" t="b">
        <f t="shared" si="29"/>
        <v>0</v>
      </c>
      <c r="Q112" t="b">
        <f t="shared" si="30"/>
        <v>0</v>
      </c>
      <c r="R112" t="b">
        <f t="shared" si="31"/>
        <v>0</v>
      </c>
      <c r="S112" t="b">
        <f t="shared" si="32"/>
        <v>0</v>
      </c>
      <c r="T112" t="b">
        <f t="shared" si="33"/>
        <v>0</v>
      </c>
      <c r="U112" t="b">
        <f t="shared" si="34"/>
        <v>0</v>
      </c>
      <c r="V112" t="b">
        <f t="shared" si="35"/>
        <v>0</v>
      </c>
    </row>
    <row r="113" spans="1:22" x14ac:dyDescent="0.35">
      <c r="A113" s="2">
        <v>2991</v>
      </c>
      <c r="B113" s="2">
        <f t="shared" si="21"/>
        <v>46</v>
      </c>
      <c r="C113" s="2">
        <f t="shared" si="22"/>
        <v>47</v>
      </c>
      <c r="D113" s="1" t="s">
        <v>32</v>
      </c>
      <c r="E113" t="str">
        <f t="shared" si="23"/>
        <v>1010</v>
      </c>
      <c r="F113" t="str">
        <f t="shared" si="18"/>
        <v>110011</v>
      </c>
      <c r="G113" t="str">
        <f t="shared" si="19"/>
        <v>000000</v>
      </c>
      <c r="H113" t="str">
        <f>LOOKUP(E113,Lookups!$A$1:$A$16,Lookups!$B$1:$B$16)</f>
        <v>u</v>
      </c>
      <c r="I113">
        <f t="shared" si="24"/>
        <v>51</v>
      </c>
      <c r="J113">
        <f t="shared" si="25"/>
        <v>0</v>
      </c>
      <c r="K113">
        <f t="shared" si="20"/>
        <v>3264</v>
      </c>
      <c r="M113" t="b">
        <f t="shared" si="26"/>
        <v>0</v>
      </c>
      <c r="N113" t="b">
        <f t="shared" si="27"/>
        <v>1</v>
      </c>
      <c r="O113" t="b">
        <f t="shared" si="28"/>
        <v>0</v>
      </c>
      <c r="P113" t="b">
        <f t="shared" si="29"/>
        <v>0</v>
      </c>
      <c r="Q113" t="b">
        <f t="shared" si="30"/>
        <v>0</v>
      </c>
      <c r="R113" t="b">
        <f t="shared" si="31"/>
        <v>0</v>
      </c>
      <c r="S113" t="b">
        <f t="shared" si="32"/>
        <v>0</v>
      </c>
      <c r="T113" t="b">
        <f t="shared" si="33"/>
        <v>0</v>
      </c>
      <c r="U113" t="b">
        <f t="shared" si="34"/>
        <v>0</v>
      </c>
      <c r="V113" t="b">
        <f t="shared" si="35"/>
        <v>0</v>
      </c>
    </row>
    <row r="114" spans="1:22" x14ac:dyDescent="0.35">
      <c r="A114" s="2">
        <v>2992</v>
      </c>
      <c r="B114" s="2">
        <f t="shared" si="21"/>
        <v>46</v>
      </c>
      <c r="C114" s="2">
        <f t="shared" si="22"/>
        <v>48</v>
      </c>
      <c r="D114" s="1" t="s">
        <v>95</v>
      </c>
      <c r="E114" t="str">
        <f t="shared" si="23"/>
        <v>1000</v>
      </c>
      <c r="F114" t="str">
        <f t="shared" si="18"/>
        <v>111110</v>
      </c>
      <c r="G114" t="str">
        <f t="shared" si="19"/>
        <v>011111</v>
      </c>
      <c r="H114" t="str">
        <f>LOOKUP(E114,Lookups!$A$1:$A$16,Lookups!$B$1:$B$16)</f>
        <v>p</v>
      </c>
      <c r="I114">
        <f t="shared" si="24"/>
        <v>62</v>
      </c>
      <c r="J114">
        <f t="shared" si="25"/>
        <v>31</v>
      </c>
      <c r="K114">
        <f t="shared" si="20"/>
        <v>3999</v>
      </c>
      <c r="M114" t="b">
        <f t="shared" si="26"/>
        <v>0</v>
      </c>
      <c r="N114" t="b">
        <f t="shared" si="27"/>
        <v>1</v>
      </c>
      <c r="O114" t="b">
        <f t="shared" si="28"/>
        <v>0</v>
      </c>
      <c r="P114" t="b">
        <f t="shared" si="29"/>
        <v>0</v>
      </c>
      <c r="Q114" t="b">
        <f t="shared" si="30"/>
        <v>0</v>
      </c>
      <c r="R114" t="b">
        <f t="shared" si="31"/>
        <v>1</v>
      </c>
      <c r="S114" t="b">
        <f t="shared" si="32"/>
        <v>0</v>
      </c>
      <c r="T114" t="b">
        <f t="shared" si="33"/>
        <v>0</v>
      </c>
      <c r="U114" t="b">
        <f t="shared" si="34"/>
        <v>0</v>
      </c>
      <c r="V114" t="b">
        <f t="shared" si="35"/>
        <v>0</v>
      </c>
    </row>
    <row r="115" spans="1:22" x14ac:dyDescent="0.35">
      <c r="A115" s="2">
        <v>2993</v>
      </c>
      <c r="B115" s="2">
        <f t="shared" si="21"/>
        <v>46</v>
      </c>
      <c r="C115" s="2">
        <f t="shared" si="22"/>
        <v>49</v>
      </c>
      <c r="D115" s="1" t="s">
        <v>89</v>
      </c>
      <c r="E115" t="str">
        <f t="shared" si="23"/>
        <v>1000</v>
      </c>
      <c r="F115" t="str">
        <f t="shared" si="18"/>
        <v>011000</v>
      </c>
      <c r="G115" t="str">
        <f t="shared" si="19"/>
        <v>000000</v>
      </c>
      <c r="H115" t="str">
        <f>LOOKUP(E115,Lookups!$A$1:$A$16,Lookups!$B$1:$B$16)</f>
        <v>p</v>
      </c>
      <c r="I115">
        <f t="shared" si="24"/>
        <v>24</v>
      </c>
      <c r="J115">
        <f t="shared" si="25"/>
        <v>0</v>
      </c>
      <c r="K115">
        <f t="shared" si="20"/>
        <v>1536</v>
      </c>
      <c r="M115" t="b">
        <f t="shared" si="26"/>
        <v>0</v>
      </c>
      <c r="N115" t="b">
        <f t="shared" si="27"/>
        <v>1</v>
      </c>
      <c r="O115" t="b">
        <f t="shared" si="28"/>
        <v>0</v>
      </c>
      <c r="P115" t="b">
        <f t="shared" si="29"/>
        <v>0</v>
      </c>
      <c r="Q115" t="b">
        <f t="shared" si="30"/>
        <v>0</v>
      </c>
      <c r="R115" t="b">
        <f t="shared" si="31"/>
        <v>0</v>
      </c>
      <c r="S115" t="b">
        <f t="shared" si="32"/>
        <v>0</v>
      </c>
      <c r="T115" t="b">
        <f t="shared" si="33"/>
        <v>0</v>
      </c>
      <c r="U115" t="b">
        <f t="shared" si="34"/>
        <v>1</v>
      </c>
      <c r="V115" t="b">
        <f t="shared" si="35"/>
        <v>0</v>
      </c>
    </row>
    <row r="116" spans="1:22" x14ac:dyDescent="0.35">
      <c r="A116" s="2">
        <v>2994</v>
      </c>
      <c r="B116" s="2">
        <f t="shared" si="21"/>
        <v>46</v>
      </c>
      <c r="C116" s="2">
        <f t="shared" si="22"/>
        <v>50</v>
      </c>
      <c r="D116" s="1" t="s">
        <v>96</v>
      </c>
      <c r="E116" t="str">
        <f t="shared" si="23"/>
        <v>0001</v>
      </c>
      <c r="F116" t="str">
        <f t="shared" si="18"/>
        <v>110010</v>
      </c>
      <c r="G116" t="str">
        <f t="shared" si="19"/>
        <v>011111</v>
      </c>
      <c r="H116" t="str">
        <f>LOOKUP(E116,Lookups!$A$1:$A$16,Lookups!$B$1:$B$16)</f>
        <v>b</v>
      </c>
      <c r="I116">
        <f t="shared" si="24"/>
        <v>50</v>
      </c>
      <c r="J116">
        <f t="shared" si="25"/>
        <v>31</v>
      </c>
      <c r="K116">
        <f t="shared" si="20"/>
        <v>3231</v>
      </c>
      <c r="M116" t="b">
        <f t="shared" si="26"/>
        <v>0</v>
      </c>
      <c r="N116" t="b">
        <f t="shared" si="27"/>
        <v>1</v>
      </c>
      <c r="O116" t="b">
        <f t="shared" si="28"/>
        <v>0</v>
      </c>
      <c r="P116" t="b">
        <f t="shared" si="29"/>
        <v>0</v>
      </c>
      <c r="Q116" t="b">
        <f t="shared" si="30"/>
        <v>0</v>
      </c>
      <c r="R116" t="b">
        <f t="shared" si="31"/>
        <v>1</v>
      </c>
      <c r="S116" t="b">
        <f t="shared" si="32"/>
        <v>0</v>
      </c>
      <c r="T116" t="b">
        <f t="shared" si="33"/>
        <v>0</v>
      </c>
      <c r="U116" t="b">
        <f t="shared" si="34"/>
        <v>0</v>
      </c>
      <c r="V116" t="b">
        <f t="shared" si="35"/>
        <v>0</v>
      </c>
    </row>
    <row r="117" spans="1:22" x14ac:dyDescent="0.35">
      <c r="A117" s="2">
        <v>2995</v>
      </c>
      <c r="B117" s="2">
        <f t="shared" si="21"/>
        <v>46</v>
      </c>
      <c r="C117" s="2">
        <f t="shared" si="22"/>
        <v>51</v>
      </c>
      <c r="D117" s="1" t="s">
        <v>14</v>
      </c>
      <c r="E117" t="str">
        <f t="shared" si="23"/>
        <v>1110</v>
      </c>
      <c r="F117" t="str">
        <f t="shared" si="18"/>
        <v>101110</v>
      </c>
      <c r="G117" t="str">
        <f t="shared" si="19"/>
        <v>100011</v>
      </c>
      <c r="H117" t="str">
        <f>LOOKUP(E117,Lookups!$A$1:$A$16,Lookups!$B$1:$B$16)</f>
        <v>a</v>
      </c>
      <c r="I117">
        <f t="shared" si="24"/>
        <v>46</v>
      </c>
      <c r="J117">
        <f t="shared" si="25"/>
        <v>35</v>
      </c>
      <c r="K117">
        <f t="shared" si="20"/>
        <v>2979</v>
      </c>
      <c r="M117" t="b">
        <f t="shared" si="26"/>
        <v>0</v>
      </c>
      <c r="N117" t="b">
        <f t="shared" si="27"/>
        <v>1</v>
      </c>
      <c r="O117" t="b">
        <f t="shared" si="28"/>
        <v>0</v>
      </c>
      <c r="P117" t="b">
        <f t="shared" si="29"/>
        <v>0</v>
      </c>
      <c r="Q117" t="b">
        <f t="shared" si="30"/>
        <v>0</v>
      </c>
      <c r="R117" t="b">
        <f t="shared" si="31"/>
        <v>1</v>
      </c>
      <c r="S117" t="b">
        <f t="shared" si="32"/>
        <v>0</v>
      </c>
      <c r="T117" t="b">
        <f t="shared" si="33"/>
        <v>0</v>
      </c>
      <c r="U117" t="b">
        <f t="shared" si="34"/>
        <v>0</v>
      </c>
      <c r="V117" t="b">
        <f t="shared" si="35"/>
        <v>0</v>
      </c>
    </row>
    <row r="118" spans="1:22" x14ac:dyDescent="0.35">
      <c r="A118" s="2">
        <v>2996</v>
      </c>
      <c r="B118" s="2">
        <f t="shared" si="21"/>
        <v>46</v>
      </c>
      <c r="C118" s="2">
        <f t="shared" si="22"/>
        <v>52</v>
      </c>
      <c r="D118" s="1" t="s">
        <v>97</v>
      </c>
      <c r="E118" t="str">
        <f t="shared" si="23"/>
        <v>1101</v>
      </c>
      <c r="F118" t="str">
        <f t="shared" si="18"/>
        <v>110010</v>
      </c>
      <c r="G118" t="str">
        <f t="shared" si="19"/>
        <v>011111</v>
      </c>
      <c r="H118" t="str">
        <f>LOOKUP(E118,Lookups!$A$1:$A$16,Lookups!$B$1:$B$16)</f>
        <v>c</v>
      </c>
      <c r="I118">
        <f t="shared" si="24"/>
        <v>50</v>
      </c>
      <c r="J118">
        <f t="shared" si="25"/>
        <v>31</v>
      </c>
      <c r="K118">
        <f t="shared" si="20"/>
        <v>3231</v>
      </c>
      <c r="M118" t="b">
        <f t="shared" si="26"/>
        <v>0</v>
      </c>
      <c r="N118" t="b">
        <f t="shared" si="27"/>
        <v>1</v>
      </c>
      <c r="O118" t="b">
        <f t="shared" si="28"/>
        <v>0</v>
      </c>
      <c r="P118" t="b">
        <f t="shared" si="29"/>
        <v>0</v>
      </c>
      <c r="Q118" t="b">
        <f t="shared" si="30"/>
        <v>0</v>
      </c>
      <c r="R118" t="b">
        <f t="shared" si="31"/>
        <v>1</v>
      </c>
      <c r="S118" t="b">
        <f t="shared" si="32"/>
        <v>0</v>
      </c>
      <c r="T118" t="b">
        <f t="shared" si="33"/>
        <v>0</v>
      </c>
      <c r="U118" t="b">
        <f t="shared" si="34"/>
        <v>0</v>
      </c>
      <c r="V118" t="b">
        <f t="shared" si="35"/>
        <v>0</v>
      </c>
    </row>
    <row r="119" spans="1:22" x14ac:dyDescent="0.35">
      <c r="A119" s="2">
        <v>2997</v>
      </c>
      <c r="B119" s="2">
        <f t="shared" si="21"/>
        <v>46</v>
      </c>
      <c r="C119" s="2">
        <f t="shared" si="22"/>
        <v>53</v>
      </c>
      <c r="D119" s="1" t="s">
        <v>98</v>
      </c>
      <c r="E119" t="str">
        <f t="shared" si="23"/>
        <v>1010</v>
      </c>
      <c r="F119" t="str">
        <f t="shared" si="18"/>
        <v>101110</v>
      </c>
      <c r="G119" t="str">
        <f t="shared" si="19"/>
        <v>110110</v>
      </c>
      <c r="H119" t="str">
        <f>LOOKUP(E119,Lookups!$A$1:$A$16,Lookups!$B$1:$B$16)</f>
        <v>u</v>
      </c>
      <c r="I119">
        <f t="shared" si="24"/>
        <v>46</v>
      </c>
      <c r="J119">
        <f t="shared" si="25"/>
        <v>54</v>
      </c>
      <c r="K119">
        <f t="shared" si="20"/>
        <v>2998</v>
      </c>
      <c r="M119" t="b">
        <f t="shared" si="26"/>
        <v>0</v>
      </c>
      <c r="N119" t="b">
        <f t="shared" si="27"/>
        <v>1</v>
      </c>
      <c r="O119" t="b">
        <f t="shared" si="28"/>
        <v>0</v>
      </c>
      <c r="P119" t="b">
        <f t="shared" si="29"/>
        <v>0</v>
      </c>
      <c r="Q119" t="b">
        <f t="shared" si="30"/>
        <v>0</v>
      </c>
      <c r="R119" t="b">
        <f t="shared" si="31"/>
        <v>1</v>
      </c>
      <c r="S119" t="b">
        <f t="shared" si="32"/>
        <v>0</v>
      </c>
      <c r="T119" t="b">
        <f t="shared" si="33"/>
        <v>0</v>
      </c>
      <c r="U119" t="b">
        <f t="shared" si="34"/>
        <v>0</v>
      </c>
      <c r="V119" t="b">
        <f t="shared" si="35"/>
        <v>0</v>
      </c>
    </row>
    <row r="120" spans="1:22" x14ac:dyDescent="0.35">
      <c r="A120" s="2">
        <v>2998</v>
      </c>
      <c r="B120" s="2">
        <f t="shared" si="21"/>
        <v>46</v>
      </c>
      <c r="C120" s="2">
        <f t="shared" si="22"/>
        <v>54</v>
      </c>
      <c r="D120" s="1" t="s">
        <v>90</v>
      </c>
      <c r="E120" t="str">
        <f t="shared" si="23"/>
        <v>0011</v>
      </c>
      <c r="F120" t="str">
        <f t="shared" si="18"/>
        <v>101110</v>
      </c>
      <c r="G120" t="str">
        <f t="shared" si="19"/>
        <v>001010</v>
      </c>
      <c r="H120" t="str">
        <f>LOOKUP(E120,Lookups!$A$1:$A$16,Lookups!$B$1:$B$16)</f>
        <v>r</v>
      </c>
      <c r="I120">
        <f t="shared" si="24"/>
        <v>46</v>
      </c>
      <c r="J120">
        <f t="shared" si="25"/>
        <v>10</v>
      </c>
      <c r="K120">
        <f t="shared" si="20"/>
        <v>2954</v>
      </c>
      <c r="M120" t="b">
        <f t="shared" si="26"/>
        <v>0</v>
      </c>
      <c r="N120" t="b">
        <f t="shared" si="27"/>
        <v>1</v>
      </c>
      <c r="O120" t="b">
        <f t="shared" si="28"/>
        <v>0</v>
      </c>
      <c r="P120" t="b">
        <f t="shared" si="29"/>
        <v>0</v>
      </c>
      <c r="Q120" t="b">
        <f t="shared" si="30"/>
        <v>0</v>
      </c>
      <c r="R120" t="b">
        <f t="shared" si="31"/>
        <v>1</v>
      </c>
      <c r="S120" t="b">
        <f t="shared" si="32"/>
        <v>0</v>
      </c>
      <c r="T120" t="b">
        <f t="shared" si="33"/>
        <v>0</v>
      </c>
      <c r="U120" t="b">
        <f t="shared" si="34"/>
        <v>1</v>
      </c>
      <c r="V120" t="b">
        <f t="shared" si="35"/>
        <v>0</v>
      </c>
    </row>
    <row r="121" spans="1:22" x14ac:dyDescent="0.35">
      <c r="A121" s="2">
        <v>2999</v>
      </c>
      <c r="B121" s="2">
        <f t="shared" si="21"/>
        <v>46</v>
      </c>
      <c r="C121" s="2">
        <f t="shared" si="22"/>
        <v>55</v>
      </c>
      <c r="D121" s="1" t="s">
        <v>24</v>
      </c>
      <c r="E121" t="str">
        <f t="shared" si="23"/>
        <v>1010</v>
      </c>
      <c r="F121" t="str">
        <f t="shared" si="18"/>
        <v>101110</v>
      </c>
      <c r="G121" t="str">
        <f t="shared" si="19"/>
        <v>011010</v>
      </c>
      <c r="H121" t="str">
        <f>LOOKUP(E121,Lookups!$A$1:$A$16,Lookups!$B$1:$B$16)</f>
        <v>u</v>
      </c>
      <c r="I121">
        <f t="shared" si="24"/>
        <v>46</v>
      </c>
      <c r="J121">
        <f t="shared" si="25"/>
        <v>26</v>
      </c>
      <c r="K121">
        <f t="shared" si="20"/>
        <v>2970</v>
      </c>
      <c r="M121" t="b">
        <f t="shared" si="26"/>
        <v>0</v>
      </c>
      <c r="N121" t="b">
        <f t="shared" si="27"/>
        <v>1</v>
      </c>
      <c r="O121" t="b">
        <f t="shared" si="28"/>
        <v>0</v>
      </c>
      <c r="P121" t="b">
        <f t="shared" si="29"/>
        <v>0</v>
      </c>
      <c r="Q121" t="b">
        <f t="shared" si="30"/>
        <v>0</v>
      </c>
      <c r="R121" t="b">
        <f t="shared" si="31"/>
        <v>1</v>
      </c>
      <c r="S121" t="b">
        <f t="shared" si="32"/>
        <v>0</v>
      </c>
      <c r="T121" t="b">
        <f t="shared" si="33"/>
        <v>0</v>
      </c>
      <c r="U121" t="b">
        <f t="shared" si="34"/>
        <v>0</v>
      </c>
      <c r="V121" t="b">
        <f t="shared" si="35"/>
        <v>0</v>
      </c>
    </row>
    <row r="122" spans="1:22" x14ac:dyDescent="0.35">
      <c r="A122" s="2">
        <v>3000</v>
      </c>
      <c r="B122" s="2">
        <f t="shared" si="21"/>
        <v>46</v>
      </c>
      <c r="C122" s="2">
        <f t="shared" si="22"/>
        <v>56</v>
      </c>
      <c r="D122" s="1" t="s">
        <v>99</v>
      </c>
      <c r="E122" t="str">
        <f t="shared" si="23"/>
        <v>1011</v>
      </c>
      <c r="F122" t="str">
        <f t="shared" si="18"/>
        <v>101111</v>
      </c>
      <c r="G122" t="str">
        <f t="shared" si="19"/>
        <v>001011</v>
      </c>
      <c r="H122" t="str">
        <f>LOOKUP(E122,Lookups!$A$1:$A$16,Lookups!$B$1:$B$16)</f>
        <v>t</v>
      </c>
      <c r="I122">
        <f t="shared" si="24"/>
        <v>47</v>
      </c>
      <c r="J122">
        <f t="shared" si="25"/>
        <v>11</v>
      </c>
      <c r="K122">
        <f t="shared" si="20"/>
        <v>3019</v>
      </c>
      <c r="M122" t="b">
        <f t="shared" si="26"/>
        <v>0</v>
      </c>
      <c r="N122" t="b">
        <f t="shared" si="27"/>
        <v>1</v>
      </c>
      <c r="O122" t="b">
        <f t="shared" si="28"/>
        <v>0</v>
      </c>
      <c r="P122" t="b">
        <f t="shared" si="29"/>
        <v>0</v>
      </c>
      <c r="Q122" t="b">
        <f t="shared" si="30"/>
        <v>0</v>
      </c>
      <c r="R122" t="b">
        <f t="shared" si="31"/>
        <v>1</v>
      </c>
      <c r="S122" t="b">
        <f t="shared" si="32"/>
        <v>0</v>
      </c>
      <c r="T122" t="b">
        <f t="shared" si="33"/>
        <v>0</v>
      </c>
      <c r="U122" t="b">
        <f t="shared" si="34"/>
        <v>0</v>
      </c>
      <c r="V122" t="b">
        <f t="shared" si="35"/>
        <v>0</v>
      </c>
    </row>
    <row r="123" spans="1:22" x14ac:dyDescent="0.35">
      <c r="A123" s="2">
        <v>3001</v>
      </c>
      <c r="B123" s="2">
        <f t="shared" si="21"/>
        <v>46</v>
      </c>
      <c r="C123" s="2">
        <f t="shared" si="22"/>
        <v>57</v>
      </c>
      <c r="D123" s="1" t="s">
        <v>100</v>
      </c>
      <c r="E123" t="str">
        <f t="shared" si="23"/>
        <v>1110</v>
      </c>
      <c r="F123" t="str">
        <f t="shared" si="18"/>
        <v>110011</v>
      </c>
      <c r="G123" t="str">
        <f t="shared" si="19"/>
        <v>101101</v>
      </c>
      <c r="H123" t="str">
        <f>LOOKUP(E123,Lookups!$A$1:$A$16,Lookups!$B$1:$B$16)</f>
        <v>a</v>
      </c>
      <c r="I123">
        <f t="shared" si="24"/>
        <v>51</v>
      </c>
      <c r="J123">
        <f t="shared" si="25"/>
        <v>45</v>
      </c>
      <c r="K123">
        <f t="shared" si="20"/>
        <v>3309</v>
      </c>
      <c r="M123" t="b">
        <f t="shared" si="26"/>
        <v>0</v>
      </c>
      <c r="N123" t="b">
        <f t="shared" si="27"/>
        <v>1</v>
      </c>
      <c r="O123" t="b">
        <f t="shared" si="28"/>
        <v>0</v>
      </c>
      <c r="P123" t="b">
        <f t="shared" si="29"/>
        <v>0</v>
      </c>
      <c r="Q123" t="b">
        <f t="shared" si="30"/>
        <v>0</v>
      </c>
      <c r="R123" t="b">
        <f t="shared" si="31"/>
        <v>1</v>
      </c>
      <c r="S123" t="b">
        <f t="shared" si="32"/>
        <v>0</v>
      </c>
      <c r="T123" t="b">
        <f t="shared" si="33"/>
        <v>0</v>
      </c>
      <c r="U123" t="b">
        <f t="shared" si="34"/>
        <v>0</v>
      </c>
      <c r="V123" t="b">
        <f t="shared" si="35"/>
        <v>0</v>
      </c>
    </row>
    <row r="124" spans="1:22" x14ac:dyDescent="0.35">
      <c r="A124" s="2">
        <v>3002</v>
      </c>
      <c r="B124" s="2">
        <f t="shared" si="21"/>
        <v>46</v>
      </c>
      <c r="C124" s="2">
        <f t="shared" si="22"/>
        <v>58</v>
      </c>
      <c r="D124" s="1" t="s">
        <v>101</v>
      </c>
      <c r="E124" t="str">
        <f t="shared" si="23"/>
        <v>1100</v>
      </c>
      <c r="F124" t="str">
        <f t="shared" si="18"/>
        <v>110011</v>
      </c>
      <c r="G124" t="str">
        <f t="shared" si="19"/>
        <v>101101</v>
      </c>
      <c r="H124" t="str">
        <f>LOOKUP(E124,Lookups!$A$1:$A$16,Lookups!$B$1:$B$16)</f>
        <v>h</v>
      </c>
      <c r="I124">
        <f t="shared" si="24"/>
        <v>51</v>
      </c>
      <c r="J124">
        <f t="shared" si="25"/>
        <v>45</v>
      </c>
      <c r="K124">
        <f t="shared" si="20"/>
        <v>3309</v>
      </c>
      <c r="M124" t="b">
        <f t="shared" si="26"/>
        <v>0</v>
      </c>
      <c r="N124" t="b">
        <f t="shared" si="27"/>
        <v>1</v>
      </c>
      <c r="O124" t="b">
        <f t="shared" si="28"/>
        <v>0</v>
      </c>
      <c r="P124" t="b">
        <f t="shared" si="29"/>
        <v>0</v>
      </c>
      <c r="Q124" t="b">
        <f t="shared" si="30"/>
        <v>0</v>
      </c>
      <c r="R124" t="b">
        <f t="shared" si="31"/>
        <v>1</v>
      </c>
      <c r="S124" t="b">
        <f t="shared" si="32"/>
        <v>0</v>
      </c>
      <c r="T124" t="b">
        <f t="shared" si="33"/>
        <v>0</v>
      </c>
      <c r="U124" t="b">
        <f t="shared" si="34"/>
        <v>1</v>
      </c>
      <c r="V124" t="b">
        <f t="shared" si="35"/>
        <v>0</v>
      </c>
    </row>
    <row r="125" spans="1:22" x14ac:dyDescent="0.35">
      <c r="A125" s="2">
        <v>3003</v>
      </c>
      <c r="B125" s="2">
        <f t="shared" si="21"/>
        <v>46</v>
      </c>
      <c r="C125" s="2">
        <f t="shared" si="22"/>
        <v>59</v>
      </c>
      <c r="D125" s="1" t="s">
        <v>102</v>
      </c>
      <c r="E125" t="str">
        <f t="shared" si="23"/>
        <v>1001</v>
      </c>
      <c r="F125" t="str">
        <f t="shared" si="18"/>
        <v>101101</v>
      </c>
      <c r="G125" t="str">
        <f t="shared" si="19"/>
        <v>111110</v>
      </c>
      <c r="H125" t="str">
        <f>LOOKUP(E125,Lookups!$A$1:$A$16,Lookups!$B$1:$B$16)</f>
        <v>e</v>
      </c>
      <c r="I125">
        <f t="shared" si="24"/>
        <v>45</v>
      </c>
      <c r="J125">
        <f t="shared" si="25"/>
        <v>62</v>
      </c>
      <c r="K125">
        <f t="shared" si="20"/>
        <v>2942</v>
      </c>
      <c r="M125" t="b">
        <f t="shared" si="26"/>
        <v>0</v>
      </c>
      <c r="N125" t="b">
        <f t="shared" si="27"/>
        <v>1</v>
      </c>
      <c r="O125" t="b">
        <f t="shared" si="28"/>
        <v>0</v>
      </c>
      <c r="P125" t="b">
        <f t="shared" si="29"/>
        <v>0</v>
      </c>
      <c r="Q125" t="b">
        <f t="shared" si="30"/>
        <v>0</v>
      </c>
      <c r="R125" t="b">
        <f t="shared" si="31"/>
        <v>1</v>
      </c>
      <c r="S125" t="b">
        <f t="shared" si="32"/>
        <v>0</v>
      </c>
      <c r="T125" t="b">
        <f t="shared" si="33"/>
        <v>0</v>
      </c>
      <c r="U125" t="b">
        <f t="shared" si="34"/>
        <v>0</v>
      </c>
      <c r="V125" t="b">
        <f t="shared" si="35"/>
        <v>0</v>
      </c>
    </row>
    <row r="126" spans="1:22" x14ac:dyDescent="0.35">
      <c r="A126" s="2">
        <v>3004</v>
      </c>
      <c r="B126" s="2">
        <f t="shared" si="21"/>
        <v>46</v>
      </c>
      <c r="C126" s="2">
        <f t="shared" si="22"/>
        <v>60</v>
      </c>
      <c r="D126" s="1" t="s">
        <v>103</v>
      </c>
      <c r="E126" t="str">
        <f t="shared" si="23"/>
        <v>1111</v>
      </c>
      <c r="F126" t="str">
        <f t="shared" si="18"/>
        <v>101110</v>
      </c>
      <c r="G126" t="str">
        <f t="shared" si="19"/>
        <v>101001</v>
      </c>
      <c r="H126" t="str">
        <f>LOOKUP(E126,Lookups!$A$1:$A$16,Lookups!$B$1:$B$16)</f>
        <v>s</v>
      </c>
      <c r="I126">
        <f t="shared" si="24"/>
        <v>46</v>
      </c>
      <c r="J126">
        <f t="shared" si="25"/>
        <v>41</v>
      </c>
      <c r="K126">
        <f t="shared" si="20"/>
        <v>2985</v>
      </c>
      <c r="M126" t="b">
        <f t="shared" si="26"/>
        <v>0</v>
      </c>
      <c r="N126" t="b">
        <f t="shared" si="27"/>
        <v>1</v>
      </c>
      <c r="O126" t="b">
        <f t="shared" si="28"/>
        <v>0</v>
      </c>
      <c r="P126" t="b">
        <f t="shared" si="29"/>
        <v>0</v>
      </c>
      <c r="Q126" t="b">
        <f t="shared" si="30"/>
        <v>0</v>
      </c>
      <c r="R126" t="b">
        <f t="shared" si="31"/>
        <v>1</v>
      </c>
      <c r="S126" t="b">
        <f t="shared" si="32"/>
        <v>0</v>
      </c>
      <c r="T126" t="b">
        <f t="shared" si="33"/>
        <v>0</v>
      </c>
      <c r="U126" t="b">
        <f t="shared" si="34"/>
        <v>0</v>
      </c>
      <c r="V126" t="b">
        <f t="shared" si="35"/>
        <v>0</v>
      </c>
    </row>
    <row r="127" spans="1:22" x14ac:dyDescent="0.35">
      <c r="A127" s="2">
        <v>3005</v>
      </c>
      <c r="B127" s="2">
        <f t="shared" si="21"/>
        <v>46</v>
      </c>
      <c r="C127" s="2">
        <f t="shared" si="22"/>
        <v>61</v>
      </c>
      <c r="D127" s="1" t="s">
        <v>104</v>
      </c>
      <c r="E127" t="str">
        <f t="shared" si="23"/>
        <v>1011</v>
      </c>
      <c r="F127" t="str">
        <f t="shared" si="18"/>
        <v>101111</v>
      </c>
      <c r="G127" t="str">
        <f t="shared" si="19"/>
        <v>011000</v>
      </c>
      <c r="H127" t="str">
        <f>LOOKUP(E127,Lookups!$A$1:$A$16,Lookups!$B$1:$B$16)</f>
        <v>t</v>
      </c>
      <c r="I127">
        <f t="shared" si="24"/>
        <v>47</v>
      </c>
      <c r="J127">
        <f t="shared" si="25"/>
        <v>24</v>
      </c>
      <c r="K127">
        <f t="shared" si="20"/>
        <v>3032</v>
      </c>
      <c r="M127" t="b">
        <f t="shared" si="26"/>
        <v>0</v>
      </c>
      <c r="N127" t="b">
        <f t="shared" si="27"/>
        <v>1</v>
      </c>
      <c r="O127" t="b">
        <f t="shared" si="28"/>
        <v>0</v>
      </c>
      <c r="P127" t="b">
        <f t="shared" si="29"/>
        <v>0</v>
      </c>
      <c r="Q127" t="b">
        <f t="shared" si="30"/>
        <v>0</v>
      </c>
      <c r="R127" t="b">
        <f t="shared" si="31"/>
        <v>1</v>
      </c>
      <c r="S127" t="b">
        <f t="shared" si="32"/>
        <v>0</v>
      </c>
      <c r="T127" t="b">
        <f t="shared" si="33"/>
        <v>0</v>
      </c>
      <c r="U127" t="b">
        <f t="shared" si="34"/>
        <v>0</v>
      </c>
      <c r="V127" t="b">
        <f t="shared" si="35"/>
        <v>0</v>
      </c>
    </row>
    <row r="128" spans="1:22" x14ac:dyDescent="0.35">
      <c r="A128" s="2">
        <v>3006</v>
      </c>
      <c r="B128" s="2">
        <f t="shared" si="21"/>
        <v>46</v>
      </c>
      <c r="C128" s="2">
        <f t="shared" si="22"/>
        <v>62</v>
      </c>
      <c r="D128" s="1" t="s">
        <v>92</v>
      </c>
      <c r="E128" t="str">
        <f t="shared" si="23"/>
        <v>1000</v>
      </c>
      <c r="F128" t="str">
        <f t="shared" si="18"/>
        <v>001100</v>
      </c>
      <c r="G128" t="str">
        <f t="shared" si="19"/>
        <v>000000</v>
      </c>
      <c r="H128" t="str">
        <f>LOOKUP(E128,Lookups!$A$1:$A$16,Lookups!$B$1:$B$16)</f>
        <v>p</v>
      </c>
      <c r="I128">
        <f t="shared" si="24"/>
        <v>12</v>
      </c>
      <c r="J128">
        <f t="shared" si="25"/>
        <v>0</v>
      </c>
      <c r="K128">
        <f t="shared" si="20"/>
        <v>768</v>
      </c>
      <c r="M128" t="b">
        <f t="shared" si="26"/>
        <v>0</v>
      </c>
      <c r="N128" t="b">
        <f t="shared" si="27"/>
        <v>1</v>
      </c>
      <c r="O128" t="b">
        <f t="shared" si="28"/>
        <v>0</v>
      </c>
      <c r="P128" t="b">
        <f t="shared" si="29"/>
        <v>0</v>
      </c>
      <c r="Q128" t="b">
        <f t="shared" si="30"/>
        <v>0</v>
      </c>
      <c r="R128" t="b">
        <f t="shared" si="31"/>
        <v>0</v>
      </c>
      <c r="S128" t="b">
        <f t="shared" si="32"/>
        <v>0</v>
      </c>
      <c r="T128" t="b">
        <f t="shared" si="33"/>
        <v>0</v>
      </c>
      <c r="U128" t="b">
        <f t="shared" si="34"/>
        <v>0</v>
      </c>
      <c r="V128" t="b">
        <f t="shared" si="35"/>
        <v>0</v>
      </c>
    </row>
    <row r="129" spans="1:22" x14ac:dyDescent="0.35">
      <c r="A129" s="2">
        <v>3007</v>
      </c>
      <c r="B129" s="2">
        <f t="shared" si="21"/>
        <v>46</v>
      </c>
      <c r="C129" s="2">
        <f t="shared" si="22"/>
        <v>63</v>
      </c>
      <c r="D129" s="1" t="s">
        <v>105</v>
      </c>
      <c r="E129" t="str">
        <f t="shared" si="23"/>
        <v>0000</v>
      </c>
      <c r="F129" t="str">
        <f t="shared" si="18"/>
        <v>000000</v>
      </c>
      <c r="G129" t="str">
        <f t="shared" si="19"/>
        <v>000100</v>
      </c>
      <c r="H129" t="str">
        <f>LOOKUP(E129,Lookups!$A$1:$A$16,Lookups!$B$1:$B$16)</f>
        <v>z</v>
      </c>
      <c r="I129">
        <f t="shared" si="24"/>
        <v>0</v>
      </c>
      <c r="J129">
        <f t="shared" si="25"/>
        <v>4</v>
      </c>
      <c r="K129">
        <f t="shared" si="20"/>
        <v>4</v>
      </c>
      <c r="M129" t="b">
        <f t="shared" si="26"/>
        <v>1</v>
      </c>
      <c r="N129" t="b">
        <f t="shared" si="27"/>
        <v>0</v>
      </c>
      <c r="O129" t="b">
        <f t="shared" si="28"/>
        <v>0</v>
      </c>
      <c r="P129" t="b">
        <f t="shared" si="29"/>
        <v>1</v>
      </c>
      <c r="Q129" t="b">
        <f t="shared" si="30"/>
        <v>1</v>
      </c>
      <c r="R129" t="b">
        <f t="shared" si="31"/>
        <v>1</v>
      </c>
      <c r="S129" t="b">
        <f t="shared" si="32"/>
        <v>1</v>
      </c>
      <c r="T129" t="b">
        <f t="shared" si="33"/>
        <v>0</v>
      </c>
      <c r="U129" t="b">
        <f t="shared" si="34"/>
        <v>1</v>
      </c>
      <c r="V129" t="b">
        <f t="shared" si="35"/>
        <v>0</v>
      </c>
    </row>
    <row r="130" spans="1:22" x14ac:dyDescent="0.35">
      <c r="A130" s="2">
        <v>3008</v>
      </c>
      <c r="B130" s="2">
        <f t="shared" si="21"/>
        <v>47</v>
      </c>
      <c r="C130" s="2">
        <f t="shared" si="22"/>
        <v>0</v>
      </c>
      <c r="D130" s="1" t="s">
        <v>89</v>
      </c>
      <c r="E130" t="str">
        <f t="shared" si="23"/>
        <v>1000</v>
      </c>
      <c r="F130" t="str">
        <f t="shared" ref="F130:F193" si="36">MID(D130,19,6)</f>
        <v>011000</v>
      </c>
      <c r="G130" t="str">
        <f t="shared" ref="G130:G193" si="37">MID(D130,25,6)</f>
        <v>000000</v>
      </c>
      <c r="H130" t="str">
        <f>LOOKUP(E130,Lookups!$A$1:$A$16,Lookups!$B$1:$B$16)</f>
        <v>p</v>
      </c>
      <c r="I130">
        <f t="shared" si="24"/>
        <v>24</v>
      </c>
      <c r="J130">
        <f t="shared" si="25"/>
        <v>0</v>
      </c>
      <c r="K130">
        <f t="shared" ref="K130:K193" si="38">I130*64+J130</f>
        <v>1536</v>
      </c>
      <c r="M130" t="b">
        <f t="shared" si="26"/>
        <v>0</v>
      </c>
      <c r="N130" t="b">
        <f t="shared" si="27"/>
        <v>1</v>
      </c>
      <c r="O130" t="b">
        <f t="shared" si="28"/>
        <v>0</v>
      </c>
      <c r="P130" t="b">
        <f t="shared" si="29"/>
        <v>0</v>
      </c>
      <c r="Q130" t="b">
        <f t="shared" si="30"/>
        <v>0</v>
      </c>
      <c r="R130" t="b">
        <f t="shared" si="31"/>
        <v>0</v>
      </c>
      <c r="S130" t="b">
        <f t="shared" si="32"/>
        <v>0</v>
      </c>
      <c r="T130" t="b">
        <f t="shared" si="33"/>
        <v>0</v>
      </c>
      <c r="U130" t="b">
        <f t="shared" si="34"/>
        <v>0</v>
      </c>
      <c r="V130" t="b">
        <f t="shared" si="35"/>
        <v>0</v>
      </c>
    </row>
    <row r="131" spans="1:22" x14ac:dyDescent="0.35">
      <c r="A131" s="2">
        <v>3009</v>
      </c>
      <c r="B131" s="2">
        <f t="shared" ref="B131:B194" si="39">QUOTIENT(A131,64)</f>
        <v>47</v>
      </c>
      <c r="C131" s="2">
        <f t="shared" ref="C131:C194" si="40">MOD(A131,64)</f>
        <v>1</v>
      </c>
      <c r="D131" s="1" t="s">
        <v>106</v>
      </c>
      <c r="E131" t="str">
        <f t="shared" ref="E131:E194" si="41">MID(D131,13,4)</f>
        <v>0001</v>
      </c>
      <c r="F131" t="str">
        <f t="shared" si="36"/>
        <v>101111</v>
      </c>
      <c r="G131" t="str">
        <f t="shared" si="37"/>
        <v>010111</v>
      </c>
      <c r="H131" t="str">
        <f>LOOKUP(E131,Lookups!$A$1:$A$16,Lookups!$B$1:$B$16)</f>
        <v>b</v>
      </c>
      <c r="I131">
        <f t="shared" ref="I131:I194" si="42">BIN2DEC(F131)</f>
        <v>47</v>
      </c>
      <c r="J131">
        <f t="shared" ref="J131:J194" si="43">BIN2DEC(G131)</f>
        <v>23</v>
      </c>
      <c r="K131">
        <f t="shared" si="38"/>
        <v>3031</v>
      </c>
      <c r="M131" t="b">
        <f t="shared" ref="M131:M194" si="44">IF(H131="z", TRUE,FALSE)</f>
        <v>0</v>
      </c>
      <c r="N131" t="b">
        <f t="shared" ref="N131:N194" si="45">IF(AND(I131,60),TRUE,FALSE)</f>
        <v>1</v>
      </c>
      <c r="O131" t="b">
        <f t="shared" ref="O131:O194" si="46">IF(AND(M131,N131),TRUE,FALSE)</f>
        <v>0</v>
      </c>
      <c r="P131" t="b">
        <f t="shared" ref="P131:P194" si="47">IF(I131=0,TRUE, FALSE)</f>
        <v>0</v>
      </c>
      <c r="Q131" t="b">
        <f t="shared" ref="Q131:Q194" si="48">IF(AND(M131,P131),TRUE,FALSE)</f>
        <v>0</v>
      </c>
      <c r="R131" t="b">
        <f t="shared" ref="R131:R194" si="49">IF(J131&lt;&gt;0,TRUE,FALSE)</f>
        <v>1</v>
      </c>
      <c r="S131" t="b">
        <f t="shared" ref="S131:S194" si="50">IF(AND(M131,R131),TRUE,FALSE)</f>
        <v>0</v>
      </c>
      <c r="T131" t="b">
        <f t="shared" ref="T131:T194" si="51">IF(AND(OR(O131,Q131),NOT(S131)),TRUE,FALSE)</f>
        <v>0</v>
      </c>
      <c r="U131" t="b">
        <f t="shared" ref="U131:U194" si="52">IF(AND(A131,COUNTIF($K$2:$K$449,A131)),TRUE,FALSE)</f>
        <v>0</v>
      </c>
      <c r="V131" t="b">
        <f t="shared" ref="V131:V194" si="53">IF(AND(T131,U131),TRUE,FALSE)</f>
        <v>0</v>
      </c>
    </row>
    <row r="132" spans="1:22" x14ac:dyDescent="0.35">
      <c r="A132" s="2">
        <v>3010</v>
      </c>
      <c r="B132" s="2">
        <f t="shared" si="39"/>
        <v>47</v>
      </c>
      <c r="C132" s="2">
        <f t="shared" si="40"/>
        <v>2</v>
      </c>
      <c r="D132" s="1" t="s">
        <v>14</v>
      </c>
      <c r="E132" t="str">
        <f t="shared" si="41"/>
        <v>1110</v>
      </c>
      <c r="F132" t="str">
        <f t="shared" si="36"/>
        <v>101110</v>
      </c>
      <c r="G132" t="str">
        <f t="shared" si="37"/>
        <v>100011</v>
      </c>
      <c r="H132" t="str">
        <f>LOOKUP(E132,Lookups!$A$1:$A$16,Lookups!$B$1:$B$16)</f>
        <v>a</v>
      </c>
      <c r="I132">
        <f t="shared" si="42"/>
        <v>46</v>
      </c>
      <c r="J132">
        <f t="shared" si="43"/>
        <v>35</v>
      </c>
      <c r="K132">
        <f t="shared" si="38"/>
        <v>2979</v>
      </c>
      <c r="M132" t="b">
        <f t="shared" si="44"/>
        <v>0</v>
      </c>
      <c r="N132" t="b">
        <f t="shared" si="45"/>
        <v>1</v>
      </c>
      <c r="O132" t="b">
        <f t="shared" si="46"/>
        <v>0</v>
      </c>
      <c r="P132" t="b">
        <f t="shared" si="47"/>
        <v>0</v>
      </c>
      <c r="Q132" t="b">
        <f t="shared" si="48"/>
        <v>0</v>
      </c>
      <c r="R132" t="b">
        <f t="shared" si="49"/>
        <v>1</v>
      </c>
      <c r="S132" t="b">
        <f t="shared" si="50"/>
        <v>0</v>
      </c>
      <c r="T132" t="b">
        <f t="shared" si="51"/>
        <v>0</v>
      </c>
      <c r="U132" t="b">
        <f t="shared" si="52"/>
        <v>0</v>
      </c>
      <c r="V132" t="b">
        <f t="shared" si="53"/>
        <v>0</v>
      </c>
    </row>
    <row r="133" spans="1:22" x14ac:dyDescent="0.35">
      <c r="A133" s="2">
        <v>3011</v>
      </c>
      <c r="B133" s="2">
        <f t="shared" si="39"/>
        <v>47</v>
      </c>
      <c r="C133" s="2">
        <f t="shared" si="40"/>
        <v>3</v>
      </c>
      <c r="D133" s="1" t="s">
        <v>107</v>
      </c>
      <c r="E133" t="str">
        <f t="shared" si="41"/>
        <v>1101</v>
      </c>
      <c r="F133" t="str">
        <f t="shared" si="36"/>
        <v>101111</v>
      </c>
      <c r="G133" t="str">
        <f t="shared" si="37"/>
        <v>010111</v>
      </c>
      <c r="H133" t="str">
        <f>LOOKUP(E133,Lookups!$A$1:$A$16,Lookups!$B$1:$B$16)</f>
        <v>c</v>
      </c>
      <c r="I133">
        <f t="shared" si="42"/>
        <v>47</v>
      </c>
      <c r="J133">
        <f t="shared" si="43"/>
        <v>23</v>
      </c>
      <c r="K133">
        <f t="shared" si="38"/>
        <v>3031</v>
      </c>
      <c r="M133" t="b">
        <f t="shared" si="44"/>
        <v>0</v>
      </c>
      <c r="N133" t="b">
        <f t="shared" si="45"/>
        <v>1</v>
      </c>
      <c r="O133" t="b">
        <f t="shared" si="46"/>
        <v>0</v>
      </c>
      <c r="P133" t="b">
        <f t="shared" si="47"/>
        <v>0</v>
      </c>
      <c r="Q133" t="b">
        <f t="shared" si="48"/>
        <v>0</v>
      </c>
      <c r="R133" t="b">
        <f t="shared" si="49"/>
        <v>1</v>
      </c>
      <c r="S133" t="b">
        <f t="shared" si="50"/>
        <v>0</v>
      </c>
      <c r="T133" t="b">
        <f t="shared" si="51"/>
        <v>0</v>
      </c>
      <c r="U133" t="b">
        <f t="shared" si="52"/>
        <v>0</v>
      </c>
      <c r="V133" t="b">
        <f t="shared" si="53"/>
        <v>0</v>
      </c>
    </row>
    <row r="134" spans="1:22" x14ac:dyDescent="0.35">
      <c r="A134" s="2">
        <v>3012</v>
      </c>
      <c r="B134" s="2">
        <f t="shared" si="39"/>
        <v>47</v>
      </c>
      <c r="C134" s="2">
        <f t="shared" si="40"/>
        <v>4</v>
      </c>
      <c r="D134" s="1" t="s">
        <v>90</v>
      </c>
      <c r="E134" t="str">
        <f t="shared" si="41"/>
        <v>0011</v>
      </c>
      <c r="F134" t="str">
        <f t="shared" si="36"/>
        <v>101110</v>
      </c>
      <c r="G134" t="str">
        <f t="shared" si="37"/>
        <v>001010</v>
      </c>
      <c r="H134" t="str">
        <f>LOOKUP(E134,Lookups!$A$1:$A$16,Lookups!$B$1:$B$16)</f>
        <v>r</v>
      </c>
      <c r="I134">
        <f t="shared" si="42"/>
        <v>46</v>
      </c>
      <c r="J134">
        <f t="shared" si="43"/>
        <v>10</v>
      </c>
      <c r="K134">
        <f t="shared" si="38"/>
        <v>2954</v>
      </c>
      <c r="M134" t="b">
        <f t="shared" si="44"/>
        <v>0</v>
      </c>
      <c r="N134" t="b">
        <f t="shared" si="45"/>
        <v>1</v>
      </c>
      <c r="O134" t="b">
        <f t="shared" si="46"/>
        <v>0</v>
      </c>
      <c r="P134" t="b">
        <f t="shared" si="47"/>
        <v>0</v>
      </c>
      <c r="Q134" t="b">
        <f t="shared" si="48"/>
        <v>0</v>
      </c>
      <c r="R134" t="b">
        <f t="shared" si="49"/>
        <v>1</v>
      </c>
      <c r="S134" t="b">
        <f t="shared" si="50"/>
        <v>0</v>
      </c>
      <c r="T134" t="b">
        <f t="shared" si="51"/>
        <v>0</v>
      </c>
      <c r="U134" t="b">
        <f t="shared" si="52"/>
        <v>0</v>
      </c>
      <c r="V134" t="b">
        <f t="shared" si="53"/>
        <v>0</v>
      </c>
    </row>
    <row r="135" spans="1:22" x14ac:dyDescent="0.35">
      <c r="A135" s="2">
        <v>3013</v>
      </c>
      <c r="B135" s="2">
        <f t="shared" si="39"/>
        <v>47</v>
      </c>
      <c r="C135" s="2">
        <f t="shared" si="40"/>
        <v>5</v>
      </c>
      <c r="D135" s="1" t="s">
        <v>24</v>
      </c>
      <c r="E135" t="str">
        <f t="shared" si="41"/>
        <v>1010</v>
      </c>
      <c r="F135" t="str">
        <f t="shared" si="36"/>
        <v>101110</v>
      </c>
      <c r="G135" t="str">
        <f t="shared" si="37"/>
        <v>011010</v>
      </c>
      <c r="H135" t="str">
        <f>LOOKUP(E135,Lookups!$A$1:$A$16,Lookups!$B$1:$B$16)</f>
        <v>u</v>
      </c>
      <c r="I135">
        <f t="shared" si="42"/>
        <v>46</v>
      </c>
      <c r="J135">
        <f t="shared" si="43"/>
        <v>26</v>
      </c>
      <c r="K135">
        <f t="shared" si="38"/>
        <v>2970</v>
      </c>
      <c r="M135" t="b">
        <f t="shared" si="44"/>
        <v>0</v>
      </c>
      <c r="N135" t="b">
        <f t="shared" si="45"/>
        <v>1</v>
      </c>
      <c r="O135" t="b">
        <f t="shared" si="46"/>
        <v>0</v>
      </c>
      <c r="P135" t="b">
        <f t="shared" si="47"/>
        <v>0</v>
      </c>
      <c r="Q135" t="b">
        <f t="shared" si="48"/>
        <v>0</v>
      </c>
      <c r="R135" t="b">
        <f t="shared" si="49"/>
        <v>1</v>
      </c>
      <c r="S135" t="b">
        <f t="shared" si="50"/>
        <v>0</v>
      </c>
      <c r="T135" t="b">
        <f t="shared" si="51"/>
        <v>0</v>
      </c>
      <c r="U135" t="b">
        <f t="shared" si="52"/>
        <v>0</v>
      </c>
      <c r="V135" t="b">
        <f t="shared" si="53"/>
        <v>0</v>
      </c>
    </row>
    <row r="136" spans="1:22" x14ac:dyDescent="0.35">
      <c r="A136" s="2">
        <v>3014</v>
      </c>
      <c r="B136" s="2">
        <f t="shared" si="39"/>
        <v>47</v>
      </c>
      <c r="C136" s="2">
        <f t="shared" si="40"/>
        <v>6</v>
      </c>
      <c r="D136" s="1" t="s">
        <v>108</v>
      </c>
      <c r="E136" t="str">
        <f t="shared" si="41"/>
        <v>1011</v>
      </c>
      <c r="F136" t="str">
        <f t="shared" si="36"/>
        <v>101111</v>
      </c>
      <c r="G136" t="str">
        <f t="shared" si="37"/>
        <v>001111</v>
      </c>
      <c r="H136" t="str">
        <f>LOOKUP(E136,Lookups!$A$1:$A$16,Lookups!$B$1:$B$16)</f>
        <v>t</v>
      </c>
      <c r="I136">
        <f t="shared" si="42"/>
        <v>47</v>
      </c>
      <c r="J136">
        <f t="shared" si="43"/>
        <v>15</v>
      </c>
      <c r="K136">
        <f t="shared" si="38"/>
        <v>3023</v>
      </c>
      <c r="M136" t="b">
        <f t="shared" si="44"/>
        <v>0</v>
      </c>
      <c r="N136" t="b">
        <f t="shared" si="45"/>
        <v>1</v>
      </c>
      <c r="O136" t="b">
        <f t="shared" si="46"/>
        <v>0</v>
      </c>
      <c r="P136" t="b">
        <f t="shared" si="47"/>
        <v>0</v>
      </c>
      <c r="Q136" t="b">
        <f t="shared" si="48"/>
        <v>0</v>
      </c>
      <c r="R136" t="b">
        <f t="shared" si="49"/>
        <v>1</v>
      </c>
      <c r="S136" t="b">
        <f t="shared" si="50"/>
        <v>0</v>
      </c>
      <c r="T136" t="b">
        <f t="shared" si="51"/>
        <v>0</v>
      </c>
      <c r="U136" t="b">
        <f t="shared" si="52"/>
        <v>0</v>
      </c>
      <c r="V136" t="b">
        <f t="shared" si="53"/>
        <v>0</v>
      </c>
    </row>
    <row r="137" spans="1:22" x14ac:dyDescent="0.35">
      <c r="A137" s="2">
        <v>3015</v>
      </c>
      <c r="B137" s="2">
        <f t="shared" si="39"/>
        <v>47</v>
      </c>
      <c r="C137" s="2">
        <f t="shared" si="40"/>
        <v>7</v>
      </c>
      <c r="D137" s="1" t="s">
        <v>109</v>
      </c>
      <c r="E137" t="str">
        <f t="shared" si="41"/>
        <v>1110</v>
      </c>
      <c r="F137" t="str">
        <f t="shared" si="36"/>
        <v>110010</v>
      </c>
      <c r="G137" t="str">
        <f t="shared" si="37"/>
        <v>011101</v>
      </c>
      <c r="H137" t="str">
        <f>LOOKUP(E137,Lookups!$A$1:$A$16,Lookups!$B$1:$B$16)</f>
        <v>a</v>
      </c>
      <c r="I137">
        <f t="shared" si="42"/>
        <v>50</v>
      </c>
      <c r="J137">
        <f t="shared" si="43"/>
        <v>29</v>
      </c>
      <c r="K137">
        <f t="shared" si="38"/>
        <v>3229</v>
      </c>
      <c r="M137" t="b">
        <f t="shared" si="44"/>
        <v>0</v>
      </c>
      <c r="N137" t="b">
        <f t="shared" si="45"/>
        <v>1</v>
      </c>
      <c r="O137" t="b">
        <f t="shared" si="46"/>
        <v>0</v>
      </c>
      <c r="P137" t="b">
        <f t="shared" si="47"/>
        <v>0</v>
      </c>
      <c r="Q137" t="b">
        <f t="shared" si="48"/>
        <v>0</v>
      </c>
      <c r="R137" t="b">
        <f t="shared" si="49"/>
        <v>1</v>
      </c>
      <c r="S137" t="b">
        <f t="shared" si="50"/>
        <v>0</v>
      </c>
      <c r="T137" t="b">
        <f t="shared" si="51"/>
        <v>0</v>
      </c>
      <c r="U137" t="b">
        <f t="shared" si="52"/>
        <v>0</v>
      </c>
      <c r="V137" t="b">
        <f t="shared" si="53"/>
        <v>0</v>
      </c>
    </row>
    <row r="138" spans="1:22" x14ac:dyDescent="0.35">
      <c r="A138" s="2">
        <v>3016</v>
      </c>
      <c r="B138" s="2">
        <f t="shared" si="39"/>
        <v>47</v>
      </c>
      <c r="C138" s="2">
        <f t="shared" si="40"/>
        <v>8</v>
      </c>
      <c r="D138" s="1" t="s">
        <v>110</v>
      </c>
      <c r="E138" t="str">
        <f t="shared" si="41"/>
        <v>1100</v>
      </c>
      <c r="F138" t="str">
        <f t="shared" si="36"/>
        <v>110010</v>
      </c>
      <c r="G138" t="str">
        <f t="shared" si="37"/>
        <v>011101</v>
      </c>
      <c r="H138" t="str">
        <f>LOOKUP(E138,Lookups!$A$1:$A$16,Lookups!$B$1:$B$16)</f>
        <v>h</v>
      </c>
      <c r="I138">
        <f t="shared" si="42"/>
        <v>50</v>
      </c>
      <c r="J138">
        <f t="shared" si="43"/>
        <v>29</v>
      </c>
      <c r="K138">
        <f t="shared" si="38"/>
        <v>3229</v>
      </c>
      <c r="M138" t="b">
        <f t="shared" si="44"/>
        <v>0</v>
      </c>
      <c r="N138" t="b">
        <f t="shared" si="45"/>
        <v>1</v>
      </c>
      <c r="O138" t="b">
        <f t="shared" si="46"/>
        <v>0</v>
      </c>
      <c r="P138" t="b">
        <f t="shared" si="47"/>
        <v>0</v>
      </c>
      <c r="Q138" t="b">
        <f t="shared" si="48"/>
        <v>0</v>
      </c>
      <c r="R138" t="b">
        <f t="shared" si="49"/>
        <v>1</v>
      </c>
      <c r="S138" t="b">
        <f t="shared" si="50"/>
        <v>0</v>
      </c>
      <c r="T138" t="b">
        <f t="shared" si="51"/>
        <v>0</v>
      </c>
      <c r="U138" t="b">
        <f t="shared" si="52"/>
        <v>1</v>
      </c>
      <c r="V138" t="b">
        <f t="shared" si="53"/>
        <v>0</v>
      </c>
    </row>
    <row r="139" spans="1:22" x14ac:dyDescent="0.35">
      <c r="A139" s="2">
        <v>3017</v>
      </c>
      <c r="B139" s="2">
        <f t="shared" si="39"/>
        <v>47</v>
      </c>
      <c r="C139" s="2">
        <f t="shared" si="40"/>
        <v>9</v>
      </c>
      <c r="D139" s="1" t="s">
        <v>111</v>
      </c>
      <c r="E139" t="str">
        <f t="shared" si="41"/>
        <v>1011</v>
      </c>
      <c r="F139" t="str">
        <f t="shared" si="36"/>
        <v>110000</v>
      </c>
      <c r="G139" t="str">
        <f t="shared" si="37"/>
        <v>011010</v>
      </c>
      <c r="H139" t="str">
        <f>LOOKUP(E139,Lookups!$A$1:$A$16,Lookups!$B$1:$B$16)</f>
        <v>t</v>
      </c>
      <c r="I139">
        <f t="shared" si="42"/>
        <v>48</v>
      </c>
      <c r="J139">
        <f t="shared" si="43"/>
        <v>26</v>
      </c>
      <c r="K139">
        <f t="shared" si="38"/>
        <v>3098</v>
      </c>
      <c r="M139" t="b">
        <f t="shared" si="44"/>
        <v>0</v>
      </c>
      <c r="N139" t="b">
        <f t="shared" si="45"/>
        <v>1</v>
      </c>
      <c r="O139" t="b">
        <f t="shared" si="46"/>
        <v>0</v>
      </c>
      <c r="P139" t="b">
        <f t="shared" si="47"/>
        <v>0</v>
      </c>
      <c r="Q139" t="b">
        <f t="shared" si="48"/>
        <v>0</v>
      </c>
      <c r="R139" t="b">
        <f t="shared" si="49"/>
        <v>1</v>
      </c>
      <c r="S139" t="b">
        <f t="shared" si="50"/>
        <v>0</v>
      </c>
      <c r="T139" t="b">
        <f t="shared" si="51"/>
        <v>0</v>
      </c>
      <c r="U139" t="b">
        <f t="shared" si="52"/>
        <v>0</v>
      </c>
      <c r="V139" t="b">
        <f t="shared" si="53"/>
        <v>0</v>
      </c>
    </row>
    <row r="140" spans="1:22" x14ac:dyDescent="0.35">
      <c r="A140" s="2">
        <v>3018</v>
      </c>
      <c r="B140" s="2">
        <f t="shared" si="39"/>
        <v>47</v>
      </c>
      <c r="C140" s="2">
        <f t="shared" si="40"/>
        <v>10</v>
      </c>
      <c r="D140" s="1" t="s">
        <v>112</v>
      </c>
      <c r="E140" t="str">
        <f t="shared" si="41"/>
        <v>1010</v>
      </c>
      <c r="F140" t="str">
        <f t="shared" si="36"/>
        <v>101111</v>
      </c>
      <c r="G140" t="str">
        <f t="shared" si="37"/>
        <v>111110</v>
      </c>
      <c r="H140" t="str">
        <f>LOOKUP(E140,Lookups!$A$1:$A$16,Lookups!$B$1:$B$16)</f>
        <v>u</v>
      </c>
      <c r="I140">
        <f t="shared" si="42"/>
        <v>47</v>
      </c>
      <c r="J140">
        <f t="shared" si="43"/>
        <v>62</v>
      </c>
      <c r="K140">
        <f t="shared" si="38"/>
        <v>3070</v>
      </c>
      <c r="M140" t="b">
        <f t="shared" si="44"/>
        <v>0</v>
      </c>
      <c r="N140" t="b">
        <f t="shared" si="45"/>
        <v>1</v>
      </c>
      <c r="O140" t="b">
        <f t="shared" si="46"/>
        <v>0</v>
      </c>
      <c r="P140" t="b">
        <f t="shared" si="47"/>
        <v>0</v>
      </c>
      <c r="Q140" t="b">
        <f t="shared" si="48"/>
        <v>0</v>
      </c>
      <c r="R140" t="b">
        <f t="shared" si="49"/>
        <v>1</v>
      </c>
      <c r="S140" t="b">
        <f t="shared" si="50"/>
        <v>0</v>
      </c>
      <c r="T140" t="b">
        <f t="shared" si="51"/>
        <v>0</v>
      </c>
      <c r="U140" t="b">
        <f t="shared" si="52"/>
        <v>0</v>
      </c>
      <c r="V140" t="b">
        <f t="shared" si="53"/>
        <v>0</v>
      </c>
    </row>
    <row r="141" spans="1:22" x14ac:dyDescent="0.35">
      <c r="A141" s="2">
        <v>3019</v>
      </c>
      <c r="B141" s="2">
        <f t="shared" si="39"/>
        <v>47</v>
      </c>
      <c r="C141" s="2">
        <f t="shared" si="40"/>
        <v>11</v>
      </c>
      <c r="D141" s="1" t="s">
        <v>113</v>
      </c>
      <c r="E141" t="str">
        <f t="shared" si="41"/>
        <v>0001</v>
      </c>
      <c r="F141" t="str">
        <f t="shared" si="36"/>
        <v>110011</v>
      </c>
      <c r="G141" t="str">
        <f t="shared" si="37"/>
        <v>101101</v>
      </c>
      <c r="H141" t="str">
        <f>LOOKUP(E141,Lookups!$A$1:$A$16,Lookups!$B$1:$B$16)</f>
        <v>b</v>
      </c>
      <c r="I141">
        <f t="shared" si="42"/>
        <v>51</v>
      </c>
      <c r="J141">
        <f t="shared" si="43"/>
        <v>45</v>
      </c>
      <c r="K141">
        <f t="shared" si="38"/>
        <v>3309</v>
      </c>
      <c r="M141" t="b">
        <f t="shared" si="44"/>
        <v>0</v>
      </c>
      <c r="N141" t="b">
        <f t="shared" si="45"/>
        <v>1</v>
      </c>
      <c r="O141" t="b">
        <f t="shared" si="46"/>
        <v>0</v>
      </c>
      <c r="P141" t="b">
        <f t="shared" si="47"/>
        <v>0</v>
      </c>
      <c r="Q141" t="b">
        <f t="shared" si="48"/>
        <v>0</v>
      </c>
      <c r="R141" t="b">
        <f t="shared" si="49"/>
        <v>1</v>
      </c>
      <c r="S141" t="b">
        <f t="shared" si="50"/>
        <v>0</v>
      </c>
      <c r="T141" t="b">
        <f t="shared" si="51"/>
        <v>0</v>
      </c>
      <c r="U141" t="b">
        <f t="shared" si="52"/>
        <v>1</v>
      </c>
      <c r="V141" t="b">
        <f t="shared" si="53"/>
        <v>0</v>
      </c>
    </row>
    <row r="142" spans="1:22" x14ac:dyDescent="0.35">
      <c r="A142" s="2">
        <v>3020</v>
      </c>
      <c r="B142" s="2">
        <f t="shared" si="39"/>
        <v>47</v>
      </c>
      <c r="C142" s="2">
        <f t="shared" si="40"/>
        <v>12</v>
      </c>
      <c r="D142" s="1" t="s">
        <v>102</v>
      </c>
      <c r="E142" t="str">
        <f t="shared" si="41"/>
        <v>1001</v>
      </c>
      <c r="F142" t="str">
        <f t="shared" si="36"/>
        <v>101101</v>
      </c>
      <c r="G142" t="str">
        <f t="shared" si="37"/>
        <v>111110</v>
      </c>
      <c r="H142" t="str">
        <f>LOOKUP(E142,Lookups!$A$1:$A$16,Lookups!$B$1:$B$16)</f>
        <v>e</v>
      </c>
      <c r="I142">
        <f t="shared" si="42"/>
        <v>45</v>
      </c>
      <c r="J142">
        <f t="shared" si="43"/>
        <v>62</v>
      </c>
      <c r="K142">
        <f t="shared" si="38"/>
        <v>2942</v>
      </c>
      <c r="M142" t="b">
        <f t="shared" si="44"/>
        <v>0</v>
      </c>
      <c r="N142" t="b">
        <f t="shared" si="45"/>
        <v>1</v>
      </c>
      <c r="O142" t="b">
        <f t="shared" si="46"/>
        <v>0</v>
      </c>
      <c r="P142" t="b">
        <f t="shared" si="47"/>
        <v>0</v>
      </c>
      <c r="Q142" t="b">
        <f t="shared" si="48"/>
        <v>0</v>
      </c>
      <c r="R142" t="b">
        <f t="shared" si="49"/>
        <v>1</v>
      </c>
      <c r="S142" t="b">
        <f t="shared" si="50"/>
        <v>0</v>
      </c>
      <c r="T142" t="b">
        <f t="shared" si="51"/>
        <v>0</v>
      </c>
      <c r="U142" t="b">
        <f t="shared" si="52"/>
        <v>0</v>
      </c>
      <c r="V142" t="b">
        <f t="shared" si="53"/>
        <v>0</v>
      </c>
    </row>
    <row r="143" spans="1:22" x14ac:dyDescent="0.35">
      <c r="A143" s="2">
        <v>3021</v>
      </c>
      <c r="B143" s="2">
        <f t="shared" si="39"/>
        <v>47</v>
      </c>
      <c r="C143" s="2">
        <f t="shared" si="40"/>
        <v>13</v>
      </c>
      <c r="D143" s="1" t="s">
        <v>114</v>
      </c>
      <c r="E143" t="str">
        <f t="shared" si="41"/>
        <v>1110</v>
      </c>
      <c r="F143" t="str">
        <f t="shared" si="36"/>
        <v>101101</v>
      </c>
      <c r="G143" t="str">
        <f t="shared" si="37"/>
        <v>111100</v>
      </c>
      <c r="H143" t="str">
        <f>LOOKUP(E143,Lookups!$A$1:$A$16,Lookups!$B$1:$B$16)</f>
        <v>a</v>
      </c>
      <c r="I143">
        <f t="shared" si="42"/>
        <v>45</v>
      </c>
      <c r="J143">
        <f t="shared" si="43"/>
        <v>60</v>
      </c>
      <c r="K143">
        <f t="shared" si="38"/>
        <v>2940</v>
      </c>
      <c r="M143" t="b">
        <f t="shared" si="44"/>
        <v>0</v>
      </c>
      <c r="N143" t="b">
        <f t="shared" si="45"/>
        <v>1</v>
      </c>
      <c r="O143" t="b">
        <f t="shared" si="46"/>
        <v>0</v>
      </c>
      <c r="P143" t="b">
        <f t="shared" si="47"/>
        <v>0</v>
      </c>
      <c r="Q143" t="b">
        <f t="shared" si="48"/>
        <v>0</v>
      </c>
      <c r="R143" t="b">
        <f t="shared" si="49"/>
        <v>1</v>
      </c>
      <c r="S143" t="b">
        <f t="shared" si="50"/>
        <v>0</v>
      </c>
      <c r="T143" t="b">
        <f t="shared" si="51"/>
        <v>0</v>
      </c>
      <c r="U143" t="b">
        <f t="shared" si="52"/>
        <v>0</v>
      </c>
      <c r="V143" t="b">
        <f t="shared" si="53"/>
        <v>0</v>
      </c>
    </row>
    <row r="144" spans="1:22" x14ac:dyDescent="0.35">
      <c r="A144" s="2">
        <v>3022</v>
      </c>
      <c r="B144" s="2">
        <f t="shared" si="39"/>
        <v>47</v>
      </c>
      <c r="C144" s="2">
        <f t="shared" si="40"/>
        <v>14</v>
      </c>
      <c r="D144" s="1" t="s">
        <v>115</v>
      </c>
      <c r="E144" t="str">
        <f t="shared" si="41"/>
        <v>1010</v>
      </c>
      <c r="F144" t="str">
        <f t="shared" si="36"/>
        <v>101110</v>
      </c>
      <c r="G144" t="str">
        <f t="shared" si="37"/>
        <v>111010</v>
      </c>
      <c r="H144" t="str">
        <f>LOOKUP(E144,Lookups!$A$1:$A$16,Lookups!$B$1:$B$16)</f>
        <v>u</v>
      </c>
      <c r="I144">
        <f t="shared" si="42"/>
        <v>46</v>
      </c>
      <c r="J144">
        <f t="shared" si="43"/>
        <v>58</v>
      </c>
      <c r="K144">
        <f t="shared" si="38"/>
        <v>3002</v>
      </c>
      <c r="M144" t="b">
        <f t="shared" si="44"/>
        <v>0</v>
      </c>
      <c r="N144" t="b">
        <f t="shared" si="45"/>
        <v>1</v>
      </c>
      <c r="O144" t="b">
        <f t="shared" si="46"/>
        <v>0</v>
      </c>
      <c r="P144" t="b">
        <f t="shared" si="47"/>
        <v>0</v>
      </c>
      <c r="Q144" t="b">
        <f t="shared" si="48"/>
        <v>0</v>
      </c>
      <c r="R144" t="b">
        <f t="shared" si="49"/>
        <v>1</v>
      </c>
      <c r="S144" t="b">
        <f t="shared" si="50"/>
        <v>0</v>
      </c>
      <c r="T144" t="b">
        <f t="shared" si="51"/>
        <v>0</v>
      </c>
      <c r="U144" t="b">
        <f t="shared" si="52"/>
        <v>0</v>
      </c>
      <c r="V144" t="b">
        <f t="shared" si="53"/>
        <v>0</v>
      </c>
    </row>
    <row r="145" spans="1:22" x14ac:dyDescent="0.35">
      <c r="A145" s="2">
        <v>3023</v>
      </c>
      <c r="B145" s="2">
        <f t="shared" si="39"/>
        <v>47</v>
      </c>
      <c r="C145" s="2">
        <f t="shared" si="40"/>
        <v>15</v>
      </c>
      <c r="D145" s="1" t="s">
        <v>116</v>
      </c>
      <c r="E145" t="str">
        <f t="shared" si="41"/>
        <v>0001</v>
      </c>
      <c r="F145" t="str">
        <f t="shared" si="36"/>
        <v>110010</v>
      </c>
      <c r="G145" t="str">
        <f t="shared" si="37"/>
        <v>011101</v>
      </c>
      <c r="H145" t="str">
        <f>LOOKUP(E145,Lookups!$A$1:$A$16,Lookups!$B$1:$B$16)</f>
        <v>b</v>
      </c>
      <c r="I145">
        <f t="shared" si="42"/>
        <v>50</v>
      </c>
      <c r="J145">
        <f t="shared" si="43"/>
        <v>29</v>
      </c>
      <c r="K145">
        <f t="shared" si="38"/>
        <v>3229</v>
      </c>
      <c r="M145" t="b">
        <f t="shared" si="44"/>
        <v>0</v>
      </c>
      <c r="N145" t="b">
        <f t="shared" si="45"/>
        <v>1</v>
      </c>
      <c r="O145" t="b">
        <f t="shared" si="46"/>
        <v>0</v>
      </c>
      <c r="P145" t="b">
        <f t="shared" si="47"/>
        <v>0</v>
      </c>
      <c r="Q145" t="b">
        <f t="shared" si="48"/>
        <v>0</v>
      </c>
      <c r="R145" t="b">
        <f t="shared" si="49"/>
        <v>1</v>
      </c>
      <c r="S145" t="b">
        <f t="shared" si="50"/>
        <v>0</v>
      </c>
      <c r="T145" t="b">
        <f t="shared" si="51"/>
        <v>0</v>
      </c>
      <c r="U145" t="b">
        <f t="shared" si="52"/>
        <v>1</v>
      </c>
      <c r="V145" t="b">
        <f t="shared" si="53"/>
        <v>0</v>
      </c>
    </row>
    <row r="146" spans="1:22" x14ac:dyDescent="0.35">
      <c r="A146" s="2">
        <v>3024</v>
      </c>
      <c r="B146" s="2">
        <f t="shared" si="39"/>
        <v>47</v>
      </c>
      <c r="C146" s="2">
        <f t="shared" si="40"/>
        <v>16</v>
      </c>
      <c r="D146" s="1" t="s">
        <v>102</v>
      </c>
      <c r="E146" t="str">
        <f t="shared" si="41"/>
        <v>1001</v>
      </c>
      <c r="F146" t="str">
        <f t="shared" si="36"/>
        <v>101101</v>
      </c>
      <c r="G146" t="str">
        <f t="shared" si="37"/>
        <v>111110</v>
      </c>
      <c r="H146" t="str">
        <f>LOOKUP(E146,Lookups!$A$1:$A$16,Lookups!$B$1:$B$16)</f>
        <v>e</v>
      </c>
      <c r="I146">
        <f t="shared" si="42"/>
        <v>45</v>
      </c>
      <c r="J146">
        <f t="shared" si="43"/>
        <v>62</v>
      </c>
      <c r="K146">
        <f t="shared" si="38"/>
        <v>2942</v>
      </c>
      <c r="M146" t="b">
        <f t="shared" si="44"/>
        <v>0</v>
      </c>
      <c r="N146" t="b">
        <f t="shared" si="45"/>
        <v>1</v>
      </c>
      <c r="O146" t="b">
        <f t="shared" si="46"/>
        <v>0</v>
      </c>
      <c r="P146" t="b">
        <f t="shared" si="47"/>
        <v>0</v>
      </c>
      <c r="Q146" t="b">
        <f t="shared" si="48"/>
        <v>0</v>
      </c>
      <c r="R146" t="b">
        <f t="shared" si="49"/>
        <v>1</v>
      </c>
      <c r="S146" t="b">
        <f t="shared" si="50"/>
        <v>0</v>
      </c>
      <c r="T146" t="b">
        <f t="shared" si="51"/>
        <v>0</v>
      </c>
      <c r="U146" t="b">
        <f t="shared" si="52"/>
        <v>0</v>
      </c>
      <c r="V146" t="b">
        <f t="shared" si="53"/>
        <v>0</v>
      </c>
    </row>
    <row r="147" spans="1:22" x14ac:dyDescent="0.35">
      <c r="A147" s="2">
        <v>3025</v>
      </c>
      <c r="B147" s="2">
        <f t="shared" si="39"/>
        <v>47</v>
      </c>
      <c r="C147" s="2">
        <f t="shared" si="40"/>
        <v>17</v>
      </c>
      <c r="D147" s="1" t="s">
        <v>114</v>
      </c>
      <c r="E147" t="str">
        <f t="shared" si="41"/>
        <v>1110</v>
      </c>
      <c r="F147" t="str">
        <f t="shared" si="36"/>
        <v>101101</v>
      </c>
      <c r="G147" t="str">
        <f t="shared" si="37"/>
        <v>111100</v>
      </c>
      <c r="H147" t="str">
        <f>LOOKUP(E147,Lookups!$A$1:$A$16,Lookups!$B$1:$B$16)</f>
        <v>a</v>
      </c>
      <c r="I147">
        <f t="shared" si="42"/>
        <v>45</v>
      </c>
      <c r="J147">
        <f t="shared" si="43"/>
        <v>60</v>
      </c>
      <c r="K147">
        <f t="shared" si="38"/>
        <v>2940</v>
      </c>
      <c r="M147" t="b">
        <f t="shared" si="44"/>
        <v>0</v>
      </c>
      <c r="N147" t="b">
        <f t="shared" si="45"/>
        <v>1</v>
      </c>
      <c r="O147" t="b">
        <f t="shared" si="46"/>
        <v>0</v>
      </c>
      <c r="P147" t="b">
        <f t="shared" si="47"/>
        <v>0</v>
      </c>
      <c r="Q147" t="b">
        <f t="shared" si="48"/>
        <v>0</v>
      </c>
      <c r="R147" t="b">
        <f t="shared" si="49"/>
        <v>1</v>
      </c>
      <c r="S147" t="b">
        <f t="shared" si="50"/>
        <v>0</v>
      </c>
      <c r="T147" t="b">
        <f t="shared" si="51"/>
        <v>0</v>
      </c>
      <c r="U147" t="b">
        <f t="shared" si="52"/>
        <v>0</v>
      </c>
      <c r="V147" t="b">
        <f t="shared" si="53"/>
        <v>0</v>
      </c>
    </row>
    <row r="148" spans="1:22" x14ac:dyDescent="0.35">
      <c r="A148" s="2">
        <v>3026</v>
      </c>
      <c r="B148" s="2">
        <f t="shared" si="39"/>
        <v>47</v>
      </c>
      <c r="C148" s="2">
        <f t="shared" si="40"/>
        <v>18</v>
      </c>
      <c r="D148" s="1" t="s">
        <v>117</v>
      </c>
      <c r="E148" t="str">
        <f t="shared" si="41"/>
        <v>1010</v>
      </c>
      <c r="F148" t="str">
        <f t="shared" si="36"/>
        <v>101111</v>
      </c>
      <c r="G148" t="str">
        <f t="shared" si="37"/>
        <v>001000</v>
      </c>
      <c r="H148" t="str">
        <f>LOOKUP(E148,Lookups!$A$1:$A$16,Lookups!$B$1:$B$16)</f>
        <v>u</v>
      </c>
      <c r="I148">
        <f t="shared" si="42"/>
        <v>47</v>
      </c>
      <c r="J148">
        <f t="shared" si="43"/>
        <v>8</v>
      </c>
      <c r="K148">
        <f t="shared" si="38"/>
        <v>3016</v>
      </c>
      <c r="M148" t="b">
        <f t="shared" si="44"/>
        <v>0</v>
      </c>
      <c r="N148" t="b">
        <f t="shared" si="45"/>
        <v>1</v>
      </c>
      <c r="O148" t="b">
        <f t="shared" si="46"/>
        <v>0</v>
      </c>
      <c r="P148" t="b">
        <f t="shared" si="47"/>
        <v>0</v>
      </c>
      <c r="Q148" t="b">
        <f t="shared" si="48"/>
        <v>0</v>
      </c>
      <c r="R148" t="b">
        <f t="shared" si="49"/>
        <v>1</v>
      </c>
      <c r="S148" t="b">
        <f t="shared" si="50"/>
        <v>0</v>
      </c>
      <c r="T148" t="b">
        <f t="shared" si="51"/>
        <v>0</v>
      </c>
      <c r="U148" t="b">
        <f t="shared" si="52"/>
        <v>0</v>
      </c>
      <c r="V148" t="b">
        <f t="shared" si="53"/>
        <v>0</v>
      </c>
    </row>
    <row r="149" spans="1:22" x14ac:dyDescent="0.35">
      <c r="A149" s="2">
        <v>3027</v>
      </c>
      <c r="B149" s="2">
        <f t="shared" si="39"/>
        <v>47</v>
      </c>
      <c r="C149" s="2">
        <f t="shared" si="40"/>
        <v>19</v>
      </c>
      <c r="D149" s="1" t="s">
        <v>116</v>
      </c>
      <c r="E149" t="str">
        <f t="shared" si="41"/>
        <v>0001</v>
      </c>
      <c r="F149" t="str">
        <f t="shared" si="36"/>
        <v>110010</v>
      </c>
      <c r="G149" t="str">
        <f t="shared" si="37"/>
        <v>011101</v>
      </c>
      <c r="H149" t="str">
        <f>LOOKUP(E149,Lookups!$A$1:$A$16,Lookups!$B$1:$B$16)</f>
        <v>b</v>
      </c>
      <c r="I149">
        <f t="shared" si="42"/>
        <v>50</v>
      </c>
      <c r="J149">
        <f t="shared" si="43"/>
        <v>29</v>
      </c>
      <c r="K149">
        <f t="shared" si="38"/>
        <v>3229</v>
      </c>
      <c r="M149" t="b">
        <f t="shared" si="44"/>
        <v>0</v>
      </c>
      <c r="N149" t="b">
        <f t="shared" si="45"/>
        <v>1</v>
      </c>
      <c r="O149" t="b">
        <f t="shared" si="46"/>
        <v>0</v>
      </c>
      <c r="P149" t="b">
        <f t="shared" si="47"/>
        <v>0</v>
      </c>
      <c r="Q149" t="b">
        <f t="shared" si="48"/>
        <v>0</v>
      </c>
      <c r="R149" t="b">
        <f t="shared" si="49"/>
        <v>1</v>
      </c>
      <c r="S149" t="b">
        <f t="shared" si="50"/>
        <v>0</v>
      </c>
      <c r="T149" t="b">
        <f t="shared" si="51"/>
        <v>0</v>
      </c>
      <c r="U149" t="b">
        <f t="shared" si="52"/>
        <v>1</v>
      </c>
      <c r="V149" t="b">
        <f t="shared" si="53"/>
        <v>0</v>
      </c>
    </row>
    <row r="150" spans="1:22" x14ac:dyDescent="0.35">
      <c r="A150" s="2">
        <v>3028</v>
      </c>
      <c r="B150" s="2">
        <f t="shared" si="39"/>
        <v>47</v>
      </c>
      <c r="C150" s="2">
        <f t="shared" si="40"/>
        <v>20</v>
      </c>
      <c r="D150" s="1" t="s">
        <v>102</v>
      </c>
      <c r="E150" t="str">
        <f t="shared" si="41"/>
        <v>1001</v>
      </c>
      <c r="F150" t="str">
        <f t="shared" si="36"/>
        <v>101101</v>
      </c>
      <c r="G150" t="str">
        <f t="shared" si="37"/>
        <v>111110</v>
      </c>
      <c r="H150" t="str">
        <f>LOOKUP(E150,Lookups!$A$1:$A$16,Lookups!$B$1:$B$16)</f>
        <v>e</v>
      </c>
      <c r="I150">
        <f t="shared" si="42"/>
        <v>45</v>
      </c>
      <c r="J150">
        <f t="shared" si="43"/>
        <v>62</v>
      </c>
      <c r="K150">
        <f t="shared" si="38"/>
        <v>2942</v>
      </c>
      <c r="M150" t="b">
        <f t="shared" si="44"/>
        <v>0</v>
      </c>
      <c r="N150" t="b">
        <f t="shared" si="45"/>
        <v>1</v>
      </c>
      <c r="O150" t="b">
        <f t="shared" si="46"/>
        <v>0</v>
      </c>
      <c r="P150" t="b">
        <f t="shared" si="47"/>
        <v>0</v>
      </c>
      <c r="Q150" t="b">
        <f t="shared" si="48"/>
        <v>0</v>
      </c>
      <c r="R150" t="b">
        <f t="shared" si="49"/>
        <v>1</v>
      </c>
      <c r="S150" t="b">
        <f t="shared" si="50"/>
        <v>0</v>
      </c>
      <c r="T150" t="b">
        <f t="shared" si="51"/>
        <v>0</v>
      </c>
      <c r="U150" t="b">
        <f t="shared" si="52"/>
        <v>0</v>
      </c>
      <c r="V150" t="b">
        <f t="shared" si="53"/>
        <v>0</v>
      </c>
    </row>
    <row r="151" spans="1:22" x14ac:dyDescent="0.35">
      <c r="A151" s="2">
        <v>3029</v>
      </c>
      <c r="B151" s="2">
        <f t="shared" si="39"/>
        <v>47</v>
      </c>
      <c r="C151" s="2">
        <f t="shared" si="40"/>
        <v>21</v>
      </c>
      <c r="D151" s="1" t="s">
        <v>114</v>
      </c>
      <c r="E151" t="str">
        <f t="shared" si="41"/>
        <v>1110</v>
      </c>
      <c r="F151" t="str">
        <f t="shared" si="36"/>
        <v>101101</v>
      </c>
      <c r="G151" t="str">
        <f t="shared" si="37"/>
        <v>111100</v>
      </c>
      <c r="H151" t="str">
        <f>LOOKUP(E151,Lookups!$A$1:$A$16,Lookups!$B$1:$B$16)</f>
        <v>a</v>
      </c>
      <c r="I151">
        <f t="shared" si="42"/>
        <v>45</v>
      </c>
      <c r="J151">
        <f t="shared" si="43"/>
        <v>60</v>
      </c>
      <c r="K151">
        <f t="shared" si="38"/>
        <v>2940</v>
      </c>
      <c r="M151" t="b">
        <f t="shared" si="44"/>
        <v>0</v>
      </c>
      <c r="N151" t="b">
        <f t="shared" si="45"/>
        <v>1</v>
      </c>
      <c r="O151" t="b">
        <f t="shared" si="46"/>
        <v>0</v>
      </c>
      <c r="P151" t="b">
        <f t="shared" si="47"/>
        <v>0</v>
      </c>
      <c r="Q151" t="b">
        <f t="shared" si="48"/>
        <v>0</v>
      </c>
      <c r="R151" t="b">
        <f t="shared" si="49"/>
        <v>1</v>
      </c>
      <c r="S151" t="b">
        <f t="shared" si="50"/>
        <v>0</v>
      </c>
      <c r="T151" t="b">
        <f t="shared" si="51"/>
        <v>0</v>
      </c>
      <c r="U151" t="b">
        <f t="shared" si="52"/>
        <v>0</v>
      </c>
      <c r="V151" t="b">
        <f t="shared" si="53"/>
        <v>0</v>
      </c>
    </row>
    <row r="152" spans="1:22" x14ac:dyDescent="0.35">
      <c r="A152" s="2">
        <v>3030</v>
      </c>
      <c r="B152" s="2">
        <f t="shared" si="39"/>
        <v>47</v>
      </c>
      <c r="C152" s="2">
        <f t="shared" si="40"/>
        <v>22</v>
      </c>
      <c r="D152" s="1" t="s">
        <v>118</v>
      </c>
      <c r="E152" t="str">
        <f t="shared" si="41"/>
        <v>1010</v>
      </c>
      <c r="F152" t="str">
        <f t="shared" si="36"/>
        <v>101111</v>
      </c>
      <c r="G152" t="str">
        <f t="shared" si="37"/>
        <v>111010</v>
      </c>
      <c r="H152" t="str">
        <f>LOOKUP(E152,Lookups!$A$1:$A$16,Lookups!$B$1:$B$16)</f>
        <v>u</v>
      </c>
      <c r="I152">
        <f t="shared" si="42"/>
        <v>47</v>
      </c>
      <c r="J152">
        <f t="shared" si="43"/>
        <v>58</v>
      </c>
      <c r="K152">
        <f t="shared" si="38"/>
        <v>3066</v>
      </c>
      <c r="M152" t="b">
        <f t="shared" si="44"/>
        <v>0</v>
      </c>
      <c r="N152" t="b">
        <f t="shared" si="45"/>
        <v>1</v>
      </c>
      <c r="O152" t="b">
        <f t="shared" si="46"/>
        <v>0</v>
      </c>
      <c r="P152" t="b">
        <f t="shared" si="47"/>
        <v>0</v>
      </c>
      <c r="Q152" t="b">
        <f t="shared" si="48"/>
        <v>0</v>
      </c>
      <c r="R152" t="b">
        <f t="shared" si="49"/>
        <v>1</v>
      </c>
      <c r="S152" t="b">
        <f t="shared" si="50"/>
        <v>0</v>
      </c>
      <c r="T152" t="b">
        <f t="shared" si="51"/>
        <v>0</v>
      </c>
      <c r="U152" t="b">
        <f t="shared" si="52"/>
        <v>0</v>
      </c>
      <c r="V152" t="b">
        <f t="shared" si="53"/>
        <v>0</v>
      </c>
    </row>
    <row r="153" spans="1:22" x14ac:dyDescent="0.35">
      <c r="A153" s="2">
        <v>3031</v>
      </c>
      <c r="B153" s="2">
        <f t="shared" si="39"/>
        <v>47</v>
      </c>
      <c r="C153" s="2">
        <f t="shared" si="40"/>
        <v>23</v>
      </c>
      <c r="D153" s="1" t="s">
        <v>119</v>
      </c>
      <c r="E153" t="str">
        <f t="shared" si="41"/>
        <v>0000</v>
      </c>
      <c r="F153" t="str">
        <f t="shared" si="36"/>
        <v>000000</v>
      </c>
      <c r="G153" t="str">
        <f t="shared" si="37"/>
        <v>000000</v>
      </c>
      <c r="H153" t="str">
        <f>LOOKUP(E153,Lookups!$A$1:$A$16,Lookups!$B$1:$B$16)</f>
        <v>z</v>
      </c>
      <c r="I153">
        <f t="shared" si="42"/>
        <v>0</v>
      </c>
      <c r="J153">
        <f t="shared" si="43"/>
        <v>0</v>
      </c>
      <c r="K153">
        <f t="shared" si="38"/>
        <v>0</v>
      </c>
      <c r="M153" t="b">
        <f t="shared" si="44"/>
        <v>1</v>
      </c>
      <c r="N153" t="b">
        <f t="shared" si="45"/>
        <v>0</v>
      </c>
      <c r="O153" t="b">
        <f t="shared" si="46"/>
        <v>0</v>
      </c>
      <c r="P153" t="b">
        <f t="shared" si="47"/>
        <v>1</v>
      </c>
      <c r="Q153" t="b">
        <f t="shared" si="48"/>
        <v>1</v>
      </c>
      <c r="R153" t="b">
        <f t="shared" si="49"/>
        <v>0</v>
      </c>
      <c r="S153" t="b">
        <f t="shared" si="50"/>
        <v>0</v>
      </c>
      <c r="T153" t="b">
        <f t="shared" si="51"/>
        <v>1</v>
      </c>
      <c r="U153" t="b">
        <f t="shared" si="52"/>
        <v>1</v>
      </c>
      <c r="V153" t="b">
        <f t="shared" si="53"/>
        <v>1</v>
      </c>
    </row>
    <row r="154" spans="1:22" x14ac:dyDescent="0.35">
      <c r="A154" s="2">
        <v>3032</v>
      </c>
      <c r="B154" s="2">
        <f t="shared" si="39"/>
        <v>47</v>
      </c>
      <c r="C154" s="2">
        <f t="shared" si="40"/>
        <v>24</v>
      </c>
      <c r="D154" s="1" t="s">
        <v>31</v>
      </c>
      <c r="E154" t="str">
        <f t="shared" si="41"/>
        <v>0011</v>
      </c>
      <c r="F154" t="str">
        <f t="shared" si="36"/>
        <v>110011</v>
      </c>
      <c r="G154" t="str">
        <f t="shared" si="37"/>
        <v>000000</v>
      </c>
      <c r="H154" t="str">
        <f>LOOKUP(E154,Lookups!$A$1:$A$16,Lookups!$B$1:$B$16)</f>
        <v>r</v>
      </c>
      <c r="I154">
        <f t="shared" si="42"/>
        <v>51</v>
      </c>
      <c r="J154">
        <f t="shared" si="43"/>
        <v>0</v>
      </c>
      <c r="K154">
        <f t="shared" si="38"/>
        <v>3264</v>
      </c>
      <c r="M154" t="b">
        <f t="shared" si="44"/>
        <v>0</v>
      </c>
      <c r="N154" t="b">
        <f t="shared" si="45"/>
        <v>1</v>
      </c>
      <c r="O154" t="b">
        <f t="shared" si="46"/>
        <v>0</v>
      </c>
      <c r="P154" t="b">
        <f t="shared" si="47"/>
        <v>0</v>
      </c>
      <c r="Q154" t="b">
        <f t="shared" si="48"/>
        <v>0</v>
      </c>
      <c r="R154" t="b">
        <f t="shared" si="49"/>
        <v>0</v>
      </c>
      <c r="S154" t="b">
        <f t="shared" si="50"/>
        <v>0</v>
      </c>
      <c r="T154" t="b">
        <f t="shared" si="51"/>
        <v>0</v>
      </c>
      <c r="U154" t="b">
        <f t="shared" si="52"/>
        <v>1</v>
      </c>
      <c r="V154" t="b">
        <f t="shared" si="53"/>
        <v>0</v>
      </c>
    </row>
    <row r="155" spans="1:22" x14ac:dyDescent="0.35">
      <c r="A155" s="2">
        <v>3033</v>
      </c>
      <c r="B155" s="2">
        <f t="shared" si="39"/>
        <v>47</v>
      </c>
      <c r="C155" s="2">
        <f t="shared" si="40"/>
        <v>25</v>
      </c>
      <c r="D155" s="1" t="s">
        <v>32</v>
      </c>
      <c r="E155" t="str">
        <f t="shared" si="41"/>
        <v>1010</v>
      </c>
      <c r="F155" t="str">
        <f t="shared" si="36"/>
        <v>110011</v>
      </c>
      <c r="G155" t="str">
        <f t="shared" si="37"/>
        <v>000000</v>
      </c>
      <c r="H155" t="str">
        <f>LOOKUP(E155,Lookups!$A$1:$A$16,Lookups!$B$1:$B$16)</f>
        <v>u</v>
      </c>
      <c r="I155">
        <f t="shared" si="42"/>
        <v>51</v>
      </c>
      <c r="J155">
        <f t="shared" si="43"/>
        <v>0</v>
      </c>
      <c r="K155">
        <f t="shared" si="38"/>
        <v>3264</v>
      </c>
      <c r="M155" t="b">
        <f t="shared" si="44"/>
        <v>0</v>
      </c>
      <c r="N155" t="b">
        <f t="shared" si="45"/>
        <v>1</v>
      </c>
      <c r="O155" t="b">
        <f t="shared" si="46"/>
        <v>0</v>
      </c>
      <c r="P155" t="b">
        <f t="shared" si="47"/>
        <v>0</v>
      </c>
      <c r="Q155" t="b">
        <f t="shared" si="48"/>
        <v>0</v>
      </c>
      <c r="R155" t="b">
        <f t="shared" si="49"/>
        <v>0</v>
      </c>
      <c r="S155" t="b">
        <f t="shared" si="50"/>
        <v>0</v>
      </c>
      <c r="T155" t="b">
        <f t="shared" si="51"/>
        <v>0</v>
      </c>
      <c r="U155" t="b">
        <f t="shared" si="52"/>
        <v>0</v>
      </c>
      <c r="V155" t="b">
        <f t="shared" si="53"/>
        <v>0</v>
      </c>
    </row>
    <row r="156" spans="1:22" x14ac:dyDescent="0.35">
      <c r="A156" s="2">
        <v>3034</v>
      </c>
      <c r="B156" s="2">
        <f t="shared" si="39"/>
        <v>47</v>
      </c>
      <c r="C156" s="2">
        <f t="shared" si="40"/>
        <v>26</v>
      </c>
      <c r="D156" s="1" t="s">
        <v>120</v>
      </c>
      <c r="E156" t="str">
        <f t="shared" si="41"/>
        <v>0000</v>
      </c>
      <c r="F156" t="str">
        <f t="shared" si="36"/>
        <v>101010</v>
      </c>
      <c r="G156" t="str">
        <f t="shared" si="37"/>
        <v>000010</v>
      </c>
      <c r="H156" t="str">
        <f>LOOKUP(E156,Lookups!$A$1:$A$16,Lookups!$B$1:$B$16)</f>
        <v>z</v>
      </c>
      <c r="I156">
        <f t="shared" si="42"/>
        <v>42</v>
      </c>
      <c r="J156">
        <f t="shared" si="43"/>
        <v>2</v>
      </c>
      <c r="K156">
        <f t="shared" si="38"/>
        <v>2690</v>
      </c>
      <c r="M156" t="b">
        <f t="shared" si="44"/>
        <v>1</v>
      </c>
      <c r="N156" t="b">
        <f t="shared" si="45"/>
        <v>1</v>
      </c>
      <c r="O156" t="b">
        <f t="shared" si="46"/>
        <v>1</v>
      </c>
      <c r="P156" t="b">
        <f t="shared" si="47"/>
        <v>0</v>
      </c>
      <c r="Q156" t="b">
        <f t="shared" si="48"/>
        <v>0</v>
      </c>
      <c r="R156" t="b">
        <f t="shared" si="49"/>
        <v>1</v>
      </c>
      <c r="S156" t="b">
        <f t="shared" si="50"/>
        <v>1</v>
      </c>
      <c r="T156" t="b">
        <f t="shared" si="51"/>
        <v>0</v>
      </c>
      <c r="U156" t="b">
        <f t="shared" si="52"/>
        <v>0</v>
      </c>
      <c r="V156" t="b">
        <f t="shared" si="53"/>
        <v>0</v>
      </c>
    </row>
    <row r="157" spans="1:22" x14ac:dyDescent="0.35">
      <c r="A157" s="2">
        <v>3035</v>
      </c>
      <c r="B157" s="2">
        <f t="shared" si="39"/>
        <v>47</v>
      </c>
      <c r="C157" s="2">
        <f t="shared" si="40"/>
        <v>27</v>
      </c>
      <c r="D157" s="1" t="s">
        <v>121</v>
      </c>
      <c r="E157" t="str">
        <f t="shared" si="41"/>
        <v>1010</v>
      </c>
      <c r="F157" t="str">
        <f t="shared" si="36"/>
        <v>101010</v>
      </c>
      <c r="G157" t="str">
        <f t="shared" si="37"/>
        <v>000100</v>
      </c>
      <c r="H157" t="str">
        <f>LOOKUP(E157,Lookups!$A$1:$A$16,Lookups!$B$1:$B$16)</f>
        <v>u</v>
      </c>
      <c r="I157">
        <f t="shared" si="42"/>
        <v>42</v>
      </c>
      <c r="J157">
        <f t="shared" si="43"/>
        <v>4</v>
      </c>
      <c r="K157">
        <f t="shared" si="38"/>
        <v>2692</v>
      </c>
      <c r="M157" t="b">
        <f t="shared" si="44"/>
        <v>0</v>
      </c>
      <c r="N157" t="b">
        <f t="shared" si="45"/>
        <v>1</v>
      </c>
      <c r="O157" t="b">
        <f t="shared" si="46"/>
        <v>0</v>
      </c>
      <c r="P157" t="b">
        <f t="shared" si="47"/>
        <v>0</v>
      </c>
      <c r="Q157" t="b">
        <f t="shared" si="48"/>
        <v>0</v>
      </c>
      <c r="R157" t="b">
        <f t="shared" si="49"/>
        <v>1</v>
      </c>
      <c r="S157" t="b">
        <f t="shared" si="50"/>
        <v>0</v>
      </c>
      <c r="T157" t="b">
        <f t="shared" si="51"/>
        <v>0</v>
      </c>
      <c r="U157" t="b">
        <f t="shared" si="52"/>
        <v>0</v>
      </c>
      <c r="V157" t="b">
        <f t="shared" si="53"/>
        <v>0</v>
      </c>
    </row>
    <row r="158" spans="1:22" x14ac:dyDescent="0.35">
      <c r="A158" s="2">
        <v>3036</v>
      </c>
      <c r="B158" s="2">
        <f t="shared" si="39"/>
        <v>47</v>
      </c>
      <c r="C158" s="2">
        <f t="shared" si="40"/>
        <v>28</v>
      </c>
      <c r="D158" s="1" t="s">
        <v>122</v>
      </c>
      <c r="E158" t="str">
        <f t="shared" si="41"/>
        <v>1000</v>
      </c>
      <c r="F158" t="str">
        <f t="shared" si="36"/>
        <v>000110</v>
      </c>
      <c r="G158" t="str">
        <f t="shared" si="37"/>
        <v>011111</v>
      </c>
      <c r="H158" t="str">
        <f>LOOKUP(E158,Lookups!$A$1:$A$16,Lookups!$B$1:$B$16)</f>
        <v>p</v>
      </c>
      <c r="I158">
        <f t="shared" si="42"/>
        <v>6</v>
      </c>
      <c r="J158">
        <f t="shared" si="43"/>
        <v>31</v>
      </c>
      <c r="K158">
        <f t="shared" si="38"/>
        <v>415</v>
      </c>
      <c r="M158" t="b">
        <f t="shared" si="44"/>
        <v>0</v>
      </c>
      <c r="N158" t="b">
        <f t="shared" si="45"/>
        <v>1</v>
      </c>
      <c r="O158" t="b">
        <f t="shared" si="46"/>
        <v>0</v>
      </c>
      <c r="P158" t="b">
        <f t="shared" si="47"/>
        <v>0</v>
      </c>
      <c r="Q158" t="b">
        <f t="shared" si="48"/>
        <v>0</v>
      </c>
      <c r="R158" t="b">
        <f t="shared" si="49"/>
        <v>1</v>
      </c>
      <c r="S158" t="b">
        <f t="shared" si="50"/>
        <v>0</v>
      </c>
      <c r="T158" t="b">
        <f t="shared" si="51"/>
        <v>0</v>
      </c>
      <c r="U158" t="b">
        <f t="shared" si="52"/>
        <v>0</v>
      </c>
      <c r="V158" t="b">
        <f t="shared" si="53"/>
        <v>0</v>
      </c>
    </row>
    <row r="159" spans="1:22" x14ac:dyDescent="0.35">
      <c r="A159" s="2">
        <v>3037</v>
      </c>
      <c r="B159" s="2">
        <f t="shared" si="39"/>
        <v>47</v>
      </c>
      <c r="C159" s="2">
        <f t="shared" si="40"/>
        <v>29</v>
      </c>
      <c r="D159" s="1" t="s">
        <v>123</v>
      </c>
      <c r="E159" t="str">
        <f t="shared" si="41"/>
        <v>1000</v>
      </c>
      <c r="F159" t="str">
        <f t="shared" si="36"/>
        <v>000000</v>
      </c>
      <c r="G159" t="str">
        <f t="shared" si="37"/>
        <v>000000</v>
      </c>
      <c r="H159" t="str">
        <f>LOOKUP(E159,Lookups!$A$1:$A$16,Lookups!$B$1:$B$16)</f>
        <v>p</v>
      </c>
      <c r="I159">
        <f t="shared" si="42"/>
        <v>0</v>
      </c>
      <c r="J159">
        <f t="shared" si="43"/>
        <v>0</v>
      </c>
      <c r="K159">
        <f t="shared" si="38"/>
        <v>0</v>
      </c>
      <c r="M159" t="b">
        <f t="shared" si="44"/>
        <v>0</v>
      </c>
      <c r="N159" t="b">
        <f t="shared" si="45"/>
        <v>0</v>
      </c>
      <c r="O159" t="b">
        <f t="shared" si="46"/>
        <v>0</v>
      </c>
      <c r="P159" t="b">
        <f t="shared" si="47"/>
        <v>1</v>
      </c>
      <c r="Q159" t="b">
        <f t="shared" si="48"/>
        <v>0</v>
      </c>
      <c r="R159" t="b">
        <f t="shared" si="49"/>
        <v>0</v>
      </c>
      <c r="S159" t="b">
        <f t="shared" si="50"/>
        <v>0</v>
      </c>
      <c r="T159" t="b">
        <f t="shared" si="51"/>
        <v>0</v>
      </c>
      <c r="U159" t="b">
        <f t="shared" si="52"/>
        <v>0</v>
      </c>
      <c r="V159" t="b">
        <f t="shared" si="53"/>
        <v>0</v>
      </c>
    </row>
    <row r="160" spans="1:22" x14ac:dyDescent="0.35">
      <c r="A160" s="2">
        <v>3038</v>
      </c>
      <c r="B160" s="2">
        <f t="shared" si="39"/>
        <v>47</v>
      </c>
      <c r="C160" s="2">
        <f t="shared" si="40"/>
        <v>30</v>
      </c>
      <c r="D160" s="1" t="s">
        <v>124</v>
      </c>
      <c r="E160" t="str">
        <f t="shared" si="41"/>
        <v>0100</v>
      </c>
      <c r="F160" t="str">
        <f t="shared" si="36"/>
        <v>000000</v>
      </c>
      <c r="G160" t="str">
        <f t="shared" si="37"/>
        <v>000000</v>
      </c>
      <c r="H160" t="str">
        <f>LOOKUP(E160,Lookups!$A$1:$A$16,Lookups!$B$1:$B$16)</f>
        <v>i</v>
      </c>
      <c r="I160">
        <f t="shared" si="42"/>
        <v>0</v>
      </c>
      <c r="J160">
        <f t="shared" si="43"/>
        <v>0</v>
      </c>
      <c r="K160">
        <f t="shared" si="38"/>
        <v>0</v>
      </c>
      <c r="M160" t="b">
        <f t="shared" si="44"/>
        <v>0</v>
      </c>
      <c r="N160" t="b">
        <f t="shared" si="45"/>
        <v>0</v>
      </c>
      <c r="O160" t="b">
        <f t="shared" si="46"/>
        <v>0</v>
      </c>
      <c r="P160" t="b">
        <f t="shared" si="47"/>
        <v>1</v>
      </c>
      <c r="Q160" t="b">
        <f t="shared" si="48"/>
        <v>0</v>
      </c>
      <c r="R160" t="b">
        <f t="shared" si="49"/>
        <v>0</v>
      </c>
      <c r="S160" t="b">
        <f t="shared" si="50"/>
        <v>0</v>
      </c>
      <c r="T160" t="b">
        <f t="shared" si="51"/>
        <v>0</v>
      </c>
      <c r="U160" t="b">
        <f t="shared" si="52"/>
        <v>0</v>
      </c>
      <c r="V160" t="b">
        <f t="shared" si="53"/>
        <v>0</v>
      </c>
    </row>
    <row r="161" spans="1:22" x14ac:dyDescent="0.35">
      <c r="A161" s="2">
        <v>3039</v>
      </c>
      <c r="B161" s="2">
        <f t="shared" si="39"/>
        <v>47</v>
      </c>
      <c r="C161" s="2">
        <f t="shared" si="40"/>
        <v>31</v>
      </c>
      <c r="D161" s="1" t="s">
        <v>125</v>
      </c>
      <c r="E161" t="str">
        <f t="shared" si="41"/>
        <v>1001</v>
      </c>
      <c r="F161" t="str">
        <f t="shared" si="36"/>
        <v>101110</v>
      </c>
      <c r="G161" t="str">
        <f t="shared" si="37"/>
        <v>111111</v>
      </c>
      <c r="H161" t="str">
        <f>LOOKUP(E161,Lookups!$A$1:$A$16,Lookups!$B$1:$B$16)</f>
        <v>e</v>
      </c>
      <c r="I161">
        <f t="shared" si="42"/>
        <v>46</v>
      </c>
      <c r="J161">
        <f t="shared" si="43"/>
        <v>63</v>
      </c>
      <c r="K161">
        <f t="shared" si="38"/>
        <v>3007</v>
      </c>
      <c r="M161" t="b">
        <f t="shared" si="44"/>
        <v>0</v>
      </c>
      <c r="N161" t="b">
        <f t="shared" si="45"/>
        <v>1</v>
      </c>
      <c r="O161" t="b">
        <f t="shared" si="46"/>
        <v>0</v>
      </c>
      <c r="P161" t="b">
        <f t="shared" si="47"/>
        <v>0</v>
      </c>
      <c r="Q161" t="b">
        <f t="shared" si="48"/>
        <v>0</v>
      </c>
      <c r="R161" t="b">
        <f t="shared" si="49"/>
        <v>1</v>
      </c>
      <c r="S161" t="b">
        <f t="shared" si="50"/>
        <v>0</v>
      </c>
      <c r="T161" t="b">
        <f t="shared" si="51"/>
        <v>0</v>
      </c>
      <c r="U161" t="b">
        <f t="shared" si="52"/>
        <v>0</v>
      </c>
      <c r="V161" t="b">
        <f t="shared" si="53"/>
        <v>0</v>
      </c>
    </row>
    <row r="162" spans="1:22" x14ac:dyDescent="0.35">
      <c r="A162" s="2">
        <v>3040</v>
      </c>
      <c r="B162" s="2">
        <f t="shared" si="39"/>
        <v>47</v>
      </c>
      <c r="C162" s="2">
        <f t="shared" si="40"/>
        <v>32</v>
      </c>
      <c r="D162" s="1" t="s">
        <v>126</v>
      </c>
      <c r="E162" t="str">
        <f t="shared" si="41"/>
        <v>1111</v>
      </c>
      <c r="F162" t="str">
        <f t="shared" si="36"/>
        <v>101110</v>
      </c>
      <c r="G162" t="str">
        <f t="shared" si="37"/>
        <v>111111</v>
      </c>
      <c r="H162" t="str">
        <f>LOOKUP(E162,Lookups!$A$1:$A$16,Lookups!$B$1:$B$16)</f>
        <v>s</v>
      </c>
      <c r="I162">
        <f t="shared" si="42"/>
        <v>46</v>
      </c>
      <c r="J162">
        <f t="shared" si="43"/>
        <v>63</v>
      </c>
      <c r="K162">
        <f t="shared" si="38"/>
        <v>3007</v>
      </c>
      <c r="M162" t="b">
        <f t="shared" si="44"/>
        <v>0</v>
      </c>
      <c r="N162" t="b">
        <f t="shared" si="45"/>
        <v>1</v>
      </c>
      <c r="O162" t="b">
        <f t="shared" si="46"/>
        <v>0</v>
      </c>
      <c r="P162" t="b">
        <f t="shared" si="47"/>
        <v>0</v>
      </c>
      <c r="Q162" t="b">
        <f t="shared" si="48"/>
        <v>0</v>
      </c>
      <c r="R162" t="b">
        <f t="shared" si="49"/>
        <v>1</v>
      </c>
      <c r="S162" t="b">
        <f t="shared" si="50"/>
        <v>0</v>
      </c>
      <c r="T162" t="b">
        <f t="shared" si="51"/>
        <v>0</v>
      </c>
      <c r="U162" t="b">
        <f t="shared" si="52"/>
        <v>0</v>
      </c>
      <c r="V162" t="b">
        <f t="shared" si="53"/>
        <v>0</v>
      </c>
    </row>
    <row r="163" spans="1:22" x14ac:dyDescent="0.35">
      <c r="A163" s="2">
        <v>3041</v>
      </c>
      <c r="B163" s="2">
        <f t="shared" si="39"/>
        <v>47</v>
      </c>
      <c r="C163" s="2">
        <f t="shared" si="40"/>
        <v>33</v>
      </c>
      <c r="D163" s="1" t="s">
        <v>127</v>
      </c>
      <c r="E163" t="str">
        <f t="shared" si="41"/>
        <v>1011</v>
      </c>
      <c r="F163" t="str">
        <f t="shared" si="36"/>
        <v>101111</v>
      </c>
      <c r="G163" t="str">
        <f t="shared" si="37"/>
        <v>100100</v>
      </c>
      <c r="H163" t="str">
        <f>LOOKUP(E163,Lookups!$A$1:$A$16,Lookups!$B$1:$B$16)</f>
        <v>t</v>
      </c>
      <c r="I163">
        <f t="shared" si="42"/>
        <v>47</v>
      </c>
      <c r="J163">
        <f t="shared" si="43"/>
        <v>36</v>
      </c>
      <c r="K163">
        <f t="shared" si="38"/>
        <v>3044</v>
      </c>
      <c r="M163" t="b">
        <f t="shared" si="44"/>
        <v>0</v>
      </c>
      <c r="N163" t="b">
        <f t="shared" si="45"/>
        <v>1</v>
      </c>
      <c r="O163" t="b">
        <f t="shared" si="46"/>
        <v>0</v>
      </c>
      <c r="P163" t="b">
        <f t="shared" si="47"/>
        <v>0</v>
      </c>
      <c r="Q163" t="b">
        <f t="shared" si="48"/>
        <v>0</v>
      </c>
      <c r="R163" t="b">
        <f t="shared" si="49"/>
        <v>1</v>
      </c>
      <c r="S163" t="b">
        <f t="shared" si="50"/>
        <v>0</v>
      </c>
      <c r="T163" t="b">
        <f t="shared" si="51"/>
        <v>0</v>
      </c>
      <c r="U163" t="b">
        <f t="shared" si="52"/>
        <v>0</v>
      </c>
      <c r="V163" t="b">
        <f t="shared" si="53"/>
        <v>0</v>
      </c>
    </row>
    <row r="164" spans="1:22" x14ac:dyDescent="0.35">
      <c r="A164" s="2">
        <v>3042</v>
      </c>
      <c r="B164" s="2">
        <f t="shared" si="39"/>
        <v>47</v>
      </c>
      <c r="C164" s="2">
        <f t="shared" si="40"/>
        <v>34</v>
      </c>
      <c r="D164" s="1" t="s">
        <v>128</v>
      </c>
      <c r="E164" t="str">
        <f t="shared" si="41"/>
        <v>1010</v>
      </c>
      <c r="F164" t="str">
        <f t="shared" si="36"/>
        <v>101110</v>
      </c>
      <c r="G164" t="str">
        <f t="shared" si="37"/>
        <v>110001</v>
      </c>
      <c r="H164" t="str">
        <f>LOOKUP(E164,Lookups!$A$1:$A$16,Lookups!$B$1:$B$16)</f>
        <v>u</v>
      </c>
      <c r="I164">
        <f t="shared" si="42"/>
        <v>46</v>
      </c>
      <c r="J164">
        <f t="shared" si="43"/>
        <v>49</v>
      </c>
      <c r="K164">
        <f t="shared" si="38"/>
        <v>2993</v>
      </c>
      <c r="M164" t="b">
        <f t="shared" si="44"/>
        <v>0</v>
      </c>
      <c r="N164" t="b">
        <f t="shared" si="45"/>
        <v>1</v>
      </c>
      <c r="O164" t="b">
        <f t="shared" si="46"/>
        <v>0</v>
      </c>
      <c r="P164" t="b">
        <f t="shared" si="47"/>
        <v>0</v>
      </c>
      <c r="Q164" t="b">
        <f t="shared" si="48"/>
        <v>0</v>
      </c>
      <c r="R164" t="b">
        <f t="shared" si="49"/>
        <v>1</v>
      </c>
      <c r="S164" t="b">
        <f t="shared" si="50"/>
        <v>0</v>
      </c>
      <c r="T164" t="b">
        <f t="shared" si="51"/>
        <v>0</v>
      </c>
      <c r="U164" t="b">
        <f t="shared" si="52"/>
        <v>0</v>
      </c>
      <c r="V164" t="b">
        <f t="shared" si="53"/>
        <v>0</v>
      </c>
    </row>
    <row r="165" spans="1:22" x14ac:dyDescent="0.35">
      <c r="A165" s="2">
        <v>3043</v>
      </c>
      <c r="B165" s="2">
        <f t="shared" si="39"/>
        <v>47</v>
      </c>
      <c r="C165" s="2">
        <f t="shared" si="40"/>
        <v>35</v>
      </c>
      <c r="D165" s="1" t="s">
        <v>83</v>
      </c>
      <c r="E165" t="str">
        <f t="shared" si="41"/>
        <v>0000</v>
      </c>
      <c r="F165" t="str">
        <f t="shared" si="36"/>
        <v>101101</v>
      </c>
      <c r="G165" t="str">
        <f t="shared" si="37"/>
        <v>100111</v>
      </c>
      <c r="H165" t="str">
        <f>LOOKUP(E165,Lookups!$A$1:$A$16,Lookups!$B$1:$B$16)</f>
        <v>z</v>
      </c>
      <c r="I165">
        <f t="shared" si="42"/>
        <v>45</v>
      </c>
      <c r="J165">
        <f t="shared" si="43"/>
        <v>39</v>
      </c>
      <c r="K165">
        <f t="shared" si="38"/>
        <v>2919</v>
      </c>
      <c r="M165" t="b">
        <f t="shared" si="44"/>
        <v>1</v>
      </c>
      <c r="N165" t="b">
        <f t="shared" si="45"/>
        <v>1</v>
      </c>
      <c r="O165" t="b">
        <f t="shared" si="46"/>
        <v>1</v>
      </c>
      <c r="P165" t="b">
        <f t="shared" si="47"/>
        <v>0</v>
      </c>
      <c r="Q165" t="b">
        <f t="shared" si="48"/>
        <v>0</v>
      </c>
      <c r="R165" t="b">
        <f t="shared" si="49"/>
        <v>1</v>
      </c>
      <c r="S165" t="b">
        <f t="shared" si="50"/>
        <v>1</v>
      </c>
      <c r="T165" t="b">
        <f t="shared" si="51"/>
        <v>0</v>
      </c>
      <c r="U165" t="b">
        <f t="shared" si="52"/>
        <v>1</v>
      </c>
      <c r="V165" t="b">
        <f t="shared" si="53"/>
        <v>0</v>
      </c>
    </row>
    <row r="166" spans="1:22" x14ac:dyDescent="0.35">
      <c r="A166" s="2">
        <v>3044</v>
      </c>
      <c r="B166" s="2">
        <f t="shared" si="39"/>
        <v>47</v>
      </c>
      <c r="C166" s="2">
        <f t="shared" si="40"/>
        <v>36</v>
      </c>
      <c r="D166" s="1" t="s">
        <v>89</v>
      </c>
      <c r="E166" t="str">
        <f t="shared" si="41"/>
        <v>1000</v>
      </c>
      <c r="F166" t="str">
        <f t="shared" si="36"/>
        <v>011000</v>
      </c>
      <c r="G166" t="str">
        <f t="shared" si="37"/>
        <v>000000</v>
      </c>
      <c r="H166" t="str">
        <f>LOOKUP(E166,Lookups!$A$1:$A$16,Lookups!$B$1:$B$16)</f>
        <v>p</v>
      </c>
      <c r="I166">
        <f t="shared" si="42"/>
        <v>24</v>
      </c>
      <c r="J166">
        <f t="shared" si="43"/>
        <v>0</v>
      </c>
      <c r="K166">
        <f t="shared" si="38"/>
        <v>1536</v>
      </c>
      <c r="M166" t="b">
        <f t="shared" si="44"/>
        <v>0</v>
      </c>
      <c r="N166" t="b">
        <f t="shared" si="45"/>
        <v>1</v>
      </c>
      <c r="O166" t="b">
        <f t="shared" si="46"/>
        <v>0</v>
      </c>
      <c r="P166" t="b">
        <f t="shared" si="47"/>
        <v>0</v>
      </c>
      <c r="Q166" t="b">
        <f t="shared" si="48"/>
        <v>0</v>
      </c>
      <c r="R166" t="b">
        <f t="shared" si="49"/>
        <v>0</v>
      </c>
      <c r="S166" t="b">
        <f t="shared" si="50"/>
        <v>0</v>
      </c>
      <c r="T166" t="b">
        <f t="shared" si="51"/>
        <v>0</v>
      </c>
      <c r="U166" t="b">
        <f t="shared" si="52"/>
        <v>1</v>
      </c>
      <c r="V166" t="b">
        <f t="shared" si="53"/>
        <v>0</v>
      </c>
    </row>
    <row r="167" spans="1:22" x14ac:dyDescent="0.35">
      <c r="A167" s="2">
        <v>3045</v>
      </c>
      <c r="B167" s="2">
        <f t="shared" si="39"/>
        <v>47</v>
      </c>
      <c r="C167" s="2">
        <f t="shared" si="40"/>
        <v>37</v>
      </c>
      <c r="D167" s="1" t="s">
        <v>129</v>
      </c>
      <c r="E167" t="str">
        <f t="shared" si="41"/>
        <v>0000</v>
      </c>
      <c r="F167" t="str">
        <f t="shared" si="36"/>
        <v>000000</v>
      </c>
      <c r="G167" t="str">
        <f t="shared" si="37"/>
        <v>001100</v>
      </c>
      <c r="H167" t="str">
        <f>LOOKUP(E167,Lookups!$A$1:$A$16,Lookups!$B$1:$B$16)</f>
        <v>z</v>
      </c>
      <c r="I167">
        <f t="shared" si="42"/>
        <v>0</v>
      </c>
      <c r="J167">
        <f t="shared" si="43"/>
        <v>12</v>
      </c>
      <c r="K167">
        <f t="shared" si="38"/>
        <v>12</v>
      </c>
      <c r="M167" t="b">
        <f t="shared" si="44"/>
        <v>1</v>
      </c>
      <c r="N167" t="b">
        <f t="shared" si="45"/>
        <v>0</v>
      </c>
      <c r="O167" t="b">
        <f t="shared" si="46"/>
        <v>0</v>
      </c>
      <c r="P167" t="b">
        <f t="shared" si="47"/>
        <v>1</v>
      </c>
      <c r="Q167" t="b">
        <f t="shared" si="48"/>
        <v>1</v>
      </c>
      <c r="R167" t="b">
        <f t="shared" si="49"/>
        <v>1</v>
      </c>
      <c r="S167" t="b">
        <f t="shared" si="50"/>
        <v>1</v>
      </c>
      <c r="T167" t="b">
        <f t="shared" si="51"/>
        <v>0</v>
      </c>
      <c r="U167" t="b">
        <f t="shared" si="52"/>
        <v>1</v>
      </c>
      <c r="V167" t="b">
        <f t="shared" si="53"/>
        <v>0</v>
      </c>
    </row>
    <row r="168" spans="1:22" x14ac:dyDescent="0.35">
      <c r="A168" s="2">
        <v>3046</v>
      </c>
      <c r="B168" s="2">
        <f t="shared" si="39"/>
        <v>47</v>
      </c>
      <c r="C168" s="2">
        <f t="shared" si="40"/>
        <v>38</v>
      </c>
      <c r="D168" s="1" t="s">
        <v>113</v>
      </c>
      <c r="E168" t="str">
        <f t="shared" si="41"/>
        <v>0001</v>
      </c>
      <c r="F168" t="str">
        <f t="shared" si="36"/>
        <v>110011</v>
      </c>
      <c r="G168" t="str">
        <f t="shared" si="37"/>
        <v>101101</v>
      </c>
      <c r="H168" t="str">
        <f>LOOKUP(E168,Lookups!$A$1:$A$16,Lookups!$B$1:$B$16)</f>
        <v>b</v>
      </c>
      <c r="I168">
        <f t="shared" si="42"/>
        <v>51</v>
      </c>
      <c r="J168">
        <f t="shared" si="43"/>
        <v>45</v>
      </c>
      <c r="K168">
        <f t="shared" si="38"/>
        <v>3309</v>
      </c>
      <c r="M168" t="b">
        <f t="shared" si="44"/>
        <v>0</v>
      </c>
      <c r="N168" t="b">
        <f t="shared" si="45"/>
        <v>1</v>
      </c>
      <c r="O168" t="b">
        <f t="shared" si="46"/>
        <v>0</v>
      </c>
      <c r="P168" t="b">
        <f t="shared" si="47"/>
        <v>0</v>
      </c>
      <c r="Q168" t="b">
        <f t="shared" si="48"/>
        <v>0</v>
      </c>
      <c r="R168" t="b">
        <f t="shared" si="49"/>
        <v>1</v>
      </c>
      <c r="S168" t="b">
        <f t="shared" si="50"/>
        <v>0</v>
      </c>
      <c r="T168" t="b">
        <f t="shared" si="51"/>
        <v>0</v>
      </c>
      <c r="U168" t="b">
        <f t="shared" si="52"/>
        <v>0</v>
      </c>
      <c r="V168" t="b">
        <f t="shared" si="53"/>
        <v>0</v>
      </c>
    </row>
    <row r="169" spans="1:22" x14ac:dyDescent="0.35">
      <c r="A169" s="2">
        <v>3047</v>
      </c>
      <c r="B169" s="2">
        <f t="shared" si="39"/>
        <v>47</v>
      </c>
      <c r="C169" s="2">
        <f t="shared" si="40"/>
        <v>39</v>
      </c>
      <c r="D169" s="1" t="s">
        <v>130</v>
      </c>
      <c r="E169" t="str">
        <f t="shared" si="41"/>
        <v>1011</v>
      </c>
      <c r="F169" t="str">
        <f t="shared" si="36"/>
        <v>101111</v>
      </c>
      <c r="G169" t="str">
        <f t="shared" si="37"/>
        <v>101001</v>
      </c>
      <c r="H169" t="str">
        <f>LOOKUP(E169,Lookups!$A$1:$A$16,Lookups!$B$1:$B$16)</f>
        <v>t</v>
      </c>
      <c r="I169">
        <f t="shared" si="42"/>
        <v>47</v>
      </c>
      <c r="J169">
        <f t="shared" si="43"/>
        <v>41</v>
      </c>
      <c r="K169">
        <f t="shared" si="38"/>
        <v>3049</v>
      </c>
      <c r="M169" t="b">
        <f t="shared" si="44"/>
        <v>0</v>
      </c>
      <c r="N169" t="b">
        <f t="shared" si="45"/>
        <v>1</v>
      </c>
      <c r="O169" t="b">
        <f t="shared" si="46"/>
        <v>0</v>
      </c>
      <c r="P169" t="b">
        <f t="shared" si="47"/>
        <v>0</v>
      </c>
      <c r="Q169" t="b">
        <f t="shared" si="48"/>
        <v>0</v>
      </c>
      <c r="R169" t="b">
        <f t="shared" si="49"/>
        <v>1</v>
      </c>
      <c r="S169" t="b">
        <f t="shared" si="50"/>
        <v>0</v>
      </c>
      <c r="T169" t="b">
        <f t="shared" si="51"/>
        <v>0</v>
      </c>
      <c r="U169" t="b">
        <f t="shared" si="52"/>
        <v>0</v>
      </c>
      <c r="V169" t="b">
        <f t="shared" si="53"/>
        <v>0</v>
      </c>
    </row>
    <row r="170" spans="1:22" x14ac:dyDescent="0.35">
      <c r="A170" s="2">
        <v>3048</v>
      </c>
      <c r="B170" s="2">
        <f t="shared" si="39"/>
        <v>47</v>
      </c>
      <c r="C170" s="2">
        <f t="shared" si="40"/>
        <v>40</v>
      </c>
      <c r="D170" s="1" t="s">
        <v>131</v>
      </c>
      <c r="E170" t="str">
        <f t="shared" si="41"/>
        <v>1010</v>
      </c>
      <c r="F170" t="str">
        <f t="shared" si="36"/>
        <v>101111</v>
      </c>
      <c r="G170" t="str">
        <f t="shared" si="37"/>
        <v>110000</v>
      </c>
      <c r="H170" t="str">
        <f>LOOKUP(E170,Lookups!$A$1:$A$16,Lookups!$B$1:$B$16)</f>
        <v>u</v>
      </c>
      <c r="I170">
        <f t="shared" si="42"/>
        <v>47</v>
      </c>
      <c r="J170">
        <f t="shared" si="43"/>
        <v>48</v>
      </c>
      <c r="K170">
        <f t="shared" si="38"/>
        <v>3056</v>
      </c>
      <c r="M170" t="b">
        <f t="shared" si="44"/>
        <v>0</v>
      </c>
      <c r="N170" t="b">
        <f t="shared" si="45"/>
        <v>1</v>
      </c>
      <c r="O170" t="b">
        <f t="shared" si="46"/>
        <v>0</v>
      </c>
      <c r="P170" t="b">
        <f t="shared" si="47"/>
        <v>0</v>
      </c>
      <c r="Q170" t="b">
        <f t="shared" si="48"/>
        <v>0</v>
      </c>
      <c r="R170" t="b">
        <f t="shared" si="49"/>
        <v>1</v>
      </c>
      <c r="S170" t="b">
        <f t="shared" si="50"/>
        <v>0</v>
      </c>
      <c r="T170" t="b">
        <f t="shared" si="51"/>
        <v>0</v>
      </c>
      <c r="U170" t="b">
        <f t="shared" si="52"/>
        <v>0</v>
      </c>
      <c r="V170" t="b">
        <f t="shared" si="53"/>
        <v>0</v>
      </c>
    </row>
    <row r="171" spans="1:22" x14ac:dyDescent="0.35">
      <c r="A171" s="2">
        <v>3049</v>
      </c>
      <c r="B171" s="2">
        <f t="shared" si="39"/>
        <v>47</v>
      </c>
      <c r="C171" s="2">
        <f t="shared" si="40"/>
        <v>41</v>
      </c>
      <c r="D171" s="1" t="s">
        <v>102</v>
      </c>
      <c r="E171" t="str">
        <f t="shared" si="41"/>
        <v>1001</v>
      </c>
      <c r="F171" t="str">
        <f t="shared" si="36"/>
        <v>101101</v>
      </c>
      <c r="G171" t="str">
        <f t="shared" si="37"/>
        <v>111110</v>
      </c>
      <c r="H171" t="str">
        <f>LOOKUP(E171,Lookups!$A$1:$A$16,Lookups!$B$1:$B$16)</f>
        <v>e</v>
      </c>
      <c r="I171">
        <f t="shared" si="42"/>
        <v>45</v>
      </c>
      <c r="J171">
        <f t="shared" si="43"/>
        <v>62</v>
      </c>
      <c r="K171">
        <f t="shared" si="38"/>
        <v>2942</v>
      </c>
      <c r="M171" t="b">
        <f t="shared" si="44"/>
        <v>0</v>
      </c>
      <c r="N171" t="b">
        <f t="shared" si="45"/>
        <v>1</v>
      </c>
      <c r="O171" t="b">
        <f t="shared" si="46"/>
        <v>0</v>
      </c>
      <c r="P171" t="b">
        <f t="shared" si="47"/>
        <v>0</v>
      </c>
      <c r="Q171" t="b">
        <f t="shared" si="48"/>
        <v>0</v>
      </c>
      <c r="R171" t="b">
        <f t="shared" si="49"/>
        <v>1</v>
      </c>
      <c r="S171" t="b">
        <f t="shared" si="50"/>
        <v>0</v>
      </c>
      <c r="T171" t="b">
        <f t="shared" si="51"/>
        <v>0</v>
      </c>
      <c r="U171" t="b">
        <f t="shared" si="52"/>
        <v>1</v>
      </c>
      <c r="V171" t="b">
        <f t="shared" si="53"/>
        <v>0</v>
      </c>
    </row>
    <row r="172" spans="1:22" x14ac:dyDescent="0.35">
      <c r="A172" s="2">
        <v>3050</v>
      </c>
      <c r="B172" s="2">
        <f t="shared" si="39"/>
        <v>47</v>
      </c>
      <c r="C172" s="2">
        <f t="shared" si="40"/>
        <v>42</v>
      </c>
      <c r="D172" s="1" t="s">
        <v>101</v>
      </c>
      <c r="E172" t="str">
        <f t="shared" si="41"/>
        <v>1100</v>
      </c>
      <c r="F172" t="str">
        <f t="shared" si="36"/>
        <v>110011</v>
      </c>
      <c r="G172" t="str">
        <f t="shared" si="37"/>
        <v>101101</v>
      </c>
      <c r="H172" t="str">
        <f>LOOKUP(E172,Lookups!$A$1:$A$16,Lookups!$B$1:$B$16)</f>
        <v>h</v>
      </c>
      <c r="I172">
        <f t="shared" si="42"/>
        <v>51</v>
      </c>
      <c r="J172">
        <f t="shared" si="43"/>
        <v>45</v>
      </c>
      <c r="K172">
        <f t="shared" si="38"/>
        <v>3309</v>
      </c>
      <c r="M172" t="b">
        <f t="shared" si="44"/>
        <v>0</v>
      </c>
      <c r="N172" t="b">
        <f t="shared" si="45"/>
        <v>1</v>
      </c>
      <c r="O172" t="b">
        <f t="shared" si="46"/>
        <v>0</v>
      </c>
      <c r="P172" t="b">
        <f t="shared" si="47"/>
        <v>0</v>
      </c>
      <c r="Q172" t="b">
        <f t="shared" si="48"/>
        <v>0</v>
      </c>
      <c r="R172" t="b">
        <f t="shared" si="49"/>
        <v>1</v>
      </c>
      <c r="S172" t="b">
        <f t="shared" si="50"/>
        <v>0</v>
      </c>
      <c r="T172" t="b">
        <f t="shared" si="51"/>
        <v>0</v>
      </c>
      <c r="U172" t="b">
        <f t="shared" si="52"/>
        <v>0</v>
      </c>
      <c r="V172" t="b">
        <f t="shared" si="53"/>
        <v>0</v>
      </c>
    </row>
    <row r="173" spans="1:22" x14ac:dyDescent="0.35">
      <c r="A173" s="2">
        <v>3051</v>
      </c>
      <c r="B173" s="2">
        <f t="shared" si="39"/>
        <v>47</v>
      </c>
      <c r="C173" s="2">
        <f t="shared" si="40"/>
        <v>43</v>
      </c>
      <c r="D173" s="1" t="s">
        <v>132</v>
      </c>
      <c r="E173" t="str">
        <f t="shared" si="41"/>
        <v>1111</v>
      </c>
      <c r="F173" t="str">
        <f t="shared" si="36"/>
        <v>101111</v>
      </c>
      <c r="G173" t="str">
        <f t="shared" si="37"/>
        <v>100101</v>
      </c>
      <c r="H173" t="str">
        <f>LOOKUP(E173,Lookups!$A$1:$A$16,Lookups!$B$1:$B$16)</f>
        <v>s</v>
      </c>
      <c r="I173">
        <f t="shared" si="42"/>
        <v>47</v>
      </c>
      <c r="J173">
        <f t="shared" si="43"/>
        <v>37</v>
      </c>
      <c r="K173">
        <f t="shared" si="38"/>
        <v>3045</v>
      </c>
      <c r="M173" t="b">
        <f t="shared" si="44"/>
        <v>0</v>
      </c>
      <c r="N173" t="b">
        <f t="shared" si="45"/>
        <v>1</v>
      </c>
      <c r="O173" t="b">
        <f t="shared" si="46"/>
        <v>0</v>
      </c>
      <c r="P173" t="b">
        <f t="shared" si="47"/>
        <v>0</v>
      </c>
      <c r="Q173" t="b">
        <f t="shared" si="48"/>
        <v>0</v>
      </c>
      <c r="R173" t="b">
        <f t="shared" si="49"/>
        <v>1</v>
      </c>
      <c r="S173" t="b">
        <f t="shared" si="50"/>
        <v>0</v>
      </c>
      <c r="T173" t="b">
        <f t="shared" si="51"/>
        <v>0</v>
      </c>
      <c r="U173" t="b">
        <f t="shared" si="52"/>
        <v>0</v>
      </c>
      <c r="V173" t="b">
        <f t="shared" si="53"/>
        <v>0</v>
      </c>
    </row>
    <row r="174" spans="1:22" x14ac:dyDescent="0.35">
      <c r="A174" s="2">
        <v>3052</v>
      </c>
      <c r="B174" s="2">
        <f t="shared" si="39"/>
        <v>47</v>
      </c>
      <c r="C174" s="2">
        <f t="shared" si="40"/>
        <v>44</v>
      </c>
      <c r="D174" s="1" t="s">
        <v>133</v>
      </c>
      <c r="E174" t="str">
        <f t="shared" si="41"/>
        <v>1011</v>
      </c>
      <c r="F174" t="str">
        <f t="shared" si="36"/>
        <v>101111</v>
      </c>
      <c r="G174" t="str">
        <f t="shared" si="37"/>
        <v>101110</v>
      </c>
      <c r="H174" t="str">
        <f>LOOKUP(E174,Lookups!$A$1:$A$16,Lookups!$B$1:$B$16)</f>
        <v>t</v>
      </c>
      <c r="I174">
        <f t="shared" si="42"/>
        <v>47</v>
      </c>
      <c r="J174">
        <f t="shared" si="43"/>
        <v>46</v>
      </c>
      <c r="K174">
        <f t="shared" si="38"/>
        <v>3054</v>
      </c>
      <c r="M174" t="b">
        <f t="shared" si="44"/>
        <v>0</v>
      </c>
      <c r="N174" t="b">
        <f t="shared" si="45"/>
        <v>1</v>
      </c>
      <c r="O174" t="b">
        <f t="shared" si="46"/>
        <v>0</v>
      </c>
      <c r="P174" t="b">
        <f t="shared" si="47"/>
        <v>0</v>
      </c>
      <c r="Q174" t="b">
        <f t="shared" si="48"/>
        <v>0</v>
      </c>
      <c r="R174" t="b">
        <f t="shared" si="49"/>
        <v>1</v>
      </c>
      <c r="S174" t="b">
        <f t="shared" si="50"/>
        <v>0</v>
      </c>
      <c r="T174" t="b">
        <f t="shared" si="51"/>
        <v>0</v>
      </c>
      <c r="U174" t="b">
        <f t="shared" si="52"/>
        <v>0</v>
      </c>
      <c r="V174" t="b">
        <f t="shared" si="53"/>
        <v>0</v>
      </c>
    </row>
    <row r="175" spans="1:22" x14ac:dyDescent="0.35">
      <c r="A175" s="2">
        <v>3053</v>
      </c>
      <c r="B175" s="2">
        <f t="shared" si="39"/>
        <v>47</v>
      </c>
      <c r="C175" s="2">
        <f t="shared" si="40"/>
        <v>45</v>
      </c>
      <c r="D175" s="1" t="s">
        <v>131</v>
      </c>
      <c r="E175" t="str">
        <f t="shared" si="41"/>
        <v>1010</v>
      </c>
      <c r="F175" t="str">
        <f t="shared" si="36"/>
        <v>101111</v>
      </c>
      <c r="G175" t="str">
        <f t="shared" si="37"/>
        <v>110000</v>
      </c>
      <c r="H175" t="str">
        <f>LOOKUP(E175,Lookups!$A$1:$A$16,Lookups!$B$1:$B$16)</f>
        <v>u</v>
      </c>
      <c r="I175">
        <f t="shared" si="42"/>
        <v>47</v>
      </c>
      <c r="J175">
        <f t="shared" si="43"/>
        <v>48</v>
      </c>
      <c r="K175">
        <f t="shared" si="38"/>
        <v>3056</v>
      </c>
      <c r="M175" t="b">
        <f t="shared" si="44"/>
        <v>0</v>
      </c>
      <c r="N175" t="b">
        <f t="shared" si="45"/>
        <v>1</v>
      </c>
      <c r="O175" t="b">
        <f t="shared" si="46"/>
        <v>0</v>
      </c>
      <c r="P175" t="b">
        <f t="shared" si="47"/>
        <v>0</v>
      </c>
      <c r="Q175" t="b">
        <f t="shared" si="48"/>
        <v>0</v>
      </c>
      <c r="R175" t="b">
        <f t="shared" si="49"/>
        <v>1</v>
      </c>
      <c r="S175" t="b">
        <f t="shared" si="50"/>
        <v>0</v>
      </c>
      <c r="T175" t="b">
        <f t="shared" si="51"/>
        <v>0</v>
      </c>
      <c r="U175" t="b">
        <f t="shared" si="52"/>
        <v>0</v>
      </c>
      <c r="V175" t="b">
        <f t="shared" si="53"/>
        <v>0</v>
      </c>
    </row>
    <row r="176" spans="1:22" x14ac:dyDescent="0.35">
      <c r="A176" s="2">
        <v>3054</v>
      </c>
      <c r="B176" s="2">
        <f t="shared" si="39"/>
        <v>47</v>
      </c>
      <c r="C176" s="2">
        <f t="shared" si="40"/>
        <v>46</v>
      </c>
      <c r="D176" s="1" t="s">
        <v>134</v>
      </c>
      <c r="E176" t="str">
        <f t="shared" si="41"/>
        <v>1110</v>
      </c>
      <c r="F176" t="str">
        <f t="shared" si="36"/>
        <v>101110</v>
      </c>
      <c r="G176" t="str">
        <f t="shared" si="37"/>
        <v>101001</v>
      </c>
      <c r="H176" t="str">
        <f>LOOKUP(E176,Lookups!$A$1:$A$16,Lookups!$B$1:$B$16)</f>
        <v>a</v>
      </c>
      <c r="I176">
        <f t="shared" si="42"/>
        <v>46</v>
      </c>
      <c r="J176">
        <f t="shared" si="43"/>
        <v>41</v>
      </c>
      <c r="K176">
        <f t="shared" si="38"/>
        <v>2985</v>
      </c>
      <c r="M176" t="b">
        <f t="shared" si="44"/>
        <v>0</v>
      </c>
      <c r="N176" t="b">
        <f t="shared" si="45"/>
        <v>1</v>
      </c>
      <c r="O176" t="b">
        <f t="shared" si="46"/>
        <v>0</v>
      </c>
      <c r="P176" t="b">
        <f t="shared" si="47"/>
        <v>0</v>
      </c>
      <c r="Q176" t="b">
        <f t="shared" si="48"/>
        <v>0</v>
      </c>
      <c r="R176" t="b">
        <f t="shared" si="49"/>
        <v>1</v>
      </c>
      <c r="S176" t="b">
        <f t="shared" si="50"/>
        <v>0</v>
      </c>
      <c r="T176" t="b">
        <f t="shared" si="51"/>
        <v>0</v>
      </c>
      <c r="U176" t="b">
        <f t="shared" si="52"/>
        <v>1</v>
      </c>
      <c r="V176" t="b">
        <f t="shared" si="53"/>
        <v>0</v>
      </c>
    </row>
    <row r="177" spans="1:22" x14ac:dyDescent="0.35">
      <c r="A177" s="2">
        <v>3055</v>
      </c>
      <c r="B177" s="2">
        <f t="shared" si="39"/>
        <v>47</v>
      </c>
      <c r="C177" s="2">
        <f t="shared" si="40"/>
        <v>47</v>
      </c>
      <c r="D177" s="1" t="s">
        <v>91</v>
      </c>
      <c r="E177" t="str">
        <f t="shared" si="41"/>
        <v>1101</v>
      </c>
      <c r="F177" t="str">
        <f t="shared" si="36"/>
        <v>110011</v>
      </c>
      <c r="G177" t="str">
        <f t="shared" si="37"/>
        <v>101101</v>
      </c>
      <c r="H177" t="str">
        <f>LOOKUP(E177,Lookups!$A$1:$A$16,Lookups!$B$1:$B$16)</f>
        <v>c</v>
      </c>
      <c r="I177">
        <f t="shared" si="42"/>
        <v>51</v>
      </c>
      <c r="J177">
        <f t="shared" si="43"/>
        <v>45</v>
      </c>
      <c r="K177">
        <f t="shared" si="38"/>
        <v>3309</v>
      </c>
      <c r="M177" t="b">
        <f t="shared" si="44"/>
        <v>0</v>
      </c>
      <c r="N177" t="b">
        <f t="shared" si="45"/>
        <v>1</v>
      </c>
      <c r="O177" t="b">
        <f t="shared" si="46"/>
        <v>0</v>
      </c>
      <c r="P177" t="b">
        <f t="shared" si="47"/>
        <v>0</v>
      </c>
      <c r="Q177" t="b">
        <f t="shared" si="48"/>
        <v>0</v>
      </c>
      <c r="R177" t="b">
        <f t="shared" si="49"/>
        <v>1</v>
      </c>
      <c r="S177" t="b">
        <f t="shared" si="50"/>
        <v>0</v>
      </c>
      <c r="T177" t="b">
        <f t="shared" si="51"/>
        <v>0</v>
      </c>
      <c r="U177" t="b">
        <f t="shared" si="52"/>
        <v>0</v>
      </c>
      <c r="V177" t="b">
        <f t="shared" si="53"/>
        <v>0</v>
      </c>
    </row>
    <row r="178" spans="1:22" x14ac:dyDescent="0.35">
      <c r="A178" s="2">
        <v>3056</v>
      </c>
      <c r="B178" s="2">
        <f t="shared" si="39"/>
        <v>47</v>
      </c>
      <c r="C178" s="2">
        <f t="shared" si="40"/>
        <v>48</v>
      </c>
      <c r="D178" s="1" t="s">
        <v>92</v>
      </c>
      <c r="E178" t="str">
        <f t="shared" si="41"/>
        <v>1000</v>
      </c>
      <c r="F178" t="str">
        <f t="shared" si="36"/>
        <v>001100</v>
      </c>
      <c r="G178" t="str">
        <f t="shared" si="37"/>
        <v>000000</v>
      </c>
      <c r="H178" t="str">
        <f>LOOKUP(E178,Lookups!$A$1:$A$16,Lookups!$B$1:$B$16)</f>
        <v>p</v>
      </c>
      <c r="I178">
        <f t="shared" si="42"/>
        <v>12</v>
      </c>
      <c r="J178">
        <f t="shared" si="43"/>
        <v>0</v>
      </c>
      <c r="K178">
        <f t="shared" si="38"/>
        <v>768</v>
      </c>
      <c r="M178" t="b">
        <f t="shared" si="44"/>
        <v>0</v>
      </c>
      <c r="N178" t="b">
        <f t="shared" si="45"/>
        <v>1</v>
      </c>
      <c r="O178" t="b">
        <f t="shared" si="46"/>
        <v>0</v>
      </c>
      <c r="P178" t="b">
        <f t="shared" si="47"/>
        <v>0</v>
      </c>
      <c r="Q178" t="b">
        <f t="shared" si="48"/>
        <v>0</v>
      </c>
      <c r="R178" t="b">
        <f t="shared" si="49"/>
        <v>0</v>
      </c>
      <c r="S178" t="b">
        <f t="shared" si="50"/>
        <v>0</v>
      </c>
      <c r="T178" t="b">
        <f t="shared" si="51"/>
        <v>0</v>
      </c>
      <c r="U178" t="b">
        <f t="shared" si="52"/>
        <v>1</v>
      </c>
      <c r="V178" t="b">
        <f t="shared" si="53"/>
        <v>0</v>
      </c>
    </row>
    <row r="179" spans="1:22" x14ac:dyDescent="0.35">
      <c r="A179" s="2">
        <v>3057</v>
      </c>
      <c r="B179" s="2">
        <f t="shared" si="39"/>
        <v>47</v>
      </c>
      <c r="C179" s="2">
        <f t="shared" si="40"/>
        <v>49</v>
      </c>
      <c r="D179" s="1" t="s">
        <v>135</v>
      </c>
      <c r="E179" t="str">
        <f t="shared" si="41"/>
        <v>0000</v>
      </c>
      <c r="F179" t="str">
        <f t="shared" si="36"/>
        <v>000000</v>
      </c>
      <c r="G179" t="str">
        <f t="shared" si="37"/>
        <v>001010</v>
      </c>
      <c r="H179" t="str">
        <f>LOOKUP(E179,Lookups!$A$1:$A$16,Lookups!$B$1:$B$16)</f>
        <v>z</v>
      </c>
      <c r="I179">
        <f t="shared" si="42"/>
        <v>0</v>
      </c>
      <c r="J179">
        <f t="shared" si="43"/>
        <v>10</v>
      </c>
      <c r="K179">
        <f t="shared" si="38"/>
        <v>10</v>
      </c>
      <c r="M179" t="b">
        <f t="shared" si="44"/>
        <v>1</v>
      </c>
      <c r="N179" t="b">
        <f t="shared" si="45"/>
        <v>0</v>
      </c>
      <c r="O179" t="b">
        <f t="shared" si="46"/>
        <v>0</v>
      </c>
      <c r="P179" t="b">
        <f t="shared" si="47"/>
        <v>1</v>
      </c>
      <c r="Q179" t="b">
        <f t="shared" si="48"/>
        <v>1</v>
      </c>
      <c r="R179" t="b">
        <f t="shared" si="49"/>
        <v>1</v>
      </c>
      <c r="S179" t="b">
        <f t="shared" si="50"/>
        <v>1</v>
      </c>
      <c r="T179" t="b">
        <f t="shared" si="51"/>
        <v>0</v>
      </c>
      <c r="U179" t="b">
        <f t="shared" si="52"/>
        <v>1</v>
      </c>
      <c r="V179" t="b">
        <f t="shared" si="53"/>
        <v>0</v>
      </c>
    </row>
    <row r="180" spans="1:22" x14ac:dyDescent="0.35">
      <c r="A180" s="2">
        <v>3058</v>
      </c>
      <c r="B180" s="2">
        <f t="shared" si="39"/>
        <v>47</v>
      </c>
      <c r="C180" s="2">
        <f t="shared" si="40"/>
        <v>50</v>
      </c>
      <c r="D180" s="1" t="s">
        <v>89</v>
      </c>
      <c r="E180" t="str">
        <f t="shared" si="41"/>
        <v>1000</v>
      </c>
      <c r="F180" t="str">
        <f t="shared" si="36"/>
        <v>011000</v>
      </c>
      <c r="G180" t="str">
        <f t="shared" si="37"/>
        <v>000000</v>
      </c>
      <c r="H180" t="str">
        <f>LOOKUP(E180,Lookups!$A$1:$A$16,Lookups!$B$1:$B$16)</f>
        <v>p</v>
      </c>
      <c r="I180">
        <f t="shared" si="42"/>
        <v>24</v>
      </c>
      <c r="J180">
        <f t="shared" si="43"/>
        <v>0</v>
      </c>
      <c r="K180">
        <f t="shared" si="38"/>
        <v>1536</v>
      </c>
      <c r="M180" t="b">
        <f t="shared" si="44"/>
        <v>0</v>
      </c>
      <c r="N180" t="b">
        <f t="shared" si="45"/>
        <v>1</v>
      </c>
      <c r="O180" t="b">
        <f t="shared" si="46"/>
        <v>0</v>
      </c>
      <c r="P180" t="b">
        <f t="shared" si="47"/>
        <v>0</v>
      </c>
      <c r="Q180" t="b">
        <f t="shared" si="48"/>
        <v>0</v>
      </c>
      <c r="R180" t="b">
        <f t="shared" si="49"/>
        <v>0</v>
      </c>
      <c r="S180" t="b">
        <f t="shared" si="50"/>
        <v>0</v>
      </c>
      <c r="T180" t="b">
        <f t="shared" si="51"/>
        <v>0</v>
      </c>
      <c r="U180" t="b">
        <f t="shared" si="52"/>
        <v>0</v>
      </c>
      <c r="V180" t="b">
        <f t="shared" si="53"/>
        <v>0</v>
      </c>
    </row>
    <row r="181" spans="1:22" x14ac:dyDescent="0.35">
      <c r="A181" s="2">
        <v>3059</v>
      </c>
      <c r="B181" s="2">
        <f t="shared" si="39"/>
        <v>47</v>
      </c>
      <c r="C181" s="2">
        <f t="shared" si="40"/>
        <v>51</v>
      </c>
      <c r="D181" s="1" t="s">
        <v>106</v>
      </c>
      <c r="E181" t="str">
        <f t="shared" si="41"/>
        <v>0001</v>
      </c>
      <c r="F181" t="str">
        <f t="shared" si="36"/>
        <v>101111</v>
      </c>
      <c r="G181" t="str">
        <f t="shared" si="37"/>
        <v>010111</v>
      </c>
      <c r="H181" t="str">
        <f>LOOKUP(E181,Lookups!$A$1:$A$16,Lookups!$B$1:$B$16)</f>
        <v>b</v>
      </c>
      <c r="I181">
        <f t="shared" si="42"/>
        <v>47</v>
      </c>
      <c r="J181">
        <f t="shared" si="43"/>
        <v>23</v>
      </c>
      <c r="K181">
        <f t="shared" si="38"/>
        <v>3031</v>
      </c>
      <c r="M181" t="b">
        <f t="shared" si="44"/>
        <v>0</v>
      </c>
      <c r="N181" t="b">
        <f t="shared" si="45"/>
        <v>1</v>
      </c>
      <c r="O181" t="b">
        <f t="shared" si="46"/>
        <v>0</v>
      </c>
      <c r="P181" t="b">
        <f t="shared" si="47"/>
        <v>0</v>
      </c>
      <c r="Q181" t="b">
        <f t="shared" si="48"/>
        <v>0</v>
      </c>
      <c r="R181" t="b">
        <f t="shared" si="49"/>
        <v>1</v>
      </c>
      <c r="S181" t="b">
        <f t="shared" si="50"/>
        <v>0</v>
      </c>
      <c r="T181" t="b">
        <f t="shared" si="51"/>
        <v>0</v>
      </c>
      <c r="U181" t="b">
        <f t="shared" si="52"/>
        <v>0</v>
      </c>
      <c r="V181" t="b">
        <f t="shared" si="53"/>
        <v>0</v>
      </c>
    </row>
    <row r="182" spans="1:22" x14ac:dyDescent="0.35">
      <c r="A182" s="2">
        <v>3060</v>
      </c>
      <c r="B182" s="2">
        <f t="shared" si="39"/>
        <v>47</v>
      </c>
      <c r="C182" s="2">
        <f t="shared" si="40"/>
        <v>52</v>
      </c>
      <c r="D182" s="1" t="s">
        <v>14</v>
      </c>
      <c r="E182" t="str">
        <f t="shared" si="41"/>
        <v>1110</v>
      </c>
      <c r="F182" t="str">
        <f t="shared" si="36"/>
        <v>101110</v>
      </c>
      <c r="G182" t="str">
        <f t="shared" si="37"/>
        <v>100011</v>
      </c>
      <c r="H182" t="str">
        <f>LOOKUP(E182,Lookups!$A$1:$A$16,Lookups!$B$1:$B$16)</f>
        <v>a</v>
      </c>
      <c r="I182">
        <f t="shared" si="42"/>
        <v>46</v>
      </c>
      <c r="J182">
        <f t="shared" si="43"/>
        <v>35</v>
      </c>
      <c r="K182">
        <f t="shared" si="38"/>
        <v>2979</v>
      </c>
      <c r="M182" t="b">
        <f t="shared" si="44"/>
        <v>0</v>
      </c>
      <c r="N182" t="b">
        <f t="shared" si="45"/>
        <v>1</v>
      </c>
      <c r="O182" t="b">
        <f t="shared" si="46"/>
        <v>0</v>
      </c>
      <c r="P182" t="b">
        <f t="shared" si="47"/>
        <v>0</v>
      </c>
      <c r="Q182" t="b">
        <f t="shared" si="48"/>
        <v>0</v>
      </c>
      <c r="R182" t="b">
        <f t="shared" si="49"/>
        <v>1</v>
      </c>
      <c r="S182" t="b">
        <f t="shared" si="50"/>
        <v>0</v>
      </c>
      <c r="T182" t="b">
        <f t="shared" si="51"/>
        <v>0</v>
      </c>
      <c r="U182" t="b">
        <f t="shared" si="52"/>
        <v>0</v>
      </c>
      <c r="V182" t="b">
        <f t="shared" si="53"/>
        <v>0</v>
      </c>
    </row>
    <row r="183" spans="1:22" x14ac:dyDescent="0.35">
      <c r="A183" s="2">
        <v>3061</v>
      </c>
      <c r="B183" s="2">
        <f t="shared" si="39"/>
        <v>47</v>
      </c>
      <c r="C183" s="2">
        <f t="shared" si="40"/>
        <v>53</v>
      </c>
      <c r="D183" s="1" t="s">
        <v>107</v>
      </c>
      <c r="E183" t="str">
        <f t="shared" si="41"/>
        <v>1101</v>
      </c>
      <c r="F183" t="str">
        <f t="shared" si="36"/>
        <v>101111</v>
      </c>
      <c r="G183" t="str">
        <f t="shared" si="37"/>
        <v>010111</v>
      </c>
      <c r="H183" t="str">
        <f>LOOKUP(E183,Lookups!$A$1:$A$16,Lookups!$B$1:$B$16)</f>
        <v>c</v>
      </c>
      <c r="I183">
        <f t="shared" si="42"/>
        <v>47</v>
      </c>
      <c r="J183">
        <f t="shared" si="43"/>
        <v>23</v>
      </c>
      <c r="K183">
        <f t="shared" si="38"/>
        <v>3031</v>
      </c>
      <c r="M183" t="b">
        <f t="shared" si="44"/>
        <v>0</v>
      </c>
      <c r="N183" t="b">
        <f t="shared" si="45"/>
        <v>1</v>
      </c>
      <c r="O183" t="b">
        <f t="shared" si="46"/>
        <v>0</v>
      </c>
      <c r="P183" t="b">
        <f t="shared" si="47"/>
        <v>0</v>
      </c>
      <c r="Q183" t="b">
        <f t="shared" si="48"/>
        <v>0</v>
      </c>
      <c r="R183" t="b">
        <f t="shared" si="49"/>
        <v>1</v>
      </c>
      <c r="S183" t="b">
        <f t="shared" si="50"/>
        <v>0</v>
      </c>
      <c r="T183" t="b">
        <f t="shared" si="51"/>
        <v>0</v>
      </c>
      <c r="U183" t="b">
        <f t="shared" si="52"/>
        <v>0</v>
      </c>
      <c r="V183" t="b">
        <f t="shared" si="53"/>
        <v>0</v>
      </c>
    </row>
    <row r="184" spans="1:22" x14ac:dyDescent="0.35">
      <c r="A184" s="2">
        <v>3062</v>
      </c>
      <c r="B184" s="2">
        <f t="shared" si="39"/>
        <v>47</v>
      </c>
      <c r="C184" s="2">
        <f t="shared" si="40"/>
        <v>54</v>
      </c>
      <c r="D184" s="1" t="s">
        <v>90</v>
      </c>
      <c r="E184" t="str">
        <f t="shared" si="41"/>
        <v>0011</v>
      </c>
      <c r="F184" t="str">
        <f t="shared" si="36"/>
        <v>101110</v>
      </c>
      <c r="G184" t="str">
        <f t="shared" si="37"/>
        <v>001010</v>
      </c>
      <c r="H184" t="str">
        <f>LOOKUP(E184,Lookups!$A$1:$A$16,Lookups!$B$1:$B$16)</f>
        <v>r</v>
      </c>
      <c r="I184">
        <f t="shared" si="42"/>
        <v>46</v>
      </c>
      <c r="J184">
        <f t="shared" si="43"/>
        <v>10</v>
      </c>
      <c r="K184">
        <f t="shared" si="38"/>
        <v>2954</v>
      </c>
      <c r="M184" t="b">
        <f t="shared" si="44"/>
        <v>0</v>
      </c>
      <c r="N184" t="b">
        <f t="shared" si="45"/>
        <v>1</v>
      </c>
      <c r="O184" t="b">
        <f t="shared" si="46"/>
        <v>0</v>
      </c>
      <c r="P184" t="b">
        <f t="shared" si="47"/>
        <v>0</v>
      </c>
      <c r="Q184" t="b">
        <f t="shared" si="48"/>
        <v>0</v>
      </c>
      <c r="R184" t="b">
        <f t="shared" si="49"/>
        <v>1</v>
      </c>
      <c r="S184" t="b">
        <f t="shared" si="50"/>
        <v>0</v>
      </c>
      <c r="T184" t="b">
        <f t="shared" si="51"/>
        <v>0</v>
      </c>
      <c r="U184" t="b">
        <f t="shared" si="52"/>
        <v>0</v>
      </c>
      <c r="V184" t="b">
        <f t="shared" si="53"/>
        <v>0</v>
      </c>
    </row>
    <row r="185" spans="1:22" x14ac:dyDescent="0.35">
      <c r="A185" s="2">
        <v>3063</v>
      </c>
      <c r="B185" s="2">
        <f t="shared" si="39"/>
        <v>47</v>
      </c>
      <c r="C185" s="2">
        <f t="shared" si="40"/>
        <v>55</v>
      </c>
      <c r="D185" s="1" t="s">
        <v>24</v>
      </c>
      <c r="E185" t="str">
        <f t="shared" si="41"/>
        <v>1010</v>
      </c>
      <c r="F185" t="str">
        <f t="shared" si="36"/>
        <v>101110</v>
      </c>
      <c r="G185" t="str">
        <f t="shared" si="37"/>
        <v>011010</v>
      </c>
      <c r="H185" t="str">
        <f>LOOKUP(E185,Lookups!$A$1:$A$16,Lookups!$B$1:$B$16)</f>
        <v>u</v>
      </c>
      <c r="I185">
        <f t="shared" si="42"/>
        <v>46</v>
      </c>
      <c r="J185">
        <f t="shared" si="43"/>
        <v>26</v>
      </c>
      <c r="K185">
        <f t="shared" si="38"/>
        <v>2970</v>
      </c>
      <c r="M185" t="b">
        <f t="shared" si="44"/>
        <v>0</v>
      </c>
      <c r="N185" t="b">
        <f t="shared" si="45"/>
        <v>1</v>
      </c>
      <c r="O185" t="b">
        <f t="shared" si="46"/>
        <v>0</v>
      </c>
      <c r="P185" t="b">
        <f t="shared" si="47"/>
        <v>0</v>
      </c>
      <c r="Q185" t="b">
        <f t="shared" si="48"/>
        <v>0</v>
      </c>
      <c r="R185" t="b">
        <f t="shared" si="49"/>
        <v>1</v>
      </c>
      <c r="S185" t="b">
        <f t="shared" si="50"/>
        <v>0</v>
      </c>
      <c r="T185" t="b">
        <f t="shared" si="51"/>
        <v>0</v>
      </c>
      <c r="U185" t="b">
        <f t="shared" si="52"/>
        <v>0</v>
      </c>
      <c r="V185" t="b">
        <f t="shared" si="53"/>
        <v>0</v>
      </c>
    </row>
    <row r="186" spans="1:22" x14ac:dyDescent="0.35">
      <c r="A186" s="2">
        <v>3064</v>
      </c>
      <c r="B186" s="2">
        <f t="shared" si="39"/>
        <v>47</v>
      </c>
      <c r="C186" s="2">
        <f t="shared" si="40"/>
        <v>56</v>
      </c>
      <c r="D186" s="1" t="s">
        <v>136</v>
      </c>
      <c r="E186" t="str">
        <f t="shared" si="41"/>
        <v>1011</v>
      </c>
      <c r="F186" t="str">
        <f t="shared" si="36"/>
        <v>101111</v>
      </c>
      <c r="G186" t="str">
        <f t="shared" si="37"/>
        <v>010011</v>
      </c>
      <c r="H186" t="str">
        <f>LOOKUP(E186,Lookups!$A$1:$A$16,Lookups!$B$1:$B$16)</f>
        <v>t</v>
      </c>
      <c r="I186">
        <f t="shared" si="42"/>
        <v>47</v>
      </c>
      <c r="J186">
        <f t="shared" si="43"/>
        <v>19</v>
      </c>
      <c r="K186">
        <f t="shared" si="38"/>
        <v>3027</v>
      </c>
      <c r="M186" t="b">
        <f t="shared" si="44"/>
        <v>0</v>
      </c>
      <c r="N186" t="b">
        <f t="shared" si="45"/>
        <v>1</v>
      </c>
      <c r="O186" t="b">
        <f t="shared" si="46"/>
        <v>0</v>
      </c>
      <c r="P186" t="b">
        <f t="shared" si="47"/>
        <v>0</v>
      </c>
      <c r="Q186" t="b">
        <f t="shared" si="48"/>
        <v>0</v>
      </c>
      <c r="R186" t="b">
        <f t="shared" si="49"/>
        <v>1</v>
      </c>
      <c r="S186" t="b">
        <f t="shared" si="50"/>
        <v>0</v>
      </c>
      <c r="T186" t="b">
        <f t="shared" si="51"/>
        <v>0</v>
      </c>
      <c r="U186" t="b">
        <f t="shared" si="52"/>
        <v>1</v>
      </c>
      <c r="V186" t="b">
        <f t="shared" si="53"/>
        <v>0</v>
      </c>
    </row>
    <row r="187" spans="1:22" x14ac:dyDescent="0.35">
      <c r="A187" s="2">
        <v>3065</v>
      </c>
      <c r="B187" s="2">
        <f t="shared" si="39"/>
        <v>47</v>
      </c>
      <c r="C187" s="2">
        <f t="shared" si="40"/>
        <v>57</v>
      </c>
      <c r="D187" s="1" t="s">
        <v>109</v>
      </c>
      <c r="E187" t="str">
        <f t="shared" si="41"/>
        <v>1110</v>
      </c>
      <c r="F187" t="str">
        <f t="shared" si="36"/>
        <v>110010</v>
      </c>
      <c r="G187" t="str">
        <f t="shared" si="37"/>
        <v>011101</v>
      </c>
      <c r="H187" t="str">
        <f>LOOKUP(E187,Lookups!$A$1:$A$16,Lookups!$B$1:$B$16)</f>
        <v>a</v>
      </c>
      <c r="I187">
        <f t="shared" si="42"/>
        <v>50</v>
      </c>
      <c r="J187">
        <f t="shared" si="43"/>
        <v>29</v>
      </c>
      <c r="K187">
        <f t="shared" si="38"/>
        <v>3229</v>
      </c>
      <c r="M187" t="b">
        <f t="shared" si="44"/>
        <v>0</v>
      </c>
      <c r="N187" t="b">
        <f t="shared" si="45"/>
        <v>1</v>
      </c>
      <c r="O187" t="b">
        <f t="shared" si="46"/>
        <v>0</v>
      </c>
      <c r="P187" t="b">
        <f t="shared" si="47"/>
        <v>0</v>
      </c>
      <c r="Q187" t="b">
        <f t="shared" si="48"/>
        <v>0</v>
      </c>
      <c r="R187" t="b">
        <f t="shared" si="49"/>
        <v>1</v>
      </c>
      <c r="S187" t="b">
        <f t="shared" si="50"/>
        <v>0</v>
      </c>
      <c r="T187" t="b">
        <f t="shared" si="51"/>
        <v>0</v>
      </c>
      <c r="U187" t="b">
        <f t="shared" si="52"/>
        <v>0</v>
      </c>
      <c r="V187" t="b">
        <f t="shared" si="53"/>
        <v>0</v>
      </c>
    </row>
    <row r="188" spans="1:22" x14ac:dyDescent="0.35">
      <c r="A188" s="2">
        <v>3066</v>
      </c>
      <c r="B188" s="2">
        <f t="shared" si="39"/>
        <v>47</v>
      </c>
      <c r="C188" s="2">
        <f t="shared" si="40"/>
        <v>58</v>
      </c>
      <c r="D188" s="1" t="s">
        <v>110</v>
      </c>
      <c r="E188" t="str">
        <f t="shared" si="41"/>
        <v>1100</v>
      </c>
      <c r="F188" t="str">
        <f t="shared" si="36"/>
        <v>110010</v>
      </c>
      <c r="G188" t="str">
        <f t="shared" si="37"/>
        <v>011101</v>
      </c>
      <c r="H188" t="str">
        <f>LOOKUP(E188,Lookups!$A$1:$A$16,Lookups!$B$1:$B$16)</f>
        <v>h</v>
      </c>
      <c r="I188">
        <f t="shared" si="42"/>
        <v>50</v>
      </c>
      <c r="J188">
        <f t="shared" si="43"/>
        <v>29</v>
      </c>
      <c r="K188">
        <f t="shared" si="38"/>
        <v>3229</v>
      </c>
      <c r="M188" t="b">
        <f t="shared" si="44"/>
        <v>0</v>
      </c>
      <c r="N188" t="b">
        <f t="shared" si="45"/>
        <v>1</v>
      </c>
      <c r="O188" t="b">
        <f t="shared" si="46"/>
        <v>0</v>
      </c>
      <c r="P188" t="b">
        <f t="shared" si="47"/>
        <v>0</v>
      </c>
      <c r="Q188" t="b">
        <f t="shared" si="48"/>
        <v>0</v>
      </c>
      <c r="R188" t="b">
        <f t="shared" si="49"/>
        <v>1</v>
      </c>
      <c r="S188" t="b">
        <f t="shared" si="50"/>
        <v>0</v>
      </c>
      <c r="T188" t="b">
        <f t="shared" si="51"/>
        <v>0</v>
      </c>
      <c r="U188" t="b">
        <f t="shared" si="52"/>
        <v>1</v>
      </c>
      <c r="V188" t="b">
        <f t="shared" si="53"/>
        <v>0</v>
      </c>
    </row>
    <row r="189" spans="1:22" x14ac:dyDescent="0.35">
      <c r="A189" s="2">
        <v>3067</v>
      </c>
      <c r="B189" s="2">
        <f t="shared" si="39"/>
        <v>47</v>
      </c>
      <c r="C189" s="2">
        <f t="shared" si="40"/>
        <v>59</v>
      </c>
      <c r="D189" s="1" t="s">
        <v>102</v>
      </c>
      <c r="E189" t="str">
        <f t="shared" si="41"/>
        <v>1001</v>
      </c>
      <c r="F189" t="str">
        <f t="shared" si="36"/>
        <v>101101</v>
      </c>
      <c r="G189" t="str">
        <f t="shared" si="37"/>
        <v>111110</v>
      </c>
      <c r="H189" t="str">
        <f>LOOKUP(E189,Lookups!$A$1:$A$16,Lookups!$B$1:$B$16)</f>
        <v>e</v>
      </c>
      <c r="I189">
        <f t="shared" si="42"/>
        <v>45</v>
      </c>
      <c r="J189">
        <f t="shared" si="43"/>
        <v>62</v>
      </c>
      <c r="K189">
        <f t="shared" si="38"/>
        <v>2942</v>
      </c>
      <c r="M189" t="b">
        <f t="shared" si="44"/>
        <v>0</v>
      </c>
      <c r="N189" t="b">
        <f t="shared" si="45"/>
        <v>1</v>
      </c>
      <c r="O189" t="b">
        <f t="shared" si="46"/>
        <v>0</v>
      </c>
      <c r="P189" t="b">
        <f t="shared" si="47"/>
        <v>0</v>
      </c>
      <c r="Q189" t="b">
        <f t="shared" si="48"/>
        <v>0</v>
      </c>
      <c r="R189" t="b">
        <f t="shared" si="49"/>
        <v>1</v>
      </c>
      <c r="S189" t="b">
        <f t="shared" si="50"/>
        <v>0</v>
      </c>
      <c r="T189" t="b">
        <f t="shared" si="51"/>
        <v>0</v>
      </c>
      <c r="U189" t="b">
        <f t="shared" si="52"/>
        <v>0</v>
      </c>
      <c r="V189" t="b">
        <f t="shared" si="53"/>
        <v>0</v>
      </c>
    </row>
    <row r="190" spans="1:22" x14ac:dyDescent="0.35">
      <c r="A190" s="2">
        <v>3068</v>
      </c>
      <c r="B190" s="2">
        <f t="shared" si="39"/>
        <v>47</v>
      </c>
      <c r="C190" s="2">
        <f t="shared" si="40"/>
        <v>60</v>
      </c>
      <c r="D190" s="1" t="s">
        <v>103</v>
      </c>
      <c r="E190" t="str">
        <f t="shared" si="41"/>
        <v>1111</v>
      </c>
      <c r="F190" t="str">
        <f t="shared" si="36"/>
        <v>101110</v>
      </c>
      <c r="G190" t="str">
        <f t="shared" si="37"/>
        <v>101001</v>
      </c>
      <c r="H190" t="str">
        <f>LOOKUP(E190,Lookups!$A$1:$A$16,Lookups!$B$1:$B$16)</f>
        <v>s</v>
      </c>
      <c r="I190">
        <f t="shared" si="42"/>
        <v>46</v>
      </c>
      <c r="J190">
        <f t="shared" si="43"/>
        <v>41</v>
      </c>
      <c r="K190">
        <f t="shared" si="38"/>
        <v>2985</v>
      </c>
      <c r="M190" t="b">
        <f t="shared" si="44"/>
        <v>0</v>
      </c>
      <c r="N190" t="b">
        <f t="shared" si="45"/>
        <v>1</v>
      </c>
      <c r="O190" t="b">
        <f t="shared" si="46"/>
        <v>0</v>
      </c>
      <c r="P190" t="b">
        <f t="shared" si="47"/>
        <v>0</v>
      </c>
      <c r="Q190" t="b">
        <f t="shared" si="48"/>
        <v>0</v>
      </c>
      <c r="R190" t="b">
        <f t="shared" si="49"/>
        <v>1</v>
      </c>
      <c r="S190" t="b">
        <f t="shared" si="50"/>
        <v>0</v>
      </c>
      <c r="T190" t="b">
        <f t="shared" si="51"/>
        <v>0</v>
      </c>
      <c r="U190" t="b">
        <f t="shared" si="52"/>
        <v>0</v>
      </c>
      <c r="V190" t="b">
        <f t="shared" si="53"/>
        <v>0</v>
      </c>
    </row>
    <row r="191" spans="1:22" x14ac:dyDescent="0.35">
      <c r="A191" s="2">
        <v>3069</v>
      </c>
      <c r="B191" s="2">
        <f t="shared" si="39"/>
        <v>47</v>
      </c>
      <c r="C191" s="2">
        <f t="shared" si="40"/>
        <v>61</v>
      </c>
      <c r="D191" s="1" t="s">
        <v>137</v>
      </c>
      <c r="E191" t="str">
        <f t="shared" si="41"/>
        <v>1011</v>
      </c>
      <c r="F191" t="str">
        <f t="shared" si="36"/>
        <v>110000</v>
      </c>
      <c r="G191" t="str">
        <f t="shared" si="37"/>
        <v>000001</v>
      </c>
      <c r="H191" t="str">
        <f>LOOKUP(E191,Lookups!$A$1:$A$16,Lookups!$B$1:$B$16)</f>
        <v>t</v>
      </c>
      <c r="I191">
        <f t="shared" si="42"/>
        <v>48</v>
      </c>
      <c r="J191">
        <f t="shared" si="43"/>
        <v>1</v>
      </c>
      <c r="K191">
        <f t="shared" si="38"/>
        <v>3073</v>
      </c>
      <c r="M191" t="b">
        <f t="shared" si="44"/>
        <v>0</v>
      </c>
      <c r="N191" t="b">
        <f t="shared" si="45"/>
        <v>1</v>
      </c>
      <c r="O191" t="b">
        <f t="shared" si="46"/>
        <v>0</v>
      </c>
      <c r="P191" t="b">
        <f t="shared" si="47"/>
        <v>0</v>
      </c>
      <c r="Q191" t="b">
        <f t="shared" si="48"/>
        <v>0</v>
      </c>
      <c r="R191" t="b">
        <f t="shared" si="49"/>
        <v>1</v>
      </c>
      <c r="S191" t="b">
        <f t="shared" si="50"/>
        <v>0</v>
      </c>
      <c r="T191" t="b">
        <f t="shared" si="51"/>
        <v>0</v>
      </c>
      <c r="U191" t="b">
        <f t="shared" si="52"/>
        <v>0</v>
      </c>
      <c r="V191" t="b">
        <f t="shared" si="53"/>
        <v>0</v>
      </c>
    </row>
    <row r="192" spans="1:22" x14ac:dyDescent="0.35">
      <c r="A192" s="2">
        <v>3070</v>
      </c>
      <c r="B192" s="2">
        <f t="shared" si="39"/>
        <v>47</v>
      </c>
      <c r="C192" s="2">
        <f t="shared" si="40"/>
        <v>62</v>
      </c>
      <c r="D192" s="1" t="s">
        <v>92</v>
      </c>
      <c r="E192" t="str">
        <f t="shared" si="41"/>
        <v>1000</v>
      </c>
      <c r="F192" t="str">
        <f t="shared" si="36"/>
        <v>001100</v>
      </c>
      <c r="G192" t="str">
        <f t="shared" si="37"/>
        <v>000000</v>
      </c>
      <c r="H192" t="str">
        <f>LOOKUP(E192,Lookups!$A$1:$A$16,Lookups!$B$1:$B$16)</f>
        <v>p</v>
      </c>
      <c r="I192">
        <f t="shared" si="42"/>
        <v>12</v>
      </c>
      <c r="J192">
        <f t="shared" si="43"/>
        <v>0</v>
      </c>
      <c r="K192">
        <f t="shared" si="38"/>
        <v>768</v>
      </c>
      <c r="M192" t="b">
        <f t="shared" si="44"/>
        <v>0</v>
      </c>
      <c r="N192" t="b">
        <f t="shared" si="45"/>
        <v>1</v>
      </c>
      <c r="O192" t="b">
        <f t="shared" si="46"/>
        <v>0</v>
      </c>
      <c r="P192" t="b">
        <f t="shared" si="47"/>
        <v>0</v>
      </c>
      <c r="Q192" t="b">
        <f t="shared" si="48"/>
        <v>0</v>
      </c>
      <c r="R192" t="b">
        <f t="shared" si="49"/>
        <v>0</v>
      </c>
      <c r="S192" t="b">
        <f t="shared" si="50"/>
        <v>0</v>
      </c>
      <c r="T192" t="b">
        <f t="shared" si="51"/>
        <v>0</v>
      </c>
      <c r="U192" t="b">
        <f t="shared" si="52"/>
        <v>1</v>
      </c>
      <c r="V192" t="b">
        <f t="shared" si="53"/>
        <v>0</v>
      </c>
    </row>
    <row r="193" spans="1:22" x14ac:dyDescent="0.35">
      <c r="A193" s="2">
        <v>3071</v>
      </c>
      <c r="B193" s="2">
        <f t="shared" si="39"/>
        <v>47</v>
      </c>
      <c r="C193" s="2">
        <f t="shared" si="40"/>
        <v>63</v>
      </c>
      <c r="D193" s="1" t="s">
        <v>113</v>
      </c>
      <c r="E193" t="str">
        <f t="shared" si="41"/>
        <v>0001</v>
      </c>
      <c r="F193" t="str">
        <f t="shared" si="36"/>
        <v>110011</v>
      </c>
      <c r="G193" t="str">
        <f t="shared" si="37"/>
        <v>101101</v>
      </c>
      <c r="H193" t="str">
        <f>LOOKUP(E193,Lookups!$A$1:$A$16,Lookups!$B$1:$B$16)</f>
        <v>b</v>
      </c>
      <c r="I193">
        <f t="shared" si="42"/>
        <v>51</v>
      </c>
      <c r="J193">
        <f t="shared" si="43"/>
        <v>45</v>
      </c>
      <c r="K193">
        <f t="shared" si="38"/>
        <v>3309</v>
      </c>
      <c r="M193" t="b">
        <f t="shared" si="44"/>
        <v>0</v>
      </c>
      <c r="N193" t="b">
        <f t="shared" si="45"/>
        <v>1</v>
      </c>
      <c r="O193" t="b">
        <f t="shared" si="46"/>
        <v>0</v>
      </c>
      <c r="P193" t="b">
        <f t="shared" si="47"/>
        <v>0</v>
      </c>
      <c r="Q193" t="b">
        <f t="shared" si="48"/>
        <v>0</v>
      </c>
      <c r="R193" t="b">
        <f t="shared" si="49"/>
        <v>1</v>
      </c>
      <c r="S193" t="b">
        <f t="shared" si="50"/>
        <v>0</v>
      </c>
      <c r="T193" t="b">
        <f t="shared" si="51"/>
        <v>0</v>
      </c>
      <c r="U193" t="b">
        <f t="shared" si="52"/>
        <v>0</v>
      </c>
      <c r="V193" t="b">
        <f t="shared" si="53"/>
        <v>0</v>
      </c>
    </row>
    <row r="194" spans="1:22" x14ac:dyDescent="0.35">
      <c r="A194" s="2">
        <v>3072</v>
      </c>
      <c r="B194" s="2">
        <f t="shared" si="39"/>
        <v>48</v>
      </c>
      <c r="C194" s="2">
        <f t="shared" si="40"/>
        <v>0</v>
      </c>
      <c r="D194" s="1" t="s">
        <v>138</v>
      </c>
      <c r="E194" t="str">
        <f t="shared" si="41"/>
        <v>1010</v>
      </c>
      <c r="F194" t="str">
        <f t="shared" ref="F194:F257" si="54">MID(D194,19,6)</f>
        <v>110000</v>
      </c>
      <c r="G194" t="str">
        <f t="shared" ref="G194:G257" si="55">MID(D194,25,6)</f>
        <v>011101</v>
      </c>
      <c r="H194" t="str">
        <f>LOOKUP(E194,Lookups!$A$1:$A$16,Lookups!$B$1:$B$16)</f>
        <v>u</v>
      </c>
      <c r="I194">
        <f t="shared" si="42"/>
        <v>48</v>
      </c>
      <c r="J194">
        <f t="shared" si="43"/>
        <v>29</v>
      </c>
      <c r="K194">
        <f t="shared" ref="K194:K257" si="56">I194*64+J194</f>
        <v>3101</v>
      </c>
      <c r="M194" t="b">
        <f t="shared" si="44"/>
        <v>0</v>
      </c>
      <c r="N194" t="b">
        <f t="shared" si="45"/>
        <v>1</v>
      </c>
      <c r="O194" t="b">
        <f t="shared" si="46"/>
        <v>0</v>
      </c>
      <c r="P194" t="b">
        <f t="shared" si="47"/>
        <v>0</v>
      </c>
      <c r="Q194" t="b">
        <f t="shared" si="48"/>
        <v>0</v>
      </c>
      <c r="R194" t="b">
        <f t="shared" si="49"/>
        <v>1</v>
      </c>
      <c r="S194" t="b">
        <f t="shared" si="50"/>
        <v>0</v>
      </c>
      <c r="T194" t="b">
        <f t="shared" si="51"/>
        <v>0</v>
      </c>
      <c r="U194" t="b">
        <f t="shared" si="52"/>
        <v>0</v>
      </c>
      <c r="V194" t="b">
        <f t="shared" si="53"/>
        <v>0</v>
      </c>
    </row>
    <row r="195" spans="1:22" x14ac:dyDescent="0.35">
      <c r="A195" s="2">
        <v>3073</v>
      </c>
      <c r="B195" s="2">
        <f t="shared" ref="B195:B258" si="57">QUOTIENT(A195,64)</f>
        <v>48</v>
      </c>
      <c r="C195" s="2">
        <f t="shared" ref="C195:C258" si="58">MOD(A195,64)</f>
        <v>1</v>
      </c>
      <c r="D195" s="1" t="s">
        <v>5</v>
      </c>
      <c r="E195" t="str">
        <f t="shared" ref="E195:E258" si="59">MID(D195,13,4)</f>
        <v>1110</v>
      </c>
      <c r="F195" t="str">
        <f t="shared" si="54"/>
        <v>101110</v>
      </c>
      <c r="G195" t="str">
        <f t="shared" si="55"/>
        <v>111111</v>
      </c>
      <c r="H195" t="str">
        <f>LOOKUP(E195,Lookups!$A$1:$A$16,Lookups!$B$1:$B$16)</f>
        <v>a</v>
      </c>
      <c r="I195">
        <f t="shared" ref="I195:I258" si="60">BIN2DEC(F195)</f>
        <v>46</v>
      </c>
      <c r="J195">
        <f t="shared" ref="J195:J258" si="61">BIN2DEC(G195)</f>
        <v>63</v>
      </c>
      <c r="K195">
        <f t="shared" si="56"/>
        <v>3007</v>
      </c>
      <c r="M195" t="b">
        <f t="shared" ref="M195:M258" si="62">IF(H195="z", TRUE,FALSE)</f>
        <v>0</v>
      </c>
      <c r="N195" t="b">
        <f t="shared" ref="N195:N258" si="63">IF(AND(I195,60),TRUE,FALSE)</f>
        <v>1</v>
      </c>
      <c r="O195" t="b">
        <f t="shared" ref="O195:O258" si="64">IF(AND(M195,N195),TRUE,FALSE)</f>
        <v>0</v>
      </c>
      <c r="P195" t="b">
        <f t="shared" ref="P195:P258" si="65">IF(I195=0,TRUE, FALSE)</f>
        <v>0</v>
      </c>
      <c r="Q195" t="b">
        <f t="shared" ref="Q195:Q258" si="66">IF(AND(M195,P195),TRUE,FALSE)</f>
        <v>0</v>
      </c>
      <c r="R195" t="b">
        <f t="shared" ref="R195:R258" si="67">IF(J195&lt;&gt;0,TRUE,FALSE)</f>
        <v>1</v>
      </c>
      <c r="S195" t="b">
        <f t="shared" ref="S195:S258" si="68">IF(AND(M195,R195),TRUE,FALSE)</f>
        <v>0</v>
      </c>
      <c r="T195" t="b">
        <f t="shared" ref="T195:T258" si="69">IF(AND(OR(O195,Q195),NOT(S195)),TRUE,FALSE)</f>
        <v>0</v>
      </c>
      <c r="U195" t="b">
        <f t="shared" ref="U195:U258" si="70">IF(AND(A195,COUNTIF($K$2:$K$449,A195)),TRUE,FALSE)</f>
        <v>1</v>
      </c>
      <c r="V195" t="b">
        <f t="shared" ref="V195:V258" si="71">IF(AND(T195,U195),TRUE,FALSE)</f>
        <v>0</v>
      </c>
    </row>
    <row r="196" spans="1:22" x14ac:dyDescent="0.35">
      <c r="A196" s="2">
        <v>3074</v>
      </c>
      <c r="B196" s="2">
        <f t="shared" si="57"/>
        <v>48</v>
      </c>
      <c r="C196" s="2">
        <f t="shared" si="58"/>
        <v>2</v>
      </c>
      <c r="D196" s="1" t="s">
        <v>139</v>
      </c>
      <c r="E196" t="str">
        <f t="shared" si="59"/>
        <v>1011</v>
      </c>
      <c r="F196" t="str">
        <f t="shared" si="54"/>
        <v>110000</v>
      </c>
      <c r="G196" t="str">
        <f t="shared" si="55"/>
        <v>000100</v>
      </c>
      <c r="H196" t="str">
        <f>LOOKUP(E196,Lookups!$A$1:$A$16,Lookups!$B$1:$B$16)</f>
        <v>t</v>
      </c>
      <c r="I196">
        <f t="shared" si="60"/>
        <v>48</v>
      </c>
      <c r="J196">
        <f t="shared" si="61"/>
        <v>4</v>
      </c>
      <c r="K196">
        <f t="shared" si="56"/>
        <v>3076</v>
      </c>
      <c r="M196" t="b">
        <f t="shared" si="62"/>
        <v>0</v>
      </c>
      <c r="N196" t="b">
        <f t="shared" si="63"/>
        <v>1</v>
      </c>
      <c r="O196" t="b">
        <f t="shared" si="64"/>
        <v>0</v>
      </c>
      <c r="P196" t="b">
        <f t="shared" si="65"/>
        <v>0</v>
      </c>
      <c r="Q196" t="b">
        <f t="shared" si="66"/>
        <v>0</v>
      </c>
      <c r="R196" t="b">
        <f t="shared" si="67"/>
        <v>1</v>
      </c>
      <c r="S196" t="b">
        <f t="shared" si="68"/>
        <v>0</v>
      </c>
      <c r="T196" t="b">
        <f t="shared" si="69"/>
        <v>0</v>
      </c>
      <c r="U196" t="b">
        <f t="shared" si="70"/>
        <v>0</v>
      </c>
      <c r="V196" t="b">
        <f t="shared" si="71"/>
        <v>0</v>
      </c>
    </row>
    <row r="197" spans="1:22" x14ac:dyDescent="0.35">
      <c r="A197" s="2">
        <v>3075</v>
      </c>
      <c r="B197" s="2">
        <f t="shared" si="57"/>
        <v>48</v>
      </c>
      <c r="C197" s="2">
        <f t="shared" si="58"/>
        <v>3</v>
      </c>
      <c r="D197" s="1" t="s">
        <v>112</v>
      </c>
      <c r="E197" t="str">
        <f t="shared" si="59"/>
        <v>1010</v>
      </c>
      <c r="F197" t="str">
        <f t="shared" si="54"/>
        <v>101111</v>
      </c>
      <c r="G197" t="str">
        <f t="shared" si="55"/>
        <v>111110</v>
      </c>
      <c r="H197" t="str">
        <f>LOOKUP(E197,Lookups!$A$1:$A$16,Lookups!$B$1:$B$16)</f>
        <v>u</v>
      </c>
      <c r="I197">
        <f t="shared" si="60"/>
        <v>47</v>
      </c>
      <c r="J197">
        <f t="shared" si="61"/>
        <v>62</v>
      </c>
      <c r="K197">
        <f t="shared" si="56"/>
        <v>3070</v>
      </c>
      <c r="M197" t="b">
        <f t="shared" si="62"/>
        <v>0</v>
      </c>
      <c r="N197" t="b">
        <f t="shared" si="63"/>
        <v>1</v>
      </c>
      <c r="O197" t="b">
        <f t="shared" si="64"/>
        <v>0</v>
      </c>
      <c r="P197" t="b">
        <f t="shared" si="65"/>
        <v>0</v>
      </c>
      <c r="Q197" t="b">
        <f t="shared" si="66"/>
        <v>0</v>
      </c>
      <c r="R197" t="b">
        <f t="shared" si="67"/>
        <v>1</v>
      </c>
      <c r="S197" t="b">
        <f t="shared" si="68"/>
        <v>0</v>
      </c>
      <c r="T197" t="b">
        <f t="shared" si="69"/>
        <v>0</v>
      </c>
      <c r="U197" t="b">
        <f t="shared" si="70"/>
        <v>0</v>
      </c>
      <c r="V197" t="b">
        <f t="shared" si="71"/>
        <v>0</v>
      </c>
    </row>
    <row r="198" spans="1:22" x14ac:dyDescent="0.35">
      <c r="A198" s="2">
        <v>3076</v>
      </c>
      <c r="B198" s="2">
        <f t="shared" si="57"/>
        <v>48</v>
      </c>
      <c r="C198" s="2">
        <f t="shared" si="58"/>
        <v>4</v>
      </c>
      <c r="D198" s="1" t="s">
        <v>14</v>
      </c>
      <c r="E198" t="str">
        <f t="shared" si="59"/>
        <v>1110</v>
      </c>
      <c r="F198" t="str">
        <f t="shared" si="54"/>
        <v>101110</v>
      </c>
      <c r="G198" t="str">
        <f t="shared" si="55"/>
        <v>100011</v>
      </c>
      <c r="H198" t="str">
        <f>LOOKUP(E198,Lookups!$A$1:$A$16,Lookups!$B$1:$B$16)</f>
        <v>a</v>
      </c>
      <c r="I198">
        <f t="shared" si="60"/>
        <v>46</v>
      </c>
      <c r="J198">
        <f t="shared" si="61"/>
        <v>35</v>
      </c>
      <c r="K198">
        <f t="shared" si="56"/>
        <v>2979</v>
      </c>
      <c r="M198" t="b">
        <f t="shared" si="62"/>
        <v>0</v>
      </c>
      <c r="N198" t="b">
        <f t="shared" si="63"/>
        <v>1</v>
      </c>
      <c r="O198" t="b">
        <f t="shared" si="64"/>
        <v>0</v>
      </c>
      <c r="P198" t="b">
        <f t="shared" si="65"/>
        <v>0</v>
      </c>
      <c r="Q198" t="b">
        <f t="shared" si="66"/>
        <v>0</v>
      </c>
      <c r="R198" t="b">
        <f t="shared" si="67"/>
        <v>1</v>
      </c>
      <c r="S198" t="b">
        <f t="shared" si="68"/>
        <v>0</v>
      </c>
      <c r="T198" t="b">
        <f t="shared" si="69"/>
        <v>0</v>
      </c>
      <c r="U198" t="b">
        <f t="shared" si="70"/>
        <v>1</v>
      </c>
      <c r="V198" t="b">
        <f t="shared" si="71"/>
        <v>0</v>
      </c>
    </row>
    <row r="199" spans="1:22" x14ac:dyDescent="0.35">
      <c r="A199" s="2">
        <v>3077</v>
      </c>
      <c r="B199" s="2">
        <f t="shared" si="57"/>
        <v>48</v>
      </c>
      <c r="C199" s="2">
        <f t="shared" si="58"/>
        <v>5</v>
      </c>
      <c r="D199" s="1" t="s">
        <v>140</v>
      </c>
      <c r="E199" t="str">
        <f t="shared" si="59"/>
        <v>1011</v>
      </c>
      <c r="F199" t="str">
        <f t="shared" si="54"/>
        <v>110000</v>
      </c>
      <c r="G199" t="str">
        <f t="shared" si="55"/>
        <v>001111</v>
      </c>
      <c r="H199" t="str">
        <f>LOOKUP(E199,Lookups!$A$1:$A$16,Lookups!$B$1:$B$16)</f>
        <v>t</v>
      </c>
      <c r="I199">
        <f t="shared" si="60"/>
        <v>48</v>
      </c>
      <c r="J199">
        <f t="shared" si="61"/>
        <v>15</v>
      </c>
      <c r="K199">
        <f t="shared" si="56"/>
        <v>3087</v>
      </c>
      <c r="M199" t="b">
        <f t="shared" si="62"/>
        <v>0</v>
      </c>
      <c r="N199" t="b">
        <f t="shared" si="63"/>
        <v>1</v>
      </c>
      <c r="O199" t="b">
        <f t="shared" si="64"/>
        <v>0</v>
      </c>
      <c r="P199" t="b">
        <f t="shared" si="65"/>
        <v>0</v>
      </c>
      <c r="Q199" t="b">
        <f t="shared" si="66"/>
        <v>0</v>
      </c>
      <c r="R199" t="b">
        <f t="shared" si="67"/>
        <v>1</v>
      </c>
      <c r="S199" t="b">
        <f t="shared" si="68"/>
        <v>0</v>
      </c>
      <c r="T199" t="b">
        <f t="shared" si="69"/>
        <v>0</v>
      </c>
      <c r="U199" t="b">
        <f t="shared" si="70"/>
        <v>0</v>
      </c>
      <c r="V199" t="b">
        <f t="shared" si="71"/>
        <v>0</v>
      </c>
    </row>
    <row r="200" spans="1:22" x14ac:dyDescent="0.35">
      <c r="A200" s="2">
        <v>3078</v>
      </c>
      <c r="B200" s="2">
        <f t="shared" si="57"/>
        <v>48</v>
      </c>
      <c r="C200" s="2">
        <f t="shared" si="58"/>
        <v>6</v>
      </c>
      <c r="D200" s="1" t="s">
        <v>9</v>
      </c>
      <c r="E200" t="str">
        <f t="shared" si="59"/>
        <v>0011</v>
      </c>
      <c r="F200" t="str">
        <f t="shared" si="54"/>
        <v>110010</v>
      </c>
      <c r="G200" t="str">
        <f t="shared" si="55"/>
        <v>111100</v>
      </c>
      <c r="H200" t="str">
        <f>LOOKUP(E200,Lookups!$A$1:$A$16,Lookups!$B$1:$B$16)</f>
        <v>r</v>
      </c>
      <c r="I200">
        <f t="shared" si="60"/>
        <v>50</v>
      </c>
      <c r="J200">
        <f t="shared" si="61"/>
        <v>60</v>
      </c>
      <c r="K200">
        <f t="shared" si="56"/>
        <v>3260</v>
      </c>
      <c r="M200" t="b">
        <f t="shared" si="62"/>
        <v>0</v>
      </c>
      <c r="N200" t="b">
        <f t="shared" si="63"/>
        <v>1</v>
      </c>
      <c r="O200" t="b">
        <f t="shared" si="64"/>
        <v>0</v>
      </c>
      <c r="P200" t="b">
        <f t="shared" si="65"/>
        <v>0</v>
      </c>
      <c r="Q200" t="b">
        <f t="shared" si="66"/>
        <v>0</v>
      </c>
      <c r="R200" t="b">
        <f t="shared" si="67"/>
        <v>1</v>
      </c>
      <c r="S200" t="b">
        <f t="shared" si="68"/>
        <v>0</v>
      </c>
      <c r="T200" t="b">
        <f t="shared" si="69"/>
        <v>0</v>
      </c>
      <c r="U200" t="b">
        <f t="shared" si="70"/>
        <v>0</v>
      </c>
      <c r="V200" t="b">
        <f t="shared" si="71"/>
        <v>0</v>
      </c>
    </row>
    <row r="201" spans="1:22" x14ac:dyDescent="0.35">
      <c r="A201" s="2">
        <v>3079</v>
      </c>
      <c r="B201" s="2">
        <f t="shared" si="57"/>
        <v>48</v>
      </c>
      <c r="C201" s="2">
        <f t="shared" si="58"/>
        <v>7</v>
      </c>
      <c r="D201" s="1" t="s">
        <v>10</v>
      </c>
      <c r="E201" t="str">
        <f t="shared" si="59"/>
        <v>1010</v>
      </c>
      <c r="F201" t="str">
        <f t="shared" si="54"/>
        <v>110010</v>
      </c>
      <c r="G201" t="str">
        <f t="shared" si="55"/>
        <v>110110</v>
      </c>
      <c r="H201" t="str">
        <f>LOOKUP(E201,Lookups!$A$1:$A$16,Lookups!$B$1:$B$16)</f>
        <v>u</v>
      </c>
      <c r="I201">
        <f t="shared" si="60"/>
        <v>50</v>
      </c>
      <c r="J201">
        <f t="shared" si="61"/>
        <v>54</v>
      </c>
      <c r="K201">
        <f t="shared" si="56"/>
        <v>3254</v>
      </c>
      <c r="M201" t="b">
        <f t="shared" si="62"/>
        <v>0</v>
      </c>
      <c r="N201" t="b">
        <f t="shared" si="63"/>
        <v>1</v>
      </c>
      <c r="O201" t="b">
        <f t="shared" si="64"/>
        <v>0</v>
      </c>
      <c r="P201" t="b">
        <f t="shared" si="65"/>
        <v>0</v>
      </c>
      <c r="Q201" t="b">
        <f t="shared" si="66"/>
        <v>0</v>
      </c>
      <c r="R201" t="b">
        <f t="shared" si="67"/>
        <v>1</v>
      </c>
      <c r="S201" t="b">
        <f t="shared" si="68"/>
        <v>0</v>
      </c>
      <c r="T201" t="b">
        <f t="shared" si="69"/>
        <v>0</v>
      </c>
      <c r="U201" t="b">
        <f t="shared" si="70"/>
        <v>0</v>
      </c>
      <c r="V201" t="b">
        <f t="shared" si="71"/>
        <v>0</v>
      </c>
    </row>
    <row r="202" spans="1:22" x14ac:dyDescent="0.35">
      <c r="A202" s="2">
        <v>3080</v>
      </c>
      <c r="B202" s="2">
        <f t="shared" si="57"/>
        <v>48</v>
      </c>
      <c r="C202" s="2">
        <f t="shared" si="58"/>
        <v>8</v>
      </c>
      <c r="D202" s="1" t="s">
        <v>141</v>
      </c>
      <c r="E202" t="str">
        <f t="shared" si="59"/>
        <v>1001</v>
      </c>
      <c r="F202" t="str">
        <f t="shared" si="54"/>
        <v>101111</v>
      </c>
      <c r="G202" t="str">
        <f t="shared" si="55"/>
        <v>100101</v>
      </c>
      <c r="H202" t="str">
        <f>LOOKUP(E202,Lookups!$A$1:$A$16,Lookups!$B$1:$B$16)</f>
        <v>e</v>
      </c>
      <c r="I202">
        <f t="shared" si="60"/>
        <v>47</v>
      </c>
      <c r="J202">
        <f t="shared" si="61"/>
        <v>37</v>
      </c>
      <c r="K202">
        <f t="shared" si="56"/>
        <v>3045</v>
      </c>
      <c r="M202" t="b">
        <f t="shared" si="62"/>
        <v>0</v>
      </c>
      <c r="N202" t="b">
        <f t="shared" si="63"/>
        <v>1</v>
      </c>
      <c r="O202" t="b">
        <f t="shared" si="64"/>
        <v>0</v>
      </c>
      <c r="P202" t="b">
        <f t="shared" si="65"/>
        <v>0</v>
      </c>
      <c r="Q202" t="b">
        <f t="shared" si="66"/>
        <v>0</v>
      </c>
      <c r="R202" t="b">
        <f t="shared" si="67"/>
        <v>1</v>
      </c>
      <c r="S202" t="b">
        <f t="shared" si="68"/>
        <v>0</v>
      </c>
      <c r="T202" t="b">
        <f t="shared" si="69"/>
        <v>0</v>
      </c>
      <c r="U202" t="b">
        <f t="shared" si="70"/>
        <v>0</v>
      </c>
      <c r="V202" t="b">
        <f t="shared" si="71"/>
        <v>0</v>
      </c>
    </row>
    <row r="203" spans="1:22" x14ac:dyDescent="0.35">
      <c r="A203" s="2">
        <v>3081</v>
      </c>
      <c r="B203" s="2">
        <f t="shared" si="57"/>
        <v>48</v>
      </c>
      <c r="C203" s="2">
        <f t="shared" si="58"/>
        <v>9</v>
      </c>
      <c r="D203" s="1" t="s">
        <v>132</v>
      </c>
      <c r="E203" t="str">
        <f t="shared" si="59"/>
        <v>1111</v>
      </c>
      <c r="F203" t="str">
        <f t="shared" si="54"/>
        <v>101111</v>
      </c>
      <c r="G203" t="str">
        <f t="shared" si="55"/>
        <v>100101</v>
      </c>
      <c r="H203" t="str">
        <f>LOOKUP(E203,Lookups!$A$1:$A$16,Lookups!$B$1:$B$16)</f>
        <v>s</v>
      </c>
      <c r="I203">
        <f t="shared" si="60"/>
        <v>47</v>
      </c>
      <c r="J203">
        <f t="shared" si="61"/>
        <v>37</v>
      </c>
      <c r="K203">
        <f t="shared" si="56"/>
        <v>3045</v>
      </c>
      <c r="M203" t="b">
        <f t="shared" si="62"/>
        <v>0</v>
      </c>
      <c r="N203" t="b">
        <f t="shared" si="63"/>
        <v>1</v>
      </c>
      <c r="O203" t="b">
        <f t="shared" si="64"/>
        <v>0</v>
      </c>
      <c r="P203" t="b">
        <f t="shared" si="65"/>
        <v>0</v>
      </c>
      <c r="Q203" t="b">
        <f t="shared" si="66"/>
        <v>0</v>
      </c>
      <c r="R203" t="b">
        <f t="shared" si="67"/>
        <v>1</v>
      </c>
      <c r="S203" t="b">
        <f t="shared" si="68"/>
        <v>0</v>
      </c>
      <c r="T203" t="b">
        <f t="shared" si="69"/>
        <v>0</v>
      </c>
      <c r="U203" t="b">
        <f t="shared" si="70"/>
        <v>0</v>
      </c>
      <c r="V203" t="b">
        <f t="shared" si="71"/>
        <v>0</v>
      </c>
    </row>
    <row r="204" spans="1:22" x14ac:dyDescent="0.35">
      <c r="A204" s="2">
        <v>3082</v>
      </c>
      <c r="B204" s="2">
        <f t="shared" si="57"/>
        <v>48</v>
      </c>
      <c r="C204" s="2">
        <f t="shared" si="58"/>
        <v>10</v>
      </c>
      <c r="D204" s="1" t="s">
        <v>142</v>
      </c>
      <c r="E204" t="str">
        <f t="shared" si="59"/>
        <v>1011</v>
      </c>
      <c r="F204" t="str">
        <f t="shared" si="54"/>
        <v>101111</v>
      </c>
      <c r="G204" t="str">
        <f t="shared" si="55"/>
        <v>111110</v>
      </c>
      <c r="H204" t="str">
        <f>LOOKUP(E204,Lookups!$A$1:$A$16,Lookups!$B$1:$B$16)</f>
        <v>t</v>
      </c>
      <c r="I204">
        <f t="shared" si="60"/>
        <v>47</v>
      </c>
      <c r="J204">
        <f t="shared" si="61"/>
        <v>62</v>
      </c>
      <c r="K204">
        <f t="shared" si="56"/>
        <v>3070</v>
      </c>
      <c r="M204" t="b">
        <f t="shared" si="62"/>
        <v>0</v>
      </c>
      <c r="N204" t="b">
        <f t="shared" si="63"/>
        <v>1</v>
      </c>
      <c r="O204" t="b">
        <f t="shared" si="64"/>
        <v>0</v>
      </c>
      <c r="P204" t="b">
        <f t="shared" si="65"/>
        <v>0</v>
      </c>
      <c r="Q204" t="b">
        <f t="shared" si="66"/>
        <v>0</v>
      </c>
      <c r="R204" t="b">
        <f t="shared" si="67"/>
        <v>1</v>
      </c>
      <c r="S204" t="b">
        <f t="shared" si="68"/>
        <v>0</v>
      </c>
      <c r="T204" t="b">
        <f t="shared" si="69"/>
        <v>0</v>
      </c>
      <c r="U204" t="b">
        <f t="shared" si="70"/>
        <v>0</v>
      </c>
      <c r="V204" t="b">
        <f t="shared" si="71"/>
        <v>0</v>
      </c>
    </row>
    <row r="205" spans="1:22" x14ac:dyDescent="0.35">
      <c r="A205" s="2">
        <v>3083</v>
      </c>
      <c r="B205" s="2">
        <f t="shared" si="57"/>
        <v>48</v>
      </c>
      <c r="C205" s="2">
        <f t="shared" si="58"/>
        <v>11</v>
      </c>
      <c r="D205" s="1" t="s">
        <v>87</v>
      </c>
      <c r="E205" t="str">
        <f t="shared" si="59"/>
        <v>1000</v>
      </c>
      <c r="F205" t="str">
        <f t="shared" si="54"/>
        <v>010000</v>
      </c>
      <c r="G205" t="str">
        <f t="shared" si="55"/>
        <v>000000</v>
      </c>
      <c r="H205" t="str">
        <f>LOOKUP(E205,Lookups!$A$1:$A$16,Lookups!$B$1:$B$16)</f>
        <v>p</v>
      </c>
      <c r="I205">
        <f t="shared" si="60"/>
        <v>16</v>
      </c>
      <c r="J205">
        <f t="shared" si="61"/>
        <v>0</v>
      </c>
      <c r="K205">
        <f t="shared" si="56"/>
        <v>1024</v>
      </c>
      <c r="M205" t="b">
        <f t="shared" si="62"/>
        <v>0</v>
      </c>
      <c r="N205" t="b">
        <f t="shared" si="63"/>
        <v>1</v>
      </c>
      <c r="O205" t="b">
        <f t="shared" si="64"/>
        <v>0</v>
      </c>
      <c r="P205" t="b">
        <f t="shared" si="65"/>
        <v>0</v>
      </c>
      <c r="Q205" t="b">
        <f t="shared" si="66"/>
        <v>0</v>
      </c>
      <c r="R205" t="b">
        <f t="shared" si="67"/>
        <v>0</v>
      </c>
      <c r="S205" t="b">
        <f t="shared" si="68"/>
        <v>0</v>
      </c>
      <c r="T205" t="b">
        <f t="shared" si="69"/>
        <v>0</v>
      </c>
      <c r="U205" t="b">
        <f t="shared" si="70"/>
        <v>1</v>
      </c>
      <c r="V205" t="b">
        <f t="shared" si="71"/>
        <v>0</v>
      </c>
    </row>
    <row r="206" spans="1:22" x14ac:dyDescent="0.35">
      <c r="A206" s="2">
        <v>3084</v>
      </c>
      <c r="B206" s="2">
        <f t="shared" si="57"/>
        <v>48</v>
      </c>
      <c r="C206" s="2">
        <f t="shared" si="58"/>
        <v>12</v>
      </c>
      <c r="D206" s="1" t="s">
        <v>143</v>
      </c>
      <c r="E206" t="str">
        <f t="shared" si="59"/>
        <v>0000</v>
      </c>
      <c r="F206" t="str">
        <f t="shared" si="54"/>
        <v>000000</v>
      </c>
      <c r="G206" t="str">
        <f t="shared" si="55"/>
        <v>000101</v>
      </c>
      <c r="H206" t="str">
        <f>LOOKUP(E206,Lookups!$A$1:$A$16,Lookups!$B$1:$B$16)</f>
        <v>z</v>
      </c>
      <c r="I206">
        <f t="shared" si="60"/>
        <v>0</v>
      </c>
      <c r="J206">
        <f t="shared" si="61"/>
        <v>5</v>
      </c>
      <c r="K206">
        <f t="shared" si="56"/>
        <v>5</v>
      </c>
      <c r="M206" t="b">
        <f t="shared" si="62"/>
        <v>1</v>
      </c>
      <c r="N206" t="b">
        <f t="shared" si="63"/>
        <v>0</v>
      </c>
      <c r="O206" t="b">
        <f t="shared" si="64"/>
        <v>0</v>
      </c>
      <c r="P206" t="b">
        <f t="shared" si="65"/>
        <v>1</v>
      </c>
      <c r="Q206" t="b">
        <f t="shared" si="66"/>
        <v>1</v>
      </c>
      <c r="R206" t="b">
        <f t="shared" si="67"/>
        <v>1</v>
      </c>
      <c r="S206" t="b">
        <f t="shared" si="68"/>
        <v>1</v>
      </c>
      <c r="T206" t="b">
        <f t="shared" si="69"/>
        <v>0</v>
      </c>
      <c r="U206" t="b">
        <f t="shared" si="70"/>
        <v>1</v>
      </c>
      <c r="V206" t="b">
        <f t="shared" si="71"/>
        <v>0</v>
      </c>
    </row>
    <row r="207" spans="1:22" x14ac:dyDescent="0.35">
      <c r="A207" s="2">
        <v>3085</v>
      </c>
      <c r="B207" s="2">
        <f t="shared" si="57"/>
        <v>48</v>
      </c>
      <c r="C207" s="2">
        <f t="shared" si="58"/>
        <v>13</v>
      </c>
      <c r="D207" s="1" t="s">
        <v>89</v>
      </c>
      <c r="E207" t="str">
        <f t="shared" si="59"/>
        <v>1000</v>
      </c>
      <c r="F207" t="str">
        <f t="shared" si="54"/>
        <v>011000</v>
      </c>
      <c r="G207" t="str">
        <f t="shared" si="55"/>
        <v>000000</v>
      </c>
      <c r="H207" t="str">
        <f>LOOKUP(E207,Lookups!$A$1:$A$16,Lookups!$B$1:$B$16)</f>
        <v>p</v>
      </c>
      <c r="I207">
        <f t="shared" si="60"/>
        <v>24</v>
      </c>
      <c r="J207">
        <f t="shared" si="61"/>
        <v>0</v>
      </c>
      <c r="K207">
        <f t="shared" si="56"/>
        <v>1536</v>
      </c>
      <c r="M207" t="b">
        <f t="shared" si="62"/>
        <v>0</v>
      </c>
      <c r="N207" t="b">
        <f t="shared" si="63"/>
        <v>1</v>
      </c>
      <c r="O207" t="b">
        <f t="shared" si="64"/>
        <v>0</v>
      </c>
      <c r="P207" t="b">
        <f t="shared" si="65"/>
        <v>0</v>
      </c>
      <c r="Q207" t="b">
        <f t="shared" si="66"/>
        <v>0</v>
      </c>
      <c r="R207" t="b">
        <f t="shared" si="67"/>
        <v>0</v>
      </c>
      <c r="S207" t="b">
        <f t="shared" si="68"/>
        <v>0</v>
      </c>
      <c r="T207" t="b">
        <f t="shared" si="69"/>
        <v>0</v>
      </c>
      <c r="U207" t="b">
        <f t="shared" si="70"/>
        <v>0</v>
      </c>
      <c r="V207" t="b">
        <f t="shared" si="71"/>
        <v>0</v>
      </c>
    </row>
    <row r="208" spans="1:22" x14ac:dyDescent="0.35">
      <c r="A208" s="2">
        <v>3086</v>
      </c>
      <c r="B208" s="2">
        <f t="shared" si="57"/>
        <v>48</v>
      </c>
      <c r="C208" s="2">
        <f t="shared" si="58"/>
        <v>14</v>
      </c>
      <c r="D208" s="1" t="s">
        <v>144</v>
      </c>
      <c r="E208" t="str">
        <f t="shared" si="59"/>
        <v>1010</v>
      </c>
      <c r="F208" t="str">
        <f t="shared" si="54"/>
        <v>101111</v>
      </c>
      <c r="G208" t="str">
        <f t="shared" si="55"/>
        <v>110001</v>
      </c>
      <c r="H208" t="str">
        <f>LOOKUP(E208,Lookups!$A$1:$A$16,Lookups!$B$1:$B$16)</f>
        <v>u</v>
      </c>
      <c r="I208">
        <f t="shared" si="60"/>
        <v>47</v>
      </c>
      <c r="J208">
        <f t="shared" si="61"/>
        <v>49</v>
      </c>
      <c r="K208">
        <f t="shared" si="56"/>
        <v>3057</v>
      </c>
      <c r="M208" t="b">
        <f t="shared" si="62"/>
        <v>0</v>
      </c>
      <c r="N208" t="b">
        <f t="shared" si="63"/>
        <v>1</v>
      </c>
      <c r="O208" t="b">
        <f t="shared" si="64"/>
        <v>0</v>
      </c>
      <c r="P208" t="b">
        <f t="shared" si="65"/>
        <v>0</v>
      </c>
      <c r="Q208" t="b">
        <f t="shared" si="66"/>
        <v>0</v>
      </c>
      <c r="R208" t="b">
        <f t="shared" si="67"/>
        <v>1</v>
      </c>
      <c r="S208" t="b">
        <f t="shared" si="68"/>
        <v>0</v>
      </c>
      <c r="T208" t="b">
        <f t="shared" si="69"/>
        <v>0</v>
      </c>
      <c r="U208" t="b">
        <f t="shared" si="70"/>
        <v>0</v>
      </c>
      <c r="V208" t="b">
        <f t="shared" si="71"/>
        <v>0</v>
      </c>
    </row>
    <row r="209" spans="1:22" x14ac:dyDescent="0.35">
      <c r="A209" s="2">
        <v>3087</v>
      </c>
      <c r="B209" s="2">
        <f t="shared" si="57"/>
        <v>48</v>
      </c>
      <c r="C209" s="2">
        <f t="shared" si="58"/>
        <v>15</v>
      </c>
      <c r="D209" s="1" t="s">
        <v>145</v>
      </c>
      <c r="E209" t="str">
        <f t="shared" si="59"/>
        <v>1110</v>
      </c>
      <c r="F209" t="str">
        <f t="shared" si="54"/>
        <v>110000</v>
      </c>
      <c r="G209" t="str">
        <f t="shared" si="55"/>
        <v>001100</v>
      </c>
      <c r="H209" t="str">
        <f>LOOKUP(E209,Lookups!$A$1:$A$16,Lookups!$B$1:$B$16)</f>
        <v>a</v>
      </c>
      <c r="I209">
        <f t="shared" si="60"/>
        <v>48</v>
      </c>
      <c r="J209">
        <f t="shared" si="61"/>
        <v>12</v>
      </c>
      <c r="K209">
        <f t="shared" si="56"/>
        <v>3084</v>
      </c>
      <c r="M209" t="b">
        <f t="shared" si="62"/>
        <v>0</v>
      </c>
      <c r="N209" t="b">
        <f t="shared" si="63"/>
        <v>1</v>
      </c>
      <c r="O209" t="b">
        <f t="shared" si="64"/>
        <v>0</v>
      </c>
      <c r="P209" t="b">
        <f t="shared" si="65"/>
        <v>0</v>
      </c>
      <c r="Q209" t="b">
        <f t="shared" si="66"/>
        <v>0</v>
      </c>
      <c r="R209" t="b">
        <f t="shared" si="67"/>
        <v>1</v>
      </c>
      <c r="S209" t="b">
        <f t="shared" si="68"/>
        <v>0</v>
      </c>
      <c r="T209" t="b">
        <f t="shared" si="69"/>
        <v>0</v>
      </c>
      <c r="U209" t="b">
        <f t="shared" si="70"/>
        <v>1</v>
      </c>
      <c r="V209" t="b">
        <f t="shared" si="71"/>
        <v>0</v>
      </c>
    </row>
    <row r="210" spans="1:22" x14ac:dyDescent="0.35">
      <c r="A210" s="2">
        <v>3088</v>
      </c>
      <c r="B210" s="2">
        <f t="shared" si="57"/>
        <v>48</v>
      </c>
      <c r="C210" s="2">
        <f t="shared" si="58"/>
        <v>16</v>
      </c>
      <c r="D210" s="1" t="s">
        <v>146</v>
      </c>
      <c r="E210" t="str">
        <f t="shared" si="59"/>
        <v>1011</v>
      </c>
      <c r="F210" t="str">
        <f t="shared" si="54"/>
        <v>110000</v>
      </c>
      <c r="G210" t="str">
        <f t="shared" si="55"/>
        <v>010011</v>
      </c>
      <c r="H210" t="str">
        <f>LOOKUP(E210,Lookups!$A$1:$A$16,Lookups!$B$1:$B$16)</f>
        <v>t</v>
      </c>
      <c r="I210">
        <f t="shared" si="60"/>
        <v>48</v>
      </c>
      <c r="J210">
        <f t="shared" si="61"/>
        <v>19</v>
      </c>
      <c r="K210">
        <f t="shared" si="56"/>
        <v>3091</v>
      </c>
      <c r="M210" t="b">
        <f t="shared" si="62"/>
        <v>0</v>
      </c>
      <c r="N210" t="b">
        <f t="shared" si="63"/>
        <v>1</v>
      </c>
      <c r="O210" t="b">
        <f t="shared" si="64"/>
        <v>0</v>
      </c>
      <c r="P210" t="b">
        <f t="shared" si="65"/>
        <v>0</v>
      </c>
      <c r="Q210" t="b">
        <f t="shared" si="66"/>
        <v>0</v>
      </c>
      <c r="R210" t="b">
        <f t="shared" si="67"/>
        <v>1</v>
      </c>
      <c r="S210" t="b">
        <f t="shared" si="68"/>
        <v>0</v>
      </c>
      <c r="T210" t="b">
        <f t="shared" si="69"/>
        <v>0</v>
      </c>
      <c r="U210" t="b">
        <f t="shared" si="70"/>
        <v>0</v>
      </c>
      <c r="V210" t="b">
        <f t="shared" si="71"/>
        <v>0</v>
      </c>
    </row>
    <row r="211" spans="1:22" x14ac:dyDescent="0.35">
      <c r="A211" s="2">
        <v>3089</v>
      </c>
      <c r="B211" s="2">
        <f t="shared" si="57"/>
        <v>48</v>
      </c>
      <c r="C211" s="2">
        <f t="shared" si="58"/>
        <v>17</v>
      </c>
      <c r="D211" s="1" t="s">
        <v>147</v>
      </c>
      <c r="E211" t="str">
        <f t="shared" si="59"/>
        <v>1010</v>
      </c>
      <c r="F211" t="str">
        <f t="shared" si="54"/>
        <v>110000</v>
      </c>
      <c r="G211" t="str">
        <f t="shared" si="55"/>
        <v>001011</v>
      </c>
      <c r="H211" t="str">
        <f>LOOKUP(E211,Lookups!$A$1:$A$16,Lookups!$B$1:$B$16)</f>
        <v>u</v>
      </c>
      <c r="I211">
        <f t="shared" si="60"/>
        <v>48</v>
      </c>
      <c r="J211">
        <f t="shared" si="61"/>
        <v>11</v>
      </c>
      <c r="K211">
        <f t="shared" si="56"/>
        <v>3083</v>
      </c>
      <c r="M211" t="b">
        <f t="shared" si="62"/>
        <v>0</v>
      </c>
      <c r="N211" t="b">
        <f t="shared" si="63"/>
        <v>1</v>
      </c>
      <c r="O211" t="b">
        <f t="shared" si="64"/>
        <v>0</v>
      </c>
      <c r="P211" t="b">
        <f t="shared" si="65"/>
        <v>0</v>
      </c>
      <c r="Q211" t="b">
        <f t="shared" si="66"/>
        <v>0</v>
      </c>
      <c r="R211" t="b">
        <f t="shared" si="67"/>
        <v>1</v>
      </c>
      <c r="S211" t="b">
        <f t="shared" si="68"/>
        <v>0</v>
      </c>
      <c r="T211" t="b">
        <f t="shared" si="69"/>
        <v>0</v>
      </c>
      <c r="U211" t="b">
        <f t="shared" si="70"/>
        <v>0</v>
      </c>
      <c r="V211" t="b">
        <f t="shared" si="71"/>
        <v>0</v>
      </c>
    </row>
    <row r="212" spans="1:22" x14ac:dyDescent="0.35">
      <c r="A212" s="2">
        <v>3090</v>
      </c>
      <c r="B212" s="2">
        <f t="shared" si="57"/>
        <v>48</v>
      </c>
      <c r="C212" s="2">
        <f t="shared" si="58"/>
        <v>18</v>
      </c>
      <c r="D212" s="1" t="s">
        <v>148</v>
      </c>
      <c r="E212" t="str">
        <f t="shared" si="59"/>
        <v>1011</v>
      </c>
      <c r="F212" t="str">
        <f t="shared" si="54"/>
        <v>011000</v>
      </c>
      <c r="G212" t="str">
        <f t="shared" si="55"/>
        <v>100110</v>
      </c>
      <c r="H212" t="str">
        <f>LOOKUP(E212,Lookups!$A$1:$A$16,Lookups!$B$1:$B$16)</f>
        <v>t</v>
      </c>
      <c r="I212">
        <f t="shared" si="60"/>
        <v>24</v>
      </c>
      <c r="J212">
        <f t="shared" si="61"/>
        <v>38</v>
      </c>
      <c r="K212">
        <f t="shared" si="56"/>
        <v>1574</v>
      </c>
      <c r="M212" t="b">
        <f t="shared" si="62"/>
        <v>0</v>
      </c>
      <c r="N212" t="b">
        <f t="shared" si="63"/>
        <v>1</v>
      </c>
      <c r="O212" t="b">
        <f t="shared" si="64"/>
        <v>0</v>
      </c>
      <c r="P212" t="b">
        <f t="shared" si="65"/>
        <v>0</v>
      </c>
      <c r="Q212" t="b">
        <f t="shared" si="66"/>
        <v>0</v>
      </c>
      <c r="R212" t="b">
        <f t="shared" si="67"/>
        <v>1</v>
      </c>
      <c r="S212" t="b">
        <f t="shared" si="68"/>
        <v>0</v>
      </c>
      <c r="T212" t="b">
        <f t="shared" si="69"/>
        <v>0</v>
      </c>
      <c r="U212" t="b">
        <f t="shared" si="70"/>
        <v>1</v>
      </c>
      <c r="V212" t="b">
        <f t="shared" si="71"/>
        <v>0</v>
      </c>
    </row>
    <row r="213" spans="1:22" x14ac:dyDescent="0.35">
      <c r="A213" s="2">
        <v>3091</v>
      </c>
      <c r="B213" s="2">
        <f t="shared" si="57"/>
        <v>48</v>
      </c>
      <c r="C213" s="2">
        <f t="shared" si="58"/>
        <v>19</v>
      </c>
      <c r="D213" s="1" t="s">
        <v>5</v>
      </c>
      <c r="E213" t="str">
        <f t="shared" si="59"/>
        <v>1110</v>
      </c>
      <c r="F213" t="str">
        <f t="shared" si="54"/>
        <v>101110</v>
      </c>
      <c r="G213" t="str">
        <f t="shared" si="55"/>
        <v>111111</v>
      </c>
      <c r="H213" t="str">
        <f>LOOKUP(E213,Lookups!$A$1:$A$16,Lookups!$B$1:$B$16)</f>
        <v>a</v>
      </c>
      <c r="I213">
        <f t="shared" si="60"/>
        <v>46</v>
      </c>
      <c r="J213">
        <f t="shared" si="61"/>
        <v>63</v>
      </c>
      <c r="K213">
        <f t="shared" si="56"/>
        <v>3007</v>
      </c>
      <c r="M213" t="b">
        <f t="shared" si="62"/>
        <v>0</v>
      </c>
      <c r="N213" t="b">
        <f t="shared" si="63"/>
        <v>1</v>
      </c>
      <c r="O213" t="b">
        <f t="shared" si="64"/>
        <v>0</v>
      </c>
      <c r="P213" t="b">
        <f t="shared" si="65"/>
        <v>0</v>
      </c>
      <c r="Q213" t="b">
        <f t="shared" si="66"/>
        <v>0</v>
      </c>
      <c r="R213" t="b">
        <f t="shared" si="67"/>
        <v>1</v>
      </c>
      <c r="S213" t="b">
        <f t="shared" si="68"/>
        <v>0</v>
      </c>
      <c r="T213" t="b">
        <f t="shared" si="69"/>
        <v>0</v>
      </c>
      <c r="U213" t="b">
        <f t="shared" si="70"/>
        <v>1</v>
      </c>
      <c r="V213" t="b">
        <f t="shared" si="71"/>
        <v>0</v>
      </c>
    </row>
    <row r="214" spans="1:22" x14ac:dyDescent="0.35">
      <c r="A214" s="2">
        <v>3092</v>
      </c>
      <c r="B214" s="2">
        <f t="shared" si="57"/>
        <v>48</v>
      </c>
      <c r="C214" s="2">
        <f t="shared" si="58"/>
        <v>20</v>
      </c>
      <c r="D214" s="1" t="s">
        <v>149</v>
      </c>
      <c r="E214" t="str">
        <f t="shared" si="59"/>
        <v>1011</v>
      </c>
      <c r="F214" t="str">
        <f t="shared" si="54"/>
        <v>110000</v>
      </c>
      <c r="G214" t="str">
        <f t="shared" si="55"/>
        <v>001011</v>
      </c>
      <c r="H214" t="str">
        <f>LOOKUP(E214,Lookups!$A$1:$A$16,Lookups!$B$1:$B$16)</f>
        <v>t</v>
      </c>
      <c r="I214">
        <f t="shared" si="60"/>
        <v>48</v>
      </c>
      <c r="J214">
        <f t="shared" si="61"/>
        <v>11</v>
      </c>
      <c r="K214">
        <f t="shared" si="56"/>
        <v>3083</v>
      </c>
      <c r="M214" t="b">
        <f t="shared" si="62"/>
        <v>0</v>
      </c>
      <c r="N214" t="b">
        <f t="shared" si="63"/>
        <v>1</v>
      </c>
      <c r="O214" t="b">
        <f t="shared" si="64"/>
        <v>0</v>
      </c>
      <c r="P214" t="b">
        <f t="shared" si="65"/>
        <v>0</v>
      </c>
      <c r="Q214" t="b">
        <f t="shared" si="66"/>
        <v>0</v>
      </c>
      <c r="R214" t="b">
        <f t="shared" si="67"/>
        <v>1</v>
      </c>
      <c r="S214" t="b">
        <f t="shared" si="68"/>
        <v>0</v>
      </c>
      <c r="T214" t="b">
        <f t="shared" si="69"/>
        <v>0</v>
      </c>
      <c r="U214" t="b">
        <f t="shared" si="70"/>
        <v>0</v>
      </c>
      <c r="V214" t="b">
        <f t="shared" si="71"/>
        <v>0</v>
      </c>
    </row>
    <row r="215" spans="1:22" x14ac:dyDescent="0.35">
      <c r="A215" s="2">
        <v>3093</v>
      </c>
      <c r="B215" s="2">
        <f t="shared" si="57"/>
        <v>48</v>
      </c>
      <c r="C215" s="2">
        <f t="shared" si="58"/>
        <v>21</v>
      </c>
      <c r="D215" s="1" t="s">
        <v>116</v>
      </c>
      <c r="E215" t="str">
        <f t="shared" si="59"/>
        <v>0001</v>
      </c>
      <c r="F215" t="str">
        <f t="shared" si="54"/>
        <v>110010</v>
      </c>
      <c r="G215" t="str">
        <f t="shared" si="55"/>
        <v>011101</v>
      </c>
      <c r="H215" t="str">
        <f>LOOKUP(E215,Lookups!$A$1:$A$16,Lookups!$B$1:$B$16)</f>
        <v>b</v>
      </c>
      <c r="I215">
        <f t="shared" si="60"/>
        <v>50</v>
      </c>
      <c r="J215">
        <f t="shared" si="61"/>
        <v>29</v>
      </c>
      <c r="K215">
        <f t="shared" si="56"/>
        <v>3229</v>
      </c>
      <c r="M215" t="b">
        <f t="shared" si="62"/>
        <v>0</v>
      </c>
      <c r="N215" t="b">
        <f t="shared" si="63"/>
        <v>1</v>
      </c>
      <c r="O215" t="b">
        <f t="shared" si="64"/>
        <v>0</v>
      </c>
      <c r="P215" t="b">
        <f t="shared" si="65"/>
        <v>0</v>
      </c>
      <c r="Q215" t="b">
        <f t="shared" si="66"/>
        <v>0</v>
      </c>
      <c r="R215" t="b">
        <f t="shared" si="67"/>
        <v>1</v>
      </c>
      <c r="S215" t="b">
        <f t="shared" si="68"/>
        <v>0</v>
      </c>
      <c r="T215" t="b">
        <f t="shared" si="69"/>
        <v>0</v>
      </c>
      <c r="U215" t="b">
        <f t="shared" si="70"/>
        <v>0</v>
      </c>
      <c r="V215" t="b">
        <f t="shared" si="71"/>
        <v>0</v>
      </c>
    </row>
    <row r="216" spans="1:22" x14ac:dyDescent="0.35">
      <c r="A216" s="2">
        <v>3094</v>
      </c>
      <c r="B216" s="2">
        <f t="shared" si="57"/>
        <v>48</v>
      </c>
      <c r="C216" s="2">
        <f t="shared" si="58"/>
        <v>22</v>
      </c>
      <c r="D216" s="1" t="s">
        <v>150</v>
      </c>
      <c r="E216" t="str">
        <f t="shared" si="59"/>
        <v>1011</v>
      </c>
      <c r="F216" t="str">
        <f t="shared" si="54"/>
        <v>110000</v>
      </c>
      <c r="G216" t="str">
        <f t="shared" si="55"/>
        <v>011000</v>
      </c>
      <c r="H216" t="str">
        <f>LOOKUP(E216,Lookups!$A$1:$A$16,Lookups!$B$1:$B$16)</f>
        <v>t</v>
      </c>
      <c r="I216">
        <f t="shared" si="60"/>
        <v>48</v>
      </c>
      <c r="J216">
        <f t="shared" si="61"/>
        <v>24</v>
      </c>
      <c r="K216">
        <f t="shared" si="56"/>
        <v>3096</v>
      </c>
      <c r="M216" t="b">
        <f t="shared" si="62"/>
        <v>0</v>
      </c>
      <c r="N216" t="b">
        <f t="shared" si="63"/>
        <v>1</v>
      </c>
      <c r="O216" t="b">
        <f t="shared" si="64"/>
        <v>0</v>
      </c>
      <c r="P216" t="b">
        <f t="shared" si="65"/>
        <v>0</v>
      </c>
      <c r="Q216" t="b">
        <f t="shared" si="66"/>
        <v>0</v>
      </c>
      <c r="R216" t="b">
        <f t="shared" si="67"/>
        <v>1</v>
      </c>
      <c r="S216" t="b">
        <f t="shared" si="68"/>
        <v>0</v>
      </c>
      <c r="T216" t="b">
        <f t="shared" si="69"/>
        <v>0</v>
      </c>
      <c r="U216" t="b">
        <f t="shared" si="70"/>
        <v>0</v>
      </c>
      <c r="V216" t="b">
        <f t="shared" si="71"/>
        <v>0</v>
      </c>
    </row>
    <row r="217" spans="1:22" x14ac:dyDescent="0.35">
      <c r="A217" s="2">
        <v>3095</v>
      </c>
      <c r="B217" s="2">
        <f t="shared" si="57"/>
        <v>48</v>
      </c>
      <c r="C217" s="2">
        <f t="shared" si="58"/>
        <v>23</v>
      </c>
      <c r="D217" s="1" t="s">
        <v>147</v>
      </c>
      <c r="E217" t="str">
        <f t="shared" si="59"/>
        <v>1010</v>
      </c>
      <c r="F217" t="str">
        <f t="shared" si="54"/>
        <v>110000</v>
      </c>
      <c r="G217" t="str">
        <f t="shared" si="55"/>
        <v>001011</v>
      </c>
      <c r="H217" t="str">
        <f>LOOKUP(E217,Lookups!$A$1:$A$16,Lookups!$B$1:$B$16)</f>
        <v>u</v>
      </c>
      <c r="I217">
        <f t="shared" si="60"/>
        <v>48</v>
      </c>
      <c r="J217">
        <f t="shared" si="61"/>
        <v>11</v>
      </c>
      <c r="K217">
        <f t="shared" si="56"/>
        <v>3083</v>
      </c>
      <c r="M217" t="b">
        <f t="shared" si="62"/>
        <v>0</v>
      </c>
      <c r="N217" t="b">
        <f t="shared" si="63"/>
        <v>1</v>
      </c>
      <c r="O217" t="b">
        <f t="shared" si="64"/>
        <v>0</v>
      </c>
      <c r="P217" t="b">
        <f t="shared" si="65"/>
        <v>0</v>
      </c>
      <c r="Q217" t="b">
        <f t="shared" si="66"/>
        <v>0</v>
      </c>
      <c r="R217" t="b">
        <f t="shared" si="67"/>
        <v>1</v>
      </c>
      <c r="S217" t="b">
        <f t="shared" si="68"/>
        <v>0</v>
      </c>
      <c r="T217" t="b">
        <f t="shared" si="69"/>
        <v>0</v>
      </c>
      <c r="U217" t="b">
        <f t="shared" si="70"/>
        <v>0</v>
      </c>
      <c r="V217" t="b">
        <f t="shared" si="71"/>
        <v>0</v>
      </c>
    </row>
    <row r="218" spans="1:22" x14ac:dyDescent="0.35">
      <c r="A218" s="2">
        <v>3096</v>
      </c>
      <c r="B218" s="2">
        <f t="shared" si="57"/>
        <v>48</v>
      </c>
      <c r="C218" s="2">
        <f t="shared" si="58"/>
        <v>24</v>
      </c>
      <c r="D218" s="1" t="s">
        <v>151</v>
      </c>
      <c r="E218" t="str">
        <f t="shared" si="59"/>
        <v>1110</v>
      </c>
      <c r="F218" t="str">
        <f t="shared" si="54"/>
        <v>101111</v>
      </c>
      <c r="G218" t="str">
        <f t="shared" si="55"/>
        <v>110001</v>
      </c>
      <c r="H218" t="str">
        <f>LOOKUP(E218,Lookups!$A$1:$A$16,Lookups!$B$1:$B$16)</f>
        <v>a</v>
      </c>
      <c r="I218">
        <f t="shared" si="60"/>
        <v>47</v>
      </c>
      <c r="J218">
        <f t="shared" si="61"/>
        <v>49</v>
      </c>
      <c r="K218">
        <f t="shared" si="56"/>
        <v>3057</v>
      </c>
      <c r="M218" t="b">
        <f t="shared" si="62"/>
        <v>0</v>
      </c>
      <c r="N218" t="b">
        <f t="shared" si="63"/>
        <v>1</v>
      </c>
      <c r="O218" t="b">
        <f t="shared" si="64"/>
        <v>0</v>
      </c>
      <c r="P218" t="b">
        <f t="shared" si="65"/>
        <v>0</v>
      </c>
      <c r="Q218" t="b">
        <f t="shared" si="66"/>
        <v>0</v>
      </c>
      <c r="R218" t="b">
        <f t="shared" si="67"/>
        <v>1</v>
      </c>
      <c r="S218" t="b">
        <f t="shared" si="68"/>
        <v>0</v>
      </c>
      <c r="T218" t="b">
        <f t="shared" si="69"/>
        <v>0</v>
      </c>
      <c r="U218" t="b">
        <f t="shared" si="70"/>
        <v>1</v>
      </c>
      <c r="V218" t="b">
        <f t="shared" si="71"/>
        <v>0</v>
      </c>
    </row>
    <row r="219" spans="1:22" x14ac:dyDescent="0.35">
      <c r="A219" s="2">
        <v>3097</v>
      </c>
      <c r="B219" s="2">
        <f t="shared" si="57"/>
        <v>48</v>
      </c>
      <c r="C219" s="2">
        <f t="shared" si="58"/>
        <v>25</v>
      </c>
      <c r="D219" s="1" t="s">
        <v>118</v>
      </c>
      <c r="E219" t="str">
        <f t="shared" si="59"/>
        <v>1010</v>
      </c>
      <c r="F219" t="str">
        <f t="shared" si="54"/>
        <v>101111</v>
      </c>
      <c r="G219" t="str">
        <f t="shared" si="55"/>
        <v>111010</v>
      </c>
      <c r="H219" t="str">
        <f>LOOKUP(E219,Lookups!$A$1:$A$16,Lookups!$B$1:$B$16)</f>
        <v>u</v>
      </c>
      <c r="I219">
        <f t="shared" si="60"/>
        <v>47</v>
      </c>
      <c r="J219">
        <f t="shared" si="61"/>
        <v>58</v>
      </c>
      <c r="K219">
        <f t="shared" si="56"/>
        <v>3066</v>
      </c>
      <c r="M219" t="b">
        <f t="shared" si="62"/>
        <v>0</v>
      </c>
      <c r="N219" t="b">
        <f t="shared" si="63"/>
        <v>1</v>
      </c>
      <c r="O219" t="b">
        <f t="shared" si="64"/>
        <v>0</v>
      </c>
      <c r="P219" t="b">
        <f t="shared" si="65"/>
        <v>0</v>
      </c>
      <c r="Q219" t="b">
        <f t="shared" si="66"/>
        <v>0</v>
      </c>
      <c r="R219" t="b">
        <f t="shared" si="67"/>
        <v>1</v>
      </c>
      <c r="S219" t="b">
        <f t="shared" si="68"/>
        <v>0</v>
      </c>
      <c r="T219" t="b">
        <f t="shared" si="69"/>
        <v>0</v>
      </c>
      <c r="U219" t="b">
        <f t="shared" si="70"/>
        <v>0</v>
      </c>
      <c r="V219" t="b">
        <f t="shared" si="71"/>
        <v>0</v>
      </c>
    </row>
    <row r="220" spans="1:22" x14ac:dyDescent="0.35">
      <c r="A220" s="2">
        <v>3098</v>
      </c>
      <c r="B220" s="2">
        <f t="shared" si="57"/>
        <v>48</v>
      </c>
      <c r="C220" s="2">
        <f t="shared" si="58"/>
        <v>26</v>
      </c>
      <c r="D220" s="1" t="s">
        <v>151</v>
      </c>
      <c r="E220" t="str">
        <f t="shared" si="59"/>
        <v>1110</v>
      </c>
      <c r="F220" t="str">
        <f t="shared" si="54"/>
        <v>101111</v>
      </c>
      <c r="G220" t="str">
        <f t="shared" si="55"/>
        <v>110001</v>
      </c>
      <c r="H220" t="str">
        <f>LOOKUP(E220,Lookups!$A$1:$A$16,Lookups!$B$1:$B$16)</f>
        <v>a</v>
      </c>
      <c r="I220">
        <f t="shared" si="60"/>
        <v>47</v>
      </c>
      <c r="J220">
        <f t="shared" si="61"/>
        <v>49</v>
      </c>
      <c r="K220">
        <f t="shared" si="56"/>
        <v>3057</v>
      </c>
      <c r="M220" t="b">
        <f t="shared" si="62"/>
        <v>0</v>
      </c>
      <c r="N220" t="b">
        <f t="shared" si="63"/>
        <v>1</v>
      </c>
      <c r="O220" t="b">
        <f t="shared" si="64"/>
        <v>0</v>
      </c>
      <c r="P220" t="b">
        <f t="shared" si="65"/>
        <v>0</v>
      </c>
      <c r="Q220" t="b">
        <f t="shared" si="66"/>
        <v>0</v>
      </c>
      <c r="R220" t="b">
        <f t="shared" si="67"/>
        <v>1</v>
      </c>
      <c r="S220" t="b">
        <f t="shared" si="68"/>
        <v>0</v>
      </c>
      <c r="T220" t="b">
        <f t="shared" si="69"/>
        <v>0</v>
      </c>
      <c r="U220" t="b">
        <f t="shared" si="70"/>
        <v>1</v>
      </c>
      <c r="V220" t="b">
        <f t="shared" si="71"/>
        <v>0</v>
      </c>
    </row>
    <row r="221" spans="1:22" x14ac:dyDescent="0.35">
      <c r="A221" s="2">
        <v>3099</v>
      </c>
      <c r="B221" s="2">
        <f t="shared" si="57"/>
        <v>48</v>
      </c>
      <c r="C221" s="2">
        <f t="shared" si="58"/>
        <v>27</v>
      </c>
      <c r="D221" s="1" t="s">
        <v>94</v>
      </c>
      <c r="E221" t="str">
        <f t="shared" si="59"/>
        <v>1101</v>
      </c>
      <c r="F221" t="str">
        <f t="shared" si="54"/>
        <v>110010</v>
      </c>
      <c r="G221" t="str">
        <f t="shared" si="55"/>
        <v>011101</v>
      </c>
      <c r="H221" t="str">
        <f>LOOKUP(E221,Lookups!$A$1:$A$16,Lookups!$B$1:$B$16)</f>
        <v>c</v>
      </c>
      <c r="I221">
        <f t="shared" si="60"/>
        <v>50</v>
      </c>
      <c r="J221">
        <f t="shared" si="61"/>
        <v>29</v>
      </c>
      <c r="K221">
        <f t="shared" si="56"/>
        <v>3229</v>
      </c>
      <c r="M221" t="b">
        <f t="shared" si="62"/>
        <v>0</v>
      </c>
      <c r="N221" t="b">
        <f t="shared" si="63"/>
        <v>1</v>
      </c>
      <c r="O221" t="b">
        <f t="shared" si="64"/>
        <v>0</v>
      </c>
      <c r="P221" t="b">
        <f t="shared" si="65"/>
        <v>0</v>
      </c>
      <c r="Q221" t="b">
        <f t="shared" si="66"/>
        <v>0</v>
      </c>
      <c r="R221" t="b">
        <f t="shared" si="67"/>
        <v>1</v>
      </c>
      <c r="S221" t="b">
        <f t="shared" si="68"/>
        <v>0</v>
      </c>
      <c r="T221" t="b">
        <f t="shared" si="69"/>
        <v>0</v>
      </c>
      <c r="U221" t="b">
        <f t="shared" si="70"/>
        <v>0</v>
      </c>
      <c r="V221" t="b">
        <f t="shared" si="71"/>
        <v>0</v>
      </c>
    </row>
    <row r="222" spans="1:22" x14ac:dyDescent="0.35">
      <c r="A222" s="2">
        <v>3100</v>
      </c>
      <c r="B222" s="2">
        <f t="shared" si="57"/>
        <v>48</v>
      </c>
      <c r="C222" s="2">
        <f t="shared" si="58"/>
        <v>28</v>
      </c>
      <c r="D222" s="1" t="s">
        <v>112</v>
      </c>
      <c r="E222" t="str">
        <f t="shared" si="59"/>
        <v>1010</v>
      </c>
      <c r="F222" t="str">
        <f t="shared" si="54"/>
        <v>101111</v>
      </c>
      <c r="G222" t="str">
        <f t="shared" si="55"/>
        <v>111110</v>
      </c>
      <c r="H222" t="str">
        <f>LOOKUP(E222,Lookups!$A$1:$A$16,Lookups!$B$1:$B$16)</f>
        <v>u</v>
      </c>
      <c r="I222">
        <f t="shared" si="60"/>
        <v>47</v>
      </c>
      <c r="J222">
        <f t="shared" si="61"/>
        <v>62</v>
      </c>
      <c r="K222">
        <f t="shared" si="56"/>
        <v>3070</v>
      </c>
      <c r="M222" t="b">
        <f t="shared" si="62"/>
        <v>0</v>
      </c>
      <c r="N222" t="b">
        <f t="shared" si="63"/>
        <v>1</v>
      </c>
      <c r="O222" t="b">
        <f t="shared" si="64"/>
        <v>0</v>
      </c>
      <c r="P222" t="b">
        <f t="shared" si="65"/>
        <v>0</v>
      </c>
      <c r="Q222" t="b">
        <f t="shared" si="66"/>
        <v>0</v>
      </c>
      <c r="R222" t="b">
        <f t="shared" si="67"/>
        <v>1</v>
      </c>
      <c r="S222" t="b">
        <f t="shared" si="68"/>
        <v>0</v>
      </c>
      <c r="T222" t="b">
        <f t="shared" si="69"/>
        <v>0</v>
      </c>
      <c r="U222" t="b">
        <f t="shared" si="70"/>
        <v>0</v>
      </c>
      <c r="V222" t="b">
        <f t="shared" si="71"/>
        <v>0</v>
      </c>
    </row>
    <row r="223" spans="1:22" x14ac:dyDescent="0.35">
      <c r="A223" s="2">
        <v>3101</v>
      </c>
      <c r="B223" s="2">
        <f t="shared" si="57"/>
        <v>48</v>
      </c>
      <c r="C223" s="2">
        <f t="shared" si="58"/>
        <v>29</v>
      </c>
      <c r="D223" s="1" t="s">
        <v>102</v>
      </c>
      <c r="E223" t="str">
        <f t="shared" si="59"/>
        <v>1001</v>
      </c>
      <c r="F223" t="str">
        <f t="shared" si="54"/>
        <v>101101</v>
      </c>
      <c r="G223" t="str">
        <f t="shared" si="55"/>
        <v>111110</v>
      </c>
      <c r="H223" t="str">
        <f>LOOKUP(E223,Lookups!$A$1:$A$16,Lookups!$B$1:$B$16)</f>
        <v>e</v>
      </c>
      <c r="I223">
        <f t="shared" si="60"/>
        <v>45</v>
      </c>
      <c r="J223">
        <f t="shared" si="61"/>
        <v>62</v>
      </c>
      <c r="K223">
        <f t="shared" si="56"/>
        <v>2942</v>
      </c>
      <c r="M223" t="b">
        <f t="shared" si="62"/>
        <v>0</v>
      </c>
      <c r="N223" t="b">
        <f t="shared" si="63"/>
        <v>1</v>
      </c>
      <c r="O223" t="b">
        <f t="shared" si="64"/>
        <v>0</v>
      </c>
      <c r="P223" t="b">
        <f t="shared" si="65"/>
        <v>0</v>
      </c>
      <c r="Q223" t="b">
        <f t="shared" si="66"/>
        <v>0</v>
      </c>
      <c r="R223" t="b">
        <f t="shared" si="67"/>
        <v>1</v>
      </c>
      <c r="S223" t="b">
        <f t="shared" si="68"/>
        <v>0</v>
      </c>
      <c r="T223" t="b">
        <f t="shared" si="69"/>
        <v>0</v>
      </c>
      <c r="U223" t="b">
        <f t="shared" si="70"/>
        <v>1</v>
      </c>
      <c r="V223" t="b">
        <f t="shared" si="71"/>
        <v>0</v>
      </c>
    </row>
    <row r="224" spans="1:22" x14ac:dyDescent="0.35">
      <c r="A224" s="2">
        <v>3102</v>
      </c>
      <c r="B224" s="2">
        <f t="shared" si="57"/>
        <v>48</v>
      </c>
      <c r="C224" s="2">
        <f t="shared" si="58"/>
        <v>30</v>
      </c>
      <c r="D224" s="1" t="s">
        <v>101</v>
      </c>
      <c r="E224" t="str">
        <f t="shared" si="59"/>
        <v>1100</v>
      </c>
      <c r="F224" t="str">
        <f t="shared" si="54"/>
        <v>110011</v>
      </c>
      <c r="G224" t="str">
        <f t="shared" si="55"/>
        <v>101101</v>
      </c>
      <c r="H224" t="str">
        <f>LOOKUP(E224,Lookups!$A$1:$A$16,Lookups!$B$1:$B$16)</f>
        <v>h</v>
      </c>
      <c r="I224">
        <f t="shared" si="60"/>
        <v>51</v>
      </c>
      <c r="J224">
        <f t="shared" si="61"/>
        <v>45</v>
      </c>
      <c r="K224">
        <f t="shared" si="56"/>
        <v>3309</v>
      </c>
      <c r="M224" t="b">
        <f t="shared" si="62"/>
        <v>0</v>
      </c>
      <c r="N224" t="b">
        <f t="shared" si="63"/>
        <v>1</v>
      </c>
      <c r="O224" t="b">
        <f t="shared" si="64"/>
        <v>0</v>
      </c>
      <c r="P224" t="b">
        <f t="shared" si="65"/>
        <v>0</v>
      </c>
      <c r="Q224" t="b">
        <f t="shared" si="66"/>
        <v>0</v>
      </c>
      <c r="R224" t="b">
        <f t="shared" si="67"/>
        <v>1</v>
      </c>
      <c r="S224" t="b">
        <f t="shared" si="68"/>
        <v>0</v>
      </c>
      <c r="T224" t="b">
        <f t="shared" si="69"/>
        <v>0</v>
      </c>
      <c r="U224" t="b">
        <f t="shared" si="70"/>
        <v>0</v>
      </c>
      <c r="V224" t="b">
        <f t="shared" si="71"/>
        <v>0</v>
      </c>
    </row>
    <row r="225" spans="1:22" x14ac:dyDescent="0.35">
      <c r="A225" s="2">
        <v>3103</v>
      </c>
      <c r="B225" s="2">
        <f t="shared" si="57"/>
        <v>48</v>
      </c>
      <c r="C225" s="2">
        <f t="shared" si="58"/>
        <v>31</v>
      </c>
      <c r="D225" s="1" t="s">
        <v>103</v>
      </c>
      <c r="E225" t="str">
        <f t="shared" si="59"/>
        <v>1111</v>
      </c>
      <c r="F225" t="str">
        <f t="shared" si="54"/>
        <v>101110</v>
      </c>
      <c r="G225" t="str">
        <f t="shared" si="55"/>
        <v>101001</v>
      </c>
      <c r="H225" t="str">
        <f>LOOKUP(E225,Lookups!$A$1:$A$16,Lookups!$B$1:$B$16)</f>
        <v>s</v>
      </c>
      <c r="I225">
        <f t="shared" si="60"/>
        <v>46</v>
      </c>
      <c r="J225">
        <f t="shared" si="61"/>
        <v>41</v>
      </c>
      <c r="K225">
        <f t="shared" si="56"/>
        <v>2985</v>
      </c>
      <c r="M225" t="b">
        <f t="shared" si="62"/>
        <v>0</v>
      </c>
      <c r="N225" t="b">
        <f t="shared" si="63"/>
        <v>1</v>
      </c>
      <c r="O225" t="b">
        <f t="shared" si="64"/>
        <v>0</v>
      </c>
      <c r="P225" t="b">
        <f t="shared" si="65"/>
        <v>0</v>
      </c>
      <c r="Q225" t="b">
        <f t="shared" si="66"/>
        <v>0</v>
      </c>
      <c r="R225" t="b">
        <f t="shared" si="67"/>
        <v>1</v>
      </c>
      <c r="S225" t="b">
        <f t="shared" si="68"/>
        <v>0</v>
      </c>
      <c r="T225" t="b">
        <f t="shared" si="69"/>
        <v>0</v>
      </c>
      <c r="U225" t="b">
        <f t="shared" si="70"/>
        <v>0</v>
      </c>
      <c r="V225" t="b">
        <f t="shared" si="71"/>
        <v>0</v>
      </c>
    </row>
    <row r="226" spans="1:22" x14ac:dyDescent="0.35">
      <c r="A226" s="2">
        <v>3104</v>
      </c>
      <c r="B226" s="2">
        <f t="shared" si="57"/>
        <v>48</v>
      </c>
      <c r="C226" s="2">
        <f t="shared" si="58"/>
        <v>32</v>
      </c>
      <c r="D226" s="1" t="s">
        <v>152</v>
      </c>
      <c r="E226" t="str">
        <f t="shared" si="59"/>
        <v>1011</v>
      </c>
      <c r="F226" t="str">
        <f t="shared" si="54"/>
        <v>110000</v>
      </c>
      <c r="G226" t="str">
        <f t="shared" si="55"/>
        <v>101000</v>
      </c>
      <c r="H226" t="str">
        <f>LOOKUP(E226,Lookups!$A$1:$A$16,Lookups!$B$1:$B$16)</f>
        <v>t</v>
      </c>
      <c r="I226">
        <f t="shared" si="60"/>
        <v>48</v>
      </c>
      <c r="J226">
        <f t="shared" si="61"/>
        <v>40</v>
      </c>
      <c r="K226">
        <f t="shared" si="56"/>
        <v>3112</v>
      </c>
      <c r="M226" t="b">
        <f t="shared" si="62"/>
        <v>0</v>
      </c>
      <c r="N226" t="b">
        <f t="shared" si="63"/>
        <v>1</v>
      </c>
      <c r="O226" t="b">
        <f t="shared" si="64"/>
        <v>0</v>
      </c>
      <c r="P226" t="b">
        <f t="shared" si="65"/>
        <v>0</v>
      </c>
      <c r="Q226" t="b">
        <f t="shared" si="66"/>
        <v>0</v>
      </c>
      <c r="R226" t="b">
        <f t="shared" si="67"/>
        <v>1</v>
      </c>
      <c r="S226" t="b">
        <f t="shared" si="68"/>
        <v>0</v>
      </c>
      <c r="T226" t="b">
        <f t="shared" si="69"/>
        <v>0</v>
      </c>
      <c r="U226" t="b">
        <f t="shared" si="70"/>
        <v>0</v>
      </c>
      <c r="V226" t="b">
        <f t="shared" si="71"/>
        <v>0</v>
      </c>
    </row>
    <row r="227" spans="1:22" x14ac:dyDescent="0.35">
      <c r="A227" s="2">
        <v>3105</v>
      </c>
      <c r="B227" s="2">
        <f t="shared" si="57"/>
        <v>48</v>
      </c>
      <c r="C227" s="2">
        <f t="shared" si="58"/>
        <v>33</v>
      </c>
      <c r="D227" s="1" t="s">
        <v>31</v>
      </c>
      <c r="E227" t="str">
        <f t="shared" si="59"/>
        <v>0011</v>
      </c>
      <c r="F227" t="str">
        <f t="shared" si="54"/>
        <v>110011</v>
      </c>
      <c r="G227" t="str">
        <f t="shared" si="55"/>
        <v>000000</v>
      </c>
      <c r="H227" t="str">
        <f>LOOKUP(E227,Lookups!$A$1:$A$16,Lookups!$B$1:$B$16)</f>
        <v>r</v>
      </c>
      <c r="I227">
        <f t="shared" si="60"/>
        <v>51</v>
      </c>
      <c r="J227">
        <f t="shared" si="61"/>
        <v>0</v>
      </c>
      <c r="K227">
        <f t="shared" si="56"/>
        <v>3264</v>
      </c>
      <c r="M227" t="b">
        <f t="shared" si="62"/>
        <v>0</v>
      </c>
      <c r="N227" t="b">
        <f t="shared" si="63"/>
        <v>1</v>
      </c>
      <c r="O227" t="b">
        <f t="shared" si="64"/>
        <v>0</v>
      </c>
      <c r="P227" t="b">
        <f t="shared" si="65"/>
        <v>0</v>
      </c>
      <c r="Q227" t="b">
        <f t="shared" si="66"/>
        <v>0</v>
      </c>
      <c r="R227" t="b">
        <f t="shared" si="67"/>
        <v>0</v>
      </c>
      <c r="S227" t="b">
        <f t="shared" si="68"/>
        <v>0</v>
      </c>
      <c r="T227" t="b">
        <f t="shared" si="69"/>
        <v>0</v>
      </c>
      <c r="U227" t="b">
        <f t="shared" si="70"/>
        <v>0</v>
      </c>
      <c r="V227" t="b">
        <f t="shared" si="71"/>
        <v>0</v>
      </c>
    </row>
    <row r="228" spans="1:22" x14ac:dyDescent="0.35">
      <c r="A228" s="2">
        <v>3106</v>
      </c>
      <c r="B228" s="2">
        <f t="shared" si="57"/>
        <v>48</v>
      </c>
      <c r="C228" s="2">
        <f t="shared" si="58"/>
        <v>34</v>
      </c>
      <c r="D228" s="1" t="s">
        <v>32</v>
      </c>
      <c r="E228" t="str">
        <f t="shared" si="59"/>
        <v>1010</v>
      </c>
      <c r="F228" t="str">
        <f t="shared" si="54"/>
        <v>110011</v>
      </c>
      <c r="G228" t="str">
        <f t="shared" si="55"/>
        <v>000000</v>
      </c>
      <c r="H228" t="str">
        <f>LOOKUP(E228,Lookups!$A$1:$A$16,Lookups!$B$1:$B$16)</f>
        <v>u</v>
      </c>
      <c r="I228">
        <f t="shared" si="60"/>
        <v>51</v>
      </c>
      <c r="J228">
        <f t="shared" si="61"/>
        <v>0</v>
      </c>
      <c r="K228">
        <f t="shared" si="56"/>
        <v>3264</v>
      </c>
      <c r="M228" t="b">
        <f t="shared" si="62"/>
        <v>0</v>
      </c>
      <c r="N228" t="b">
        <f t="shared" si="63"/>
        <v>1</v>
      </c>
      <c r="O228" t="b">
        <f t="shared" si="64"/>
        <v>0</v>
      </c>
      <c r="P228" t="b">
        <f t="shared" si="65"/>
        <v>0</v>
      </c>
      <c r="Q228" t="b">
        <f t="shared" si="66"/>
        <v>0</v>
      </c>
      <c r="R228" t="b">
        <f t="shared" si="67"/>
        <v>0</v>
      </c>
      <c r="S228" t="b">
        <f t="shared" si="68"/>
        <v>0</v>
      </c>
      <c r="T228" t="b">
        <f t="shared" si="69"/>
        <v>0</v>
      </c>
      <c r="U228" t="b">
        <f t="shared" si="70"/>
        <v>0</v>
      </c>
      <c r="V228" t="b">
        <f t="shared" si="71"/>
        <v>0</v>
      </c>
    </row>
    <row r="229" spans="1:22" x14ac:dyDescent="0.35">
      <c r="A229" s="2">
        <v>3107</v>
      </c>
      <c r="B229" s="2">
        <f t="shared" si="57"/>
        <v>48</v>
      </c>
      <c r="C229" s="2">
        <f t="shared" si="58"/>
        <v>35</v>
      </c>
      <c r="D229" s="1" t="s">
        <v>153</v>
      </c>
      <c r="E229" t="str">
        <f t="shared" si="59"/>
        <v>0000</v>
      </c>
      <c r="F229" t="str">
        <f t="shared" si="54"/>
        <v>001010</v>
      </c>
      <c r="G229" t="str">
        <f t="shared" si="55"/>
        <v>010100</v>
      </c>
      <c r="H229" t="str">
        <f>LOOKUP(E229,Lookups!$A$1:$A$16,Lookups!$B$1:$B$16)</f>
        <v>z</v>
      </c>
      <c r="I229">
        <f t="shared" si="60"/>
        <v>10</v>
      </c>
      <c r="J229">
        <f t="shared" si="61"/>
        <v>20</v>
      </c>
      <c r="K229">
        <f t="shared" si="56"/>
        <v>660</v>
      </c>
      <c r="M229" t="b">
        <f t="shared" si="62"/>
        <v>1</v>
      </c>
      <c r="N229" t="b">
        <f t="shared" si="63"/>
        <v>1</v>
      </c>
      <c r="O229" t="b">
        <f t="shared" si="64"/>
        <v>1</v>
      </c>
      <c r="P229" t="b">
        <f t="shared" si="65"/>
        <v>0</v>
      </c>
      <c r="Q229" t="b">
        <f t="shared" si="66"/>
        <v>0</v>
      </c>
      <c r="R229" t="b">
        <f t="shared" si="67"/>
        <v>1</v>
      </c>
      <c r="S229" t="b">
        <f t="shared" si="68"/>
        <v>1</v>
      </c>
      <c r="T229" t="b">
        <f t="shared" si="69"/>
        <v>0</v>
      </c>
      <c r="U229" t="b">
        <f t="shared" si="70"/>
        <v>0</v>
      </c>
      <c r="V229" t="b">
        <f t="shared" si="71"/>
        <v>0</v>
      </c>
    </row>
    <row r="230" spans="1:22" x14ac:dyDescent="0.35">
      <c r="A230" s="2">
        <v>3108</v>
      </c>
      <c r="B230" s="2">
        <f t="shared" si="57"/>
        <v>48</v>
      </c>
      <c r="C230" s="2">
        <f t="shared" si="58"/>
        <v>36</v>
      </c>
      <c r="D230" s="1" t="s">
        <v>154</v>
      </c>
      <c r="E230" t="str">
        <f t="shared" si="59"/>
        <v>1010</v>
      </c>
      <c r="F230" t="str">
        <f t="shared" si="54"/>
        <v>111110</v>
      </c>
      <c r="G230" t="str">
        <f t="shared" si="55"/>
        <v>011111</v>
      </c>
      <c r="H230" t="str">
        <f>LOOKUP(E230,Lookups!$A$1:$A$16,Lookups!$B$1:$B$16)</f>
        <v>u</v>
      </c>
      <c r="I230">
        <f t="shared" si="60"/>
        <v>62</v>
      </c>
      <c r="J230">
        <f t="shared" si="61"/>
        <v>31</v>
      </c>
      <c r="K230">
        <f t="shared" si="56"/>
        <v>3999</v>
      </c>
      <c r="M230" t="b">
        <f t="shared" si="62"/>
        <v>0</v>
      </c>
      <c r="N230" t="b">
        <f t="shared" si="63"/>
        <v>1</v>
      </c>
      <c r="O230" t="b">
        <f t="shared" si="64"/>
        <v>0</v>
      </c>
      <c r="P230" t="b">
        <f t="shared" si="65"/>
        <v>0</v>
      </c>
      <c r="Q230" t="b">
        <f t="shared" si="66"/>
        <v>0</v>
      </c>
      <c r="R230" t="b">
        <f t="shared" si="67"/>
        <v>1</v>
      </c>
      <c r="S230" t="b">
        <f t="shared" si="68"/>
        <v>0</v>
      </c>
      <c r="T230" t="b">
        <f t="shared" si="69"/>
        <v>0</v>
      </c>
      <c r="U230" t="b">
        <f t="shared" si="70"/>
        <v>0</v>
      </c>
      <c r="V230" t="b">
        <f t="shared" si="71"/>
        <v>0</v>
      </c>
    </row>
    <row r="231" spans="1:22" x14ac:dyDescent="0.35">
      <c r="A231" s="2">
        <v>3109</v>
      </c>
      <c r="B231" s="2">
        <f t="shared" si="57"/>
        <v>48</v>
      </c>
      <c r="C231" s="2">
        <f t="shared" si="58"/>
        <v>37</v>
      </c>
      <c r="D231" s="1" t="s">
        <v>91</v>
      </c>
      <c r="E231" t="str">
        <f t="shared" si="59"/>
        <v>1101</v>
      </c>
      <c r="F231" t="str">
        <f t="shared" si="54"/>
        <v>110011</v>
      </c>
      <c r="G231" t="str">
        <f t="shared" si="55"/>
        <v>101101</v>
      </c>
      <c r="H231" t="str">
        <f>LOOKUP(E231,Lookups!$A$1:$A$16,Lookups!$B$1:$B$16)</f>
        <v>c</v>
      </c>
      <c r="I231">
        <f t="shared" si="60"/>
        <v>51</v>
      </c>
      <c r="J231">
        <f t="shared" si="61"/>
        <v>45</v>
      </c>
      <c r="K231">
        <f t="shared" si="56"/>
        <v>3309</v>
      </c>
      <c r="M231" t="b">
        <f t="shared" si="62"/>
        <v>0</v>
      </c>
      <c r="N231" t="b">
        <f t="shared" si="63"/>
        <v>1</v>
      </c>
      <c r="O231" t="b">
        <f t="shared" si="64"/>
        <v>0</v>
      </c>
      <c r="P231" t="b">
        <f t="shared" si="65"/>
        <v>0</v>
      </c>
      <c r="Q231" t="b">
        <f t="shared" si="66"/>
        <v>0</v>
      </c>
      <c r="R231" t="b">
        <f t="shared" si="67"/>
        <v>1</v>
      </c>
      <c r="S231" t="b">
        <f t="shared" si="68"/>
        <v>0</v>
      </c>
      <c r="T231" t="b">
        <f t="shared" si="69"/>
        <v>0</v>
      </c>
      <c r="U231" t="b">
        <f t="shared" si="70"/>
        <v>0</v>
      </c>
      <c r="V231" t="b">
        <f t="shared" si="71"/>
        <v>0</v>
      </c>
    </row>
    <row r="232" spans="1:22" x14ac:dyDescent="0.35">
      <c r="A232" s="2">
        <v>3110</v>
      </c>
      <c r="B232" s="2">
        <f t="shared" si="57"/>
        <v>48</v>
      </c>
      <c r="C232" s="2">
        <f t="shared" si="58"/>
        <v>38</v>
      </c>
      <c r="D232" s="1" t="s">
        <v>91</v>
      </c>
      <c r="E232" t="str">
        <f t="shared" si="59"/>
        <v>1101</v>
      </c>
      <c r="F232" t="str">
        <f t="shared" si="54"/>
        <v>110011</v>
      </c>
      <c r="G232" t="str">
        <f t="shared" si="55"/>
        <v>101101</v>
      </c>
      <c r="H232" t="str">
        <f>LOOKUP(E232,Lookups!$A$1:$A$16,Lookups!$B$1:$B$16)</f>
        <v>c</v>
      </c>
      <c r="I232">
        <f t="shared" si="60"/>
        <v>51</v>
      </c>
      <c r="J232">
        <f t="shared" si="61"/>
        <v>45</v>
      </c>
      <c r="K232">
        <f t="shared" si="56"/>
        <v>3309</v>
      </c>
      <c r="M232" t="b">
        <f t="shared" si="62"/>
        <v>0</v>
      </c>
      <c r="N232" t="b">
        <f t="shared" si="63"/>
        <v>1</v>
      </c>
      <c r="O232" t="b">
        <f t="shared" si="64"/>
        <v>0</v>
      </c>
      <c r="P232" t="b">
        <f t="shared" si="65"/>
        <v>0</v>
      </c>
      <c r="Q232" t="b">
        <f t="shared" si="66"/>
        <v>0</v>
      </c>
      <c r="R232" t="b">
        <f t="shared" si="67"/>
        <v>1</v>
      </c>
      <c r="S232" t="b">
        <f t="shared" si="68"/>
        <v>0</v>
      </c>
      <c r="T232" t="b">
        <f t="shared" si="69"/>
        <v>0</v>
      </c>
      <c r="U232" t="b">
        <f t="shared" si="70"/>
        <v>0</v>
      </c>
      <c r="V232" t="b">
        <f t="shared" si="71"/>
        <v>0</v>
      </c>
    </row>
    <row r="233" spans="1:22" x14ac:dyDescent="0.35">
      <c r="A233" s="2">
        <v>3111</v>
      </c>
      <c r="B233" s="2">
        <f t="shared" si="57"/>
        <v>48</v>
      </c>
      <c r="C233" s="2">
        <f t="shared" si="58"/>
        <v>39</v>
      </c>
      <c r="D233" s="1" t="s">
        <v>155</v>
      </c>
      <c r="E233" t="str">
        <f t="shared" si="59"/>
        <v>1010</v>
      </c>
      <c r="F233" t="str">
        <f t="shared" si="54"/>
        <v>110001</v>
      </c>
      <c r="G233" t="str">
        <f t="shared" si="55"/>
        <v>001100</v>
      </c>
      <c r="H233" t="str">
        <f>LOOKUP(E233,Lookups!$A$1:$A$16,Lookups!$B$1:$B$16)</f>
        <v>u</v>
      </c>
      <c r="I233">
        <f t="shared" si="60"/>
        <v>49</v>
      </c>
      <c r="J233">
        <f t="shared" si="61"/>
        <v>12</v>
      </c>
      <c r="K233">
        <f t="shared" si="56"/>
        <v>3148</v>
      </c>
      <c r="M233" t="b">
        <f t="shared" si="62"/>
        <v>0</v>
      </c>
      <c r="N233" t="b">
        <f t="shared" si="63"/>
        <v>1</v>
      </c>
      <c r="O233" t="b">
        <f t="shared" si="64"/>
        <v>0</v>
      </c>
      <c r="P233" t="b">
        <f t="shared" si="65"/>
        <v>0</v>
      </c>
      <c r="Q233" t="b">
        <f t="shared" si="66"/>
        <v>0</v>
      </c>
      <c r="R233" t="b">
        <f t="shared" si="67"/>
        <v>1</v>
      </c>
      <c r="S233" t="b">
        <f t="shared" si="68"/>
        <v>0</v>
      </c>
      <c r="T233" t="b">
        <f t="shared" si="69"/>
        <v>0</v>
      </c>
      <c r="U233" t="b">
        <f t="shared" si="70"/>
        <v>0</v>
      </c>
      <c r="V233" t="b">
        <f t="shared" si="71"/>
        <v>0</v>
      </c>
    </row>
    <row r="234" spans="1:22" x14ac:dyDescent="0.35">
      <c r="A234" s="2">
        <v>3112</v>
      </c>
      <c r="B234" s="2">
        <f t="shared" si="57"/>
        <v>48</v>
      </c>
      <c r="C234" s="2">
        <f t="shared" si="58"/>
        <v>40</v>
      </c>
      <c r="D234" s="1" t="s">
        <v>14</v>
      </c>
      <c r="E234" t="str">
        <f t="shared" si="59"/>
        <v>1110</v>
      </c>
      <c r="F234" t="str">
        <f t="shared" si="54"/>
        <v>101110</v>
      </c>
      <c r="G234" t="str">
        <f t="shared" si="55"/>
        <v>100011</v>
      </c>
      <c r="H234" t="str">
        <f>LOOKUP(E234,Lookups!$A$1:$A$16,Lookups!$B$1:$B$16)</f>
        <v>a</v>
      </c>
      <c r="I234">
        <f t="shared" si="60"/>
        <v>46</v>
      </c>
      <c r="J234">
        <f t="shared" si="61"/>
        <v>35</v>
      </c>
      <c r="K234">
        <f t="shared" si="56"/>
        <v>2979</v>
      </c>
      <c r="M234" t="b">
        <f t="shared" si="62"/>
        <v>0</v>
      </c>
      <c r="N234" t="b">
        <f t="shared" si="63"/>
        <v>1</v>
      </c>
      <c r="O234" t="b">
        <f t="shared" si="64"/>
        <v>0</v>
      </c>
      <c r="P234" t="b">
        <f t="shared" si="65"/>
        <v>0</v>
      </c>
      <c r="Q234" t="b">
        <f t="shared" si="66"/>
        <v>0</v>
      </c>
      <c r="R234" t="b">
        <f t="shared" si="67"/>
        <v>1</v>
      </c>
      <c r="S234" t="b">
        <f t="shared" si="68"/>
        <v>0</v>
      </c>
      <c r="T234" t="b">
        <f t="shared" si="69"/>
        <v>0</v>
      </c>
      <c r="U234" t="b">
        <f t="shared" si="70"/>
        <v>1</v>
      </c>
      <c r="V234" t="b">
        <f t="shared" si="71"/>
        <v>0</v>
      </c>
    </row>
    <row r="235" spans="1:22" x14ac:dyDescent="0.35">
      <c r="A235" s="2">
        <v>3113</v>
      </c>
      <c r="B235" s="2">
        <f t="shared" si="57"/>
        <v>48</v>
      </c>
      <c r="C235" s="2">
        <f t="shared" si="58"/>
        <v>41</v>
      </c>
      <c r="D235" s="1" t="s">
        <v>156</v>
      </c>
      <c r="E235" t="str">
        <f t="shared" si="59"/>
        <v>1011</v>
      </c>
      <c r="F235" t="str">
        <f t="shared" si="54"/>
        <v>110000</v>
      </c>
      <c r="G235" t="str">
        <f t="shared" si="55"/>
        <v>110101</v>
      </c>
      <c r="H235" t="str">
        <f>LOOKUP(E235,Lookups!$A$1:$A$16,Lookups!$B$1:$B$16)</f>
        <v>t</v>
      </c>
      <c r="I235">
        <f t="shared" si="60"/>
        <v>48</v>
      </c>
      <c r="J235">
        <f t="shared" si="61"/>
        <v>53</v>
      </c>
      <c r="K235">
        <f t="shared" si="56"/>
        <v>3125</v>
      </c>
      <c r="M235" t="b">
        <f t="shared" si="62"/>
        <v>0</v>
      </c>
      <c r="N235" t="b">
        <f t="shared" si="63"/>
        <v>1</v>
      </c>
      <c r="O235" t="b">
        <f t="shared" si="64"/>
        <v>0</v>
      </c>
      <c r="P235" t="b">
        <f t="shared" si="65"/>
        <v>0</v>
      </c>
      <c r="Q235" t="b">
        <f t="shared" si="66"/>
        <v>0</v>
      </c>
      <c r="R235" t="b">
        <f t="shared" si="67"/>
        <v>1</v>
      </c>
      <c r="S235" t="b">
        <f t="shared" si="68"/>
        <v>0</v>
      </c>
      <c r="T235" t="b">
        <f t="shared" si="69"/>
        <v>0</v>
      </c>
      <c r="U235" t="b">
        <f t="shared" si="70"/>
        <v>0</v>
      </c>
      <c r="V235" t="b">
        <f t="shared" si="71"/>
        <v>0</v>
      </c>
    </row>
    <row r="236" spans="1:22" x14ac:dyDescent="0.35">
      <c r="A236" s="2">
        <v>3114</v>
      </c>
      <c r="B236" s="2">
        <f t="shared" si="57"/>
        <v>48</v>
      </c>
      <c r="C236" s="2">
        <f t="shared" si="58"/>
        <v>42</v>
      </c>
      <c r="D236" s="1" t="s">
        <v>157</v>
      </c>
      <c r="E236" t="str">
        <f t="shared" si="59"/>
        <v>0001</v>
      </c>
      <c r="F236" t="str">
        <f t="shared" si="54"/>
        <v>101110</v>
      </c>
      <c r="G236" t="str">
        <f t="shared" si="55"/>
        <v>100011</v>
      </c>
      <c r="H236" t="str">
        <f>LOOKUP(E236,Lookups!$A$1:$A$16,Lookups!$B$1:$B$16)</f>
        <v>b</v>
      </c>
      <c r="I236">
        <f t="shared" si="60"/>
        <v>46</v>
      </c>
      <c r="J236">
        <f t="shared" si="61"/>
        <v>35</v>
      </c>
      <c r="K236">
        <f t="shared" si="56"/>
        <v>2979</v>
      </c>
      <c r="M236" t="b">
        <f t="shared" si="62"/>
        <v>0</v>
      </c>
      <c r="N236" t="b">
        <f t="shared" si="63"/>
        <v>1</v>
      </c>
      <c r="O236" t="b">
        <f t="shared" si="64"/>
        <v>0</v>
      </c>
      <c r="P236" t="b">
        <f t="shared" si="65"/>
        <v>0</v>
      </c>
      <c r="Q236" t="b">
        <f t="shared" si="66"/>
        <v>0</v>
      </c>
      <c r="R236" t="b">
        <f t="shared" si="67"/>
        <v>1</v>
      </c>
      <c r="S236" t="b">
        <f t="shared" si="68"/>
        <v>0</v>
      </c>
      <c r="T236" t="b">
        <f t="shared" si="69"/>
        <v>0</v>
      </c>
      <c r="U236" t="b">
        <f t="shared" si="70"/>
        <v>0</v>
      </c>
      <c r="V236" t="b">
        <f t="shared" si="71"/>
        <v>0</v>
      </c>
    </row>
    <row r="237" spans="1:22" x14ac:dyDescent="0.35">
      <c r="A237" s="2">
        <v>3115</v>
      </c>
      <c r="B237" s="2">
        <f t="shared" si="57"/>
        <v>48</v>
      </c>
      <c r="C237" s="2">
        <f t="shared" si="58"/>
        <v>43</v>
      </c>
      <c r="D237" s="1" t="s">
        <v>158</v>
      </c>
      <c r="E237" t="str">
        <f t="shared" si="59"/>
        <v>1111</v>
      </c>
      <c r="F237" t="str">
        <f t="shared" si="54"/>
        <v>110010</v>
      </c>
      <c r="G237" t="str">
        <f t="shared" si="55"/>
        <v>011111</v>
      </c>
      <c r="H237" t="str">
        <f>LOOKUP(E237,Lookups!$A$1:$A$16,Lookups!$B$1:$B$16)</f>
        <v>s</v>
      </c>
      <c r="I237">
        <f t="shared" si="60"/>
        <v>50</v>
      </c>
      <c r="J237">
        <f t="shared" si="61"/>
        <v>31</v>
      </c>
      <c r="K237">
        <f t="shared" si="56"/>
        <v>3231</v>
      </c>
      <c r="M237" t="b">
        <f t="shared" si="62"/>
        <v>0</v>
      </c>
      <c r="N237" t="b">
        <f t="shared" si="63"/>
        <v>1</v>
      </c>
      <c r="O237" t="b">
        <f t="shared" si="64"/>
        <v>0</v>
      </c>
      <c r="P237" t="b">
        <f t="shared" si="65"/>
        <v>0</v>
      </c>
      <c r="Q237" t="b">
        <f t="shared" si="66"/>
        <v>0</v>
      </c>
      <c r="R237" t="b">
        <f t="shared" si="67"/>
        <v>1</v>
      </c>
      <c r="S237" t="b">
        <f t="shared" si="68"/>
        <v>0</v>
      </c>
      <c r="T237" t="b">
        <f t="shared" si="69"/>
        <v>0</v>
      </c>
      <c r="U237" t="b">
        <f t="shared" si="70"/>
        <v>0</v>
      </c>
      <c r="V237" t="b">
        <f t="shared" si="71"/>
        <v>0</v>
      </c>
    </row>
    <row r="238" spans="1:22" x14ac:dyDescent="0.35">
      <c r="A238" s="2">
        <v>3116</v>
      </c>
      <c r="B238" s="2">
        <f t="shared" si="57"/>
        <v>48</v>
      </c>
      <c r="C238" s="2">
        <f t="shared" si="58"/>
        <v>44</v>
      </c>
      <c r="D238" s="1" t="s">
        <v>156</v>
      </c>
      <c r="E238" t="str">
        <f t="shared" si="59"/>
        <v>1011</v>
      </c>
      <c r="F238" t="str">
        <f t="shared" si="54"/>
        <v>110000</v>
      </c>
      <c r="G238" t="str">
        <f t="shared" si="55"/>
        <v>110101</v>
      </c>
      <c r="H238" t="str">
        <f>LOOKUP(E238,Lookups!$A$1:$A$16,Lookups!$B$1:$B$16)</f>
        <v>t</v>
      </c>
      <c r="I238">
        <f t="shared" si="60"/>
        <v>48</v>
      </c>
      <c r="J238">
        <f t="shared" si="61"/>
        <v>53</v>
      </c>
      <c r="K238">
        <f t="shared" si="56"/>
        <v>3125</v>
      </c>
      <c r="M238" t="b">
        <f t="shared" si="62"/>
        <v>0</v>
      </c>
      <c r="N238" t="b">
        <f t="shared" si="63"/>
        <v>1</v>
      </c>
      <c r="O238" t="b">
        <f t="shared" si="64"/>
        <v>0</v>
      </c>
      <c r="P238" t="b">
        <f t="shared" si="65"/>
        <v>0</v>
      </c>
      <c r="Q238" t="b">
        <f t="shared" si="66"/>
        <v>0</v>
      </c>
      <c r="R238" t="b">
        <f t="shared" si="67"/>
        <v>1</v>
      </c>
      <c r="S238" t="b">
        <f t="shared" si="68"/>
        <v>0</v>
      </c>
      <c r="T238" t="b">
        <f t="shared" si="69"/>
        <v>0</v>
      </c>
      <c r="U238" t="b">
        <f t="shared" si="70"/>
        <v>0</v>
      </c>
      <c r="V238" t="b">
        <f t="shared" si="71"/>
        <v>0</v>
      </c>
    </row>
    <row r="239" spans="1:22" x14ac:dyDescent="0.35">
      <c r="A239" s="2">
        <v>3117</v>
      </c>
      <c r="B239" s="2">
        <f t="shared" si="57"/>
        <v>48</v>
      </c>
      <c r="C239" s="2">
        <f t="shared" si="58"/>
        <v>45</v>
      </c>
      <c r="D239" s="1" t="s">
        <v>31</v>
      </c>
      <c r="E239" t="str">
        <f t="shared" si="59"/>
        <v>0011</v>
      </c>
      <c r="F239" t="str">
        <f t="shared" si="54"/>
        <v>110011</v>
      </c>
      <c r="G239" t="str">
        <f t="shared" si="55"/>
        <v>000000</v>
      </c>
      <c r="H239" t="str">
        <f>LOOKUP(E239,Lookups!$A$1:$A$16,Lookups!$B$1:$B$16)</f>
        <v>r</v>
      </c>
      <c r="I239">
        <f t="shared" si="60"/>
        <v>51</v>
      </c>
      <c r="J239">
        <f t="shared" si="61"/>
        <v>0</v>
      </c>
      <c r="K239">
        <f t="shared" si="56"/>
        <v>3264</v>
      </c>
      <c r="M239" t="b">
        <f t="shared" si="62"/>
        <v>0</v>
      </c>
      <c r="N239" t="b">
        <f t="shared" si="63"/>
        <v>1</v>
      </c>
      <c r="O239" t="b">
        <f t="shared" si="64"/>
        <v>0</v>
      </c>
      <c r="P239" t="b">
        <f t="shared" si="65"/>
        <v>0</v>
      </c>
      <c r="Q239" t="b">
        <f t="shared" si="66"/>
        <v>0</v>
      </c>
      <c r="R239" t="b">
        <f t="shared" si="67"/>
        <v>0</v>
      </c>
      <c r="S239" t="b">
        <f t="shared" si="68"/>
        <v>0</v>
      </c>
      <c r="T239" t="b">
        <f t="shared" si="69"/>
        <v>0</v>
      </c>
      <c r="U239" t="b">
        <f t="shared" si="70"/>
        <v>0</v>
      </c>
      <c r="V239" t="b">
        <f t="shared" si="71"/>
        <v>0</v>
      </c>
    </row>
    <row r="240" spans="1:22" x14ac:dyDescent="0.35">
      <c r="A240" s="2">
        <v>3118</v>
      </c>
      <c r="B240" s="2">
        <f t="shared" si="57"/>
        <v>48</v>
      </c>
      <c r="C240" s="2">
        <f t="shared" si="58"/>
        <v>46</v>
      </c>
      <c r="D240" s="1" t="s">
        <v>32</v>
      </c>
      <c r="E240" t="str">
        <f t="shared" si="59"/>
        <v>1010</v>
      </c>
      <c r="F240" t="str">
        <f t="shared" si="54"/>
        <v>110011</v>
      </c>
      <c r="G240" t="str">
        <f t="shared" si="55"/>
        <v>000000</v>
      </c>
      <c r="H240" t="str">
        <f>LOOKUP(E240,Lookups!$A$1:$A$16,Lookups!$B$1:$B$16)</f>
        <v>u</v>
      </c>
      <c r="I240">
        <f t="shared" si="60"/>
        <v>51</v>
      </c>
      <c r="J240">
        <f t="shared" si="61"/>
        <v>0</v>
      </c>
      <c r="K240">
        <f t="shared" si="56"/>
        <v>3264</v>
      </c>
      <c r="M240" t="b">
        <f t="shared" si="62"/>
        <v>0</v>
      </c>
      <c r="N240" t="b">
        <f t="shared" si="63"/>
        <v>1</v>
      </c>
      <c r="O240" t="b">
        <f t="shared" si="64"/>
        <v>0</v>
      </c>
      <c r="P240" t="b">
        <f t="shared" si="65"/>
        <v>0</v>
      </c>
      <c r="Q240" t="b">
        <f t="shared" si="66"/>
        <v>0</v>
      </c>
      <c r="R240" t="b">
        <f t="shared" si="67"/>
        <v>0</v>
      </c>
      <c r="S240" t="b">
        <f t="shared" si="68"/>
        <v>0</v>
      </c>
      <c r="T240" t="b">
        <f t="shared" si="69"/>
        <v>0</v>
      </c>
      <c r="U240" t="b">
        <f t="shared" si="70"/>
        <v>0</v>
      </c>
      <c r="V240" t="b">
        <f t="shared" si="71"/>
        <v>0</v>
      </c>
    </row>
    <row r="241" spans="1:22" x14ac:dyDescent="0.35">
      <c r="A241" s="2">
        <v>3119</v>
      </c>
      <c r="B241" s="2">
        <f t="shared" si="57"/>
        <v>48</v>
      </c>
      <c r="C241" s="2">
        <f t="shared" si="58"/>
        <v>47</v>
      </c>
      <c r="D241" s="1" t="s">
        <v>159</v>
      </c>
      <c r="E241" t="str">
        <f t="shared" si="59"/>
        <v>0000</v>
      </c>
      <c r="F241" t="str">
        <f t="shared" si="54"/>
        <v>001010</v>
      </c>
      <c r="G241" t="str">
        <f t="shared" si="55"/>
        <v>000011</v>
      </c>
      <c r="H241" t="str">
        <f>LOOKUP(E241,Lookups!$A$1:$A$16,Lookups!$B$1:$B$16)</f>
        <v>z</v>
      </c>
      <c r="I241">
        <f t="shared" si="60"/>
        <v>10</v>
      </c>
      <c r="J241">
        <f t="shared" si="61"/>
        <v>3</v>
      </c>
      <c r="K241">
        <f t="shared" si="56"/>
        <v>643</v>
      </c>
      <c r="M241" t="b">
        <f t="shared" si="62"/>
        <v>1</v>
      </c>
      <c r="N241" t="b">
        <f t="shared" si="63"/>
        <v>1</v>
      </c>
      <c r="O241" t="b">
        <f t="shared" si="64"/>
        <v>1</v>
      </c>
      <c r="P241" t="b">
        <f t="shared" si="65"/>
        <v>0</v>
      </c>
      <c r="Q241" t="b">
        <f t="shared" si="66"/>
        <v>0</v>
      </c>
      <c r="R241" t="b">
        <f t="shared" si="67"/>
        <v>1</v>
      </c>
      <c r="S241" t="b">
        <f t="shared" si="68"/>
        <v>1</v>
      </c>
      <c r="T241" t="b">
        <f t="shared" si="69"/>
        <v>0</v>
      </c>
      <c r="U241" t="b">
        <f t="shared" si="70"/>
        <v>0</v>
      </c>
      <c r="V241" t="b">
        <f t="shared" si="71"/>
        <v>0</v>
      </c>
    </row>
    <row r="242" spans="1:22" x14ac:dyDescent="0.35">
      <c r="A242" s="2">
        <v>3120</v>
      </c>
      <c r="B242" s="2">
        <f t="shared" si="57"/>
        <v>48</v>
      </c>
      <c r="C242" s="2">
        <f t="shared" si="58"/>
        <v>48</v>
      </c>
      <c r="D242" s="1" t="s">
        <v>160</v>
      </c>
      <c r="E242" t="str">
        <f t="shared" si="59"/>
        <v>1010</v>
      </c>
      <c r="F242" t="str">
        <f t="shared" si="54"/>
        <v>101100</v>
      </c>
      <c r="G242" t="str">
        <f t="shared" si="55"/>
        <v>011001</v>
      </c>
      <c r="H242" t="str">
        <f>LOOKUP(E242,Lookups!$A$1:$A$16,Lookups!$B$1:$B$16)</f>
        <v>u</v>
      </c>
      <c r="I242">
        <f t="shared" si="60"/>
        <v>44</v>
      </c>
      <c r="J242">
        <f t="shared" si="61"/>
        <v>25</v>
      </c>
      <c r="K242">
        <f t="shared" si="56"/>
        <v>2841</v>
      </c>
      <c r="M242" t="b">
        <f t="shared" si="62"/>
        <v>0</v>
      </c>
      <c r="N242" t="b">
        <f t="shared" si="63"/>
        <v>1</v>
      </c>
      <c r="O242" t="b">
        <f t="shared" si="64"/>
        <v>0</v>
      </c>
      <c r="P242" t="b">
        <f t="shared" si="65"/>
        <v>0</v>
      </c>
      <c r="Q242" t="b">
        <f t="shared" si="66"/>
        <v>0</v>
      </c>
      <c r="R242" t="b">
        <f t="shared" si="67"/>
        <v>1</v>
      </c>
      <c r="S242" t="b">
        <f t="shared" si="68"/>
        <v>0</v>
      </c>
      <c r="T242" t="b">
        <f t="shared" si="69"/>
        <v>0</v>
      </c>
      <c r="U242" t="b">
        <f t="shared" si="70"/>
        <v>0</v>
      </c>
      <c r="V242" t="b">
        <f t="shared" si="71"/>
        <v>0</v>
      </c>
    </row>
    <row r="243" spans="1:22" x14ac:dyDescent="0.35">
      <c r="A243" s="2">
        <v>3121</v>
      </c>
      <c r="B243" s="2">
        <f t="shared" si="57"/>
        <v>48</v>
      </c>
      <c r="C243" s="2">
        <f t="shared" si="58"/>
        <v>49</v>
      </c>
      <c r="D243" s="1" t="s">
        <v>161</v>
      </c>
      <c r="E243" t="str">
        <f t="shared" si="59"/>
        <v>1010</v>
      </c>
      <c r="F243" t="str">
        <f t="shared" si="54"/>
        <v>101100</v>
      </c>
      <c r="G243" t="str">
        <f t="shared" si="55"/>
        <v>011111</v>
      </c>
      <c r="H243" t="str">
        <f>LOOKUP(E243,Lookups!$A$1:$A$16,Lookups!$B$1:$B$16)</f>
        <v>u</v>
      </c>
      <c r="I243">
        <f t="shared" si="60"/>
        <v>44</v>
      </c>
      <c r="J243">
        <f t="shared" si="61"/>
        <v>31</v>
      </c>
      <c r="K243">
        <f t="shared" si="56"/>
        <v>2847</v>
      </c>
      <c r="M243" t="b">
        <f t="shared" si="62"/>
        <v>0</v>
      </c>
      <c r="N243" t="b">
        <f t="shared" si="63"/>
        <v>1</v>
      </c>
      <c r="O243" t="b">
        <f t="shared" si="64"/>
        <v>0</v>
      </c>
      <c r="P243" t="b">
        <f t="shared" si="65"/>
        <v>0</v>
      </c>
      <c r="Q243" t="b">
        <f t="shared" si="66"/>
        <v>0</v>
      </c>
      <c r="R243" t="b">
        <f t="shared" si="67"/>
        <v>1</v>
      </c>
      <c r="S243" t="b">
        <f t="shared" si="68"/>
        <v>0</v>
      </c>
      <c r="T243" t="b">
        <f t="shared" si="69"/>
        <v>0</v>
      </c>
      <c r="U243" t="b">
        <f t="shared" si="70"/>
        <v>0</v>
      </c>
      <c r="V243" t="b">
        <f t="shared" si="71"/>
        <v>0</v>
      </c>
    </row>
    <row r="244" spans="1:22" x14ac:dyDescent="0.35">
      <c r="A244" s="2">
        <v>3122</v>
      </c>
      <c r="B244" s="2">
        <f t="shared" si="57"/>
        <v>48</v>
      </c>
      <c r="C244" s="2">
        <f t="shared" si="58"/>
        <v>50</v>
      </c>
      <c r="D244" s="1" t="s">
        <v>70</v>
      </c>
      <c r="E244" t="str">
        <f t="shared" si="59"/>
        <v>0001</v>
      </c>
      <c r="F244" t="str">
        <f t="shared" si="54"/>
        <v>101110</v>
      </c>
      <c r="G244" t="str">
        <f t="shared" si="55"/>
        <v>011110</v>
      </c>
      <c r="H244" t="str">
        <f>LOOKUP(E244,Lookups!$A$1:$A$16,Lookups!$B$1:$B$16)</f>
        <v>b</v>
      </c>
      <c r="I244">
        <f t="shared" si="60"/>
        <v>46</v>
      </c>
      <c r="J244">
        <f t="shared" si="61"/>
        <v>30</v>
      </c>
      <c r="K244">
        <f t="shared" si="56"/>
        <v>2974</v>
      </c>
      <c r="M244" t="b">
        <f t="shared" si="62"/>
        <v>0</v>
      </c>
      <c r="N244" t="b">
        <f t="shared" si="63"/>
        <v>1</v>
      </c>
      <c r="O244" t="b">
        <f t="shared" si="64"/>
        <v>0</v>
      </c>
      <c r="P244" t="b">
        <f t="shared" si="65"/>
        <v>0</v>
      </c>
      <c r="Q244" t="b">
        <f t="shared" si="66"/>
        <v>0</v>
      </c>
      <c r="R244" t="b">
        <f t="shared" si="67"/>
        <v>1</v>
      </c>
      <c r="S244" t="b">
        <f t="shared" si="68"/>
        <v>0</v>
      </c>
      <c r="T244" t="b">
        <f t="shared" si="69"/>
        <v>0</v>
      </c>
      <c r="U244" t="b">
        <f t="shared" si="70"/>
        <v>0</v>
      </c>
      <c r="V244" t="b">
        <f t="shared" si="71"/>
        <v>0</v>
      </c>
    </row>
    <row r="245" spans="1:22" x14ac:dyDescent="0.35">
      <c r="A245" s="2">
        <v>3123</v>
      </c>
      <c r="B245" s="2">
        <f t="shared" si="57"/>
        <v>48</v>
      </c>
      <c r="C245" s="2">
        <f t="shared" si="58"/>
        <v>51</v>
      </c>
      <c r="D245" s="1" t="s">
        <v>0</v>
      </c>
      <c r="E245" t="str">
        <f t="shared" si="59"/>
        <v>1101</v>
      </c>
      <c r="F245" t="str">
        <f t="shared" si="54"/>
        <v>101111</v>
      </c>
      <c r="G245" t="str">
        <f t="shared" si="55"/>
        <v>100011</v>
      </c>
      <c r="H245" t="str">
        <f>LOOKUP(E245,Lookups!$A$1:$A$16,Lookups!$B$1:$B$16)</f>
        <v>c</v>
      </c>
      <c r="I245">
        <f t="shared" si="60"/>
        <v>47</v>
      </c>
      <c r="J245">
        <f t="shared" si="61"/>
        <v>35</v>
      </c>
      <c r="K245">
        <f t="shared" si="56"/>
        <v>3043</v>
      </c>
      <c r="M245" t="b">
        <f t="shared" si="62"/>
        <v>0</v>
      </c>
      <c r="N245" t="b">
        <f t="shared" si="63"/>
        <v>1</v>
      </c>
      <c r="O245" t="b">
        <f t="shared" si="64"/>
        <v>0</v>
      </c>
      <c r="P245" t="b">
        <f t="shared" si="65"/>
        <v>0</v>
      </c>
      <c r="Q245" t="b">
        <f t="shared" si="66"/>
        <v>0</v>
      </c>
      <c r="R245" t="b">
        <f t="shared" si="67"/>
        <v>1</v>
      </c>
      <c r="S245" t="b">
        <f t="shared" si="68"/>
        <v>0</v>
      </c>
      <c r="T245" t="b">
        <f t="shared" si="69"/>
        <v>0</v>
      </c>
      <c r="U245" t="b">
        <f t="shared" si="70"/>
        <v>0</v>
      </c>
      <c r="V245" t="b">
        <f t="shared" si="71"/>
        <v>0</v>
      </c>
    </row>
    <row r="246" spans="1:22" x14ac:dyDescent="0.35">
      <c r="A246" s="2">
        <v>3124</v>
      </c>
      <c r="B246" s="2">
        <f t="shared" si="57"/>
        <v>48</v>
      </c>
      <c r="C246" s="2">
        <f t="shared" si="58"/>
        <v>52</v>
      </c>
      <c r="D246" s="1" t="s">
        <v>162</v>
      </c>
      <c r="E246" t="str">
        <f t="shared" si="59"/>
        <v>1010</v>
      </c>
      <c r="F246" t="str">
        <f t="shared" si="54"/>
        <v>110000</v>
      </c>
      <c r="G246" t="str">
        <f t="shared" si="55"/>
        <v>111101</v>
      </c>
      <c r="H246" t="str">
        <f>LOOKUP(E246,Lookups!$A$1:$A$16,Lookups!$B$1:$B$16)</f>
        <v>u</v>
      </c>
      <c r="I246">
        <f t="shared" si="60"/>
        <v>48</v>
      </c>
      <c r="J246">
        <f t="shared" si="61"/>
        <v>61</v>
      </c>
      <c r="K246">
        <f t="shared" si="56"/>
        <v>3133</v>
      </c>
      <c r="M246" t="b">
        <f t="shared" si="62"/>
        <v>0</v>
      </c>
      <c r="N246" t="b">
        <f t="shared" si="63"/>
        <v>1</v>
      </c>
      <c r="O246" t="b">
        <f t="shared" si="64"/>
        <v>0</v>
      </c>
      <c r="P246" t="b">
        <f t="shared" si="65"/>
        <v>0</v>
      </c>
      <c r="Q246" t="b">
        <f t="shared" si="66"/>
        <v>0</v>
      </c>
      <c r="R246" t="b">
        <f t="shared" si="67"/>
        <v>1</v>
      </c>
      <c r="S246" t="b">
        <f t="shared" si="68"/>
        <v>0</v>
      </c>
      <c r="T246" t="b">
        <f t="shared" si="69"/>
        <v>0</v>
      </c>
      <c r="U246" t="b">
        <f t="shared" si="70"/>
        <v>0</v>
      </c>
      <c r="V246" t="b">
        <f t="shared" si="71"/>
        <v>0</v>
      </c>
    </row>
    <row r="247" spans="1:22" x14ac:dyDescent="0.35">
      <c r="A247" s="2">
        <v>3125</v>
      </c>
      <c r="B247" s="2">
        <f t="shared" si="57"/>
        <v>48</v>
      </c>
      <c r="C247" s="2">
        <f t="shared" si="58"/>
        <v>53</v>
      </c>
      <c r="D247" s="1" t="s">
        <v>96</v>
      </c>
      <c r="E247" t="str">
        <f t="shared" si="59"/>
        <v>0001</v>
      </c>
      <c r="F247" t="str">
        <f t="shared" si="54"/>
        <v>110010</v>
      </c>
      <c r="G247" t="str">
        <f t="shared" si="55"/>
        <v>011111</v>
      </c>
      <c r="H247" t="str">
        <f>LOOKUP(E247,Lookups!$A$1:$A$16,Lookups!$B$1:$B$16)</f>
        <v>b</v>
      </c>
      <c r="I247">
        <f t="shared" si="60"/>
        <v>50</v>
      </c>
      <c r="J247">
        <f t="shared" si="61"/>
        <v>31</v>
      </c>
      <c r="K247">
        <f t="shared" si="56"/>
        <v>3231</v>
      </c>
      <c r="M247" t="b">
        <f t="shared" si="62"/>
        <v>0</v>
      </c>
      <c r="N247" t="b">
        <f t="shared" si="63"/>
        <v>1</v>
      </c>
      <c r="O247" t="b">
        <f t="shared" si="64"/>
        <v>0</v>
      </c>
      <c r="P247" t="b">
        <f t="shared" si="65"/>
        <v>0</v>
      </c>
      <c r="Q247" t="b">
        <f t="shared" si="66"/>
        <v>0</v>
      </c>
      <c r="R247" t="b">
        <f t="shared" si="67"/>
        <v>1</v>
      </c>
      <c r="S247" t="b">
        <f t="shared" si="68"/>
        <v>0</v>
      </c>
      <c r="T247" t="b">
        <f t="shared" si="69"/>
        <v>0</v>
      </c>
      <c r="U247" t="b">
        <f t="shared" si="70"/>
        <v>1</v>
      </c>
      <c r="V247" t="b">
        <f t="shared" si="71"/>
        <v>0</v>
      </c>
    </row>
    <row r="248" spans="1:22" x14ac:dyDescent="0.35">
      <c r="A248" s="2">
        <v>3126</v>
      </c>
      <c r="B248" s="2">
        <f t="shared" si="57"/>
        <v>48</v>
      </c>
      <c r="C248" s="2">
        <f t="shared" si="58"/>
        <v>54</v>
      </c>
      <c r="D248" s="1" t="s">
        <v>126</v>
      </c>
      <c r="E248" t="str">
        <f t="shared" si="59"/>
        <v>1111</v>
      </c>
      <c r="F248" t="str">
        <f t="shared" si="54"/>
        <v>101110</v>
      </c>
      <c r="G248" t="str">
        <f t="shared" si="55"/>
        <v>111111</v>
      </c>
      <c r="H248" t="str">
        <f>LOOKUP(E248,Lookups!$A$1:$A$16,Lookups!$B$1:$B$16)</f>
        <v>s</v>
      </c>
      <c r="I248">
        <f t="shared" si="60"/>
        <v>46</v>
      </c>
      <c r="J248">
        <f t="shared" si="61"/>
        <v>63</v>
      </c>
      <c r="K248">
        <f t="shared" si="56"/>
        <v>3007</v>
      </c>
      <c r="M248" t="b">
        <f t="shared" si="62"/>
        <v>0</v>
      </c>
      <c r="N248" t="b">
        <f t="shared" si="63"/>
        <v>1</v>
      </c>
      <c r="O248" t="b">
        <f t="shared" si="64"/>
        <v>0</v>
      </c>
      <c r="P248" t="b">
        <f t="shared" si="65"/>
        <v>0</v>
      </c>
      <c r="Q248" t="b">
        <f t="shared" si="66"/>
        <v>0</v>
      </c>
      <c r="R248" t="b">
        <f t="shared" si="67"/>
        <v>1</v>
      </c>
      <c r="S248" t="b">
        <f t="shared" si="68"/>
        <v>0</v>
      </c>
      <c r="T248" t="b">
        <f t="shared" si="69"/>
        <v>0</v>
      </c>
      <c r="U248" t="b">
        <f t="shared" si="70"/>
        <v>0</v>
      </c>
      <c r="V248" t="b">
        <f t="shared" si="71"/>
        <v>0</v>
      </c>
    </row>
    <row r="249" spans="1:22" x14ac:dyDescent="0.35">
      <c r="A249" s="2">
        <v>3127</v>
      </c>
      <c r="B249" s="2">
        <f t="shared" si="57"/>
        <v>48</v>
      </c>
      <c r="C249" s="2">
        <f t="shared" si="58"/>
        <v>55</v>
      </c>
      <c r="D249" s="1" t="s">
        <v>163</v>
      </c>
      <c r="E249" t="str">
        <f t="shared" si="59"/>
        <v>1011</v>
      </c>
      <c r="F249" t="str">
        <f t="shared" si="54"/>
        <v>110001</v>
      </c>
      <c r="G249" t="str">
        <f t="shared" si="55"/>
        <v>000100</v>
      </c>
      <c r="H249" t="str">
        <f>LOOKUP(E249,Lookups!$A$1:$A$16,Lookups!$B$1:$B$16)</f>
        <v>t</v>
      </c>
      <c r="I249">
        <f t="shared" si="60"/>
        <v>49</v>
      </c>
      <c r="J249">
        <f t="shared" si="61"/>
        <v>4</v>
      </c>
      <c r="K249">
        <f t="shared" si="56"/>
        <v>3140</v>
      </c>
      <c r="M249" t="b">
        <f t="shared" si="62"/>
        <v>0</v>
      </c>
      <c r="N249" t="b">
        <f t="shared" si="63"/>
        <v>1</v>
      </c>
      <c r="O249" t="b">
        <f t="shared" si="64"/>
        <v>0</v>
      </c>
      <c r="P249" t="b">
        <f t="shared" si="65"/>
        <v>0</v>
      </c>
      <c r="Q249" t="b">
        <f t="shared" si="66"/>
        <v>0</v>
      </c>
      <c r="R249" t="b">
        <f t="shared" si="67"/>
        <v>1</v>
      </c>
      <c r="S249" t="b">
        <f t="shared" si="68"/>
        <v>0</v>
      </c>
      <c r="T249" t="b">
        <f t="shared" si="69"/>
        <v>0</v>
      </c>
      <c r="U249" t="b">
        <f t="shared" si="70"/>
        <v>0</v>
      </c>
      <c r="V249" t="b">
        <f t="shared" si="71"/>
        <v>0</v>
      </c>
    </row>
    <row r="250" spans="1:22" x14ac:dyDescent="0.35">
      <c r="A250" s="2">
        <v>3128</v>
      </c>
      <c r="B250" s="2">
        <f t="shared" si="57"/>
        <v>48</v>
      </c>
      <c r="C250" s="2">
        <f t="shared" si="58"/>
        <v>56</v>
      </c>
      <c r="D250" s="1" t="s">
        <v>31</v>
      </c>
      <c r="E250" t="str">
        <f t="shared" si="59"/>
        <v>0011</v>
      </c>
      <c r="F250" t="str">
        <f t="shared" si="54"/>
        <v>110011</v>
      </c>
      <c r="G250" t="str">
        <f t="shared" si="55"/>
        <v>000000</v>
      </c>
      <c r="H250" t="str">
        <f>LOOKUP(E250,Lookups!$A$1:$A$16,Lookups!$B$1:$B$16)</f>
        <v>r</v>
      </c>
      <c r="I250">
        <f t="shared" si="60"/>
        <v>51</v>
      </c>
      <c r="J250">
        <f t="shared" si="61"/>
        <v>0</v>
      </c>
      <c r="K250">
        <f t="shared" si="56"/>
        <v>3264</v>
      </c>
      <c r="M250" t="b">
        <f t="shared" si="62"/>
        <v>0</v>
      </c>
      <c r="N250" t="b">
        <f t="shared" si="63"/>
        <v>1</v>
      </c>
      <c r="O250" t="b">
        <f t="shared" si="64"/>
        <v>0</v>
      </c>
      <c r="P250" t="b">
        <f t="shared" si="65"/>
        <v>0</v>
      </c>
      <c r="Q250" t="b">
        <f t="shared" si="66"/>
        <v>0</v>
      </c>
      <c r="R250" t="b">
        <f t="shared" si="67"/>
        <v>0</v>
      </c>
      <c r="S250" t="b">
        <f t="shared" si="68"/>
        <v>0</v>
      </c>
      <c r="T250" t="b">
        <f t="shared" si="69"/>
        <v>0</v>
      </c>
      <c r="U250" t="b">
        <f t="shared" si="70"/>
        <v>0</v>
      </c>
      <c r="V250" t="b">
        <f t="shared" si="71"/>
        <v>0</v>
      </c>
    </row>
    <row r="251" spans="1:22" x14ac:dyDescent="0.35">
      <c r="A251" s="2">
        <v>3129</v>
      </c>
      <c r="B251" s="2">
        <f t="shared" si="57"/>
        <v>48</v>
      </c>
      <c r="C251" s="2">
        <f t="shared" si="58"/>
        <v>57</v>
      </c>
      <c r="D251" s="1" t="s">
        <v>32</v>
      </c>
      <c r="E251" t="str">
        <f t="shared" si="59"/>
        <v>1010</v>
      </c>
      <c r="F251" t="str">
        <f t="shared" si="54"/>
        <v>110011</v>
      </c>
      <c r="G251" t="str">
        <f t="shared" si="55"/>
        <v>000000</v>
      </c>
      <c r="H251" t="str">
        <f>LOOKUP(E251,Lookups!$A$1:$A$16,Lookups!$B$1:$B$16)</f>
        <v>u</v>
      </c>
      <c r="I251">
        <f t="shared" si="60"/>
        <v>51</v>
      </c>
      <c r="J251">
        <f t="shared" si="61"/>
        <v>0</v>
      </c>
      <c r="K251">
        <f t="shared" si="56"/>
        <v>3264</v>
      </c>
      <c r="M251" t="b">
        <f t="shared" si="62"/>
        <v>0</v>
      </c>
      <c r="N251" t="b">
        <f t="shared" si="63"/>
        <v>1</v>
      </c>
      <c r="O251" t="b">
        <f t="shared" si="64"/>
        <v>0</v>
      </c>
      <c r="P251" t="b">
        <f t="shared" si="65"/>
        <v>0</v>
      </c>
      <c r="Q251" t="b">
        <f t="shared" si="66"/>
        <v>0</v>
      </c>
      <c r="R251" t="b">
        <f t="shared" si="67"/>
        <v>0</v>
      </c>
      <c r="S251" t="b">
        <f t="shared" si="68"/>
        <v>0</v>
      </c>
      <c r="T251" t="b">
        <f t="shared" si="69"/>
        <v>0</v>
      </c>
      <c r="U251" t="b">
        <f t="shared" si="70"/>
        <v>0</v>
      </c>
      <c r="V251" t="b">
        <f t="shared" si="71"/>
        <v>0</v>
      </c>
    </row>
    <row r="252" spans="1:22" x14ac:dyDescent="0.35">
      <c r="A252" s="2">
        <v>3130</v>
      </c>
      <c r="B252" s="2">
        <f t="shared" si="57"/>
        <v>48</v>
      </c>
      <c r="C252" s="2">
        <f t="shared" si="58"/>
        <v>58</v>
      </c>
      <c r="D252" s="1" t="s">
        <v>164</v>
      </c>
      <c r="E252" t="str">
        <f t="shared" si="59"/>
        <v>0000</v>
      </c>
      <c r="F252" t="str">
        <f t="shared" si="54"/>
        <v>101100</v>
      </c>
      <c r="G252" t="str">
        <f t="shared" si="55"/>
        <v>000001</v>
      </c>
      <c r="H252" t="str">
        <f>LOOKUP(E252,Lookups!$A$1:$A$16,Lookups!$B$1:$B$16)</f>
        <v>z</v>
      </c>
      <c r="I252">
        <f t="shared" si="60"/>
        <v>44</v>
      </c>
      <c r="J252">
        <f t="shared" si="61"/>
        <v>1</v>
      </c>
      <c r="K252">
        <f t="shared" si="56"/>
        <v>2817</v>
      </c>
      <c r="M252" t="b">
        <f t="shared" si="62"/>
        <v>1</v>
      </c>
      <c r="N252" t="b">
        <f t="shared" si="63"/>
        <v>1</v>
      </c>
      <c r="O252" t="b">
        <f t="shared" si="64"/>
        <v>1</v>
      </c>
      <c r="P252" t="b">
        <f t="shared" si="65"/>
        <v>0</v>
      </c>
      <c r="Q252" t="b">
        <f t="shared" si="66"/>
        <v>0</v>
      </c>
      <c r="R252" t="b">
        <f t="shared" si="67"/>
        <v>1</v>
      </c>
      <c r="S252" t="b">
        <f t="shared" si="68"/>
        <v>1</v>
      </c>
      <c r="T252" t="b">
        <f t="shared" si="69"/>
        <v>0</v>
      </c>
      <c r="U252" t="b">
        <f t="shared" si="70"/>
        <v>0</v>
      </c>
      <c r="V252" t="b">
        <f t="shared" si="71"/>
        <v>0</v>
      </c>
    </row>
    <row r="253" spans="1:22" x14ac:dyDescent="0.35">
      <c r="A253" s="2">
        <v>3131</v>
      </c>
      <c r="B253" s="2">
        <f t="shared" si="57"/>
        <v>48</v>
      </c>
      <c r="C253" s="2">
        <f t="shared" si="58"/>
        <v>59</v>
      </c>
      <c r="D253" s="1" t="s">
        <v>165</v>
      </c>
      <c r="E253" t="str">
        <f t="shared" si="59"/>
        <v>0010</v>
      </c>
      <c r="F253" t="str">
        <f t="shared" si="54"/>
        <v>011010</v>
      </c>
      <c r="G253" t="str">
        <f t="shared" si="55"/>
        <v>001010</v>
      </c>
      <c r="H253" t="str">
        <f>LOOKUP(E253,Lookups!$A$1:$A$16,Lookups!$B$1:$B$16)</f>
        <v>y</v>
      </c>
      <c r="I253">
        <f t="shared" si="60"/>
        <v>26</v>
      </c>
      <c r="J253">
        <f t="shared" si="61"/>
        <v>10</v>
      </c>
      <c r="K253">
        <f t="shared" si="56"/>
        <v>1674</v>
      </c>
      <c r="M253" t="b">
        <f t="shared" si="62"/>
        <v>0</v>
      </c>
      <c r="N253" t="b">
        <f t="shared" si="63"/>
        <v>1</v>
      </c>
      <c r="O253" t="b">
        <f t="shared" si="64"/>
        <v>0</v>
      </c>
      <c r="P253" t="b">
        <f t="shared" si="65"/>
        <v>0</v>
      </c>
      <c r="Q253" t="b">
        <f t="shared" si="66"/>
        <v>0</v>
      </c>
      <c r="R253" t="b">
        <f t="shared" si="67"/>
        <v>1</v>
      </c>
      <c r="S253" t="b">
        <f t="shared" si="68"/>
        <v>0</v>
      </c>
      <c r="T253" t="b">
        <f t="shared" si="69"/>
        <v>0</v>
      </c>
      <c r="U253" t="b">
        <f t="shared" si="70"/>
        <v>0</v>
      </c>
      <c r="V253" t="b">
        <f t="shared" si="71"/>
        <v>0</v>
      </c>
    </row>
    <row r="254" spans="1:22" x14ac:dyDescent="0.35">
      <c r="A254" s="2">
        <v>3132</v>
      </c>
      <c r="B254" s="2">
        <f t="shared" si="57"/>
        <v>48</v>
      </c>
      <c r="C254" s="2">
        <f t="shared" si="58"/>
        <v>60</v>
      </c>
      <c r="D254" s="1" t="s">
        <v>166</v>
      </c>
      <c r="E254" t="str">
        <f t="shared" si="59"/>
        <v>1110</v>
      </c>
      <c r="F254" t="str">
        <f t="shared" si="54"/>
        <v>111110</v>
      </c>
      <c r="G254" t="str">
        <f t="shared" si="55"/>
        <v>011111</v>
      </c>
      <c r="H254" t="str">
        <f>LOOKUP(E254,Lookups!$A$1:$A$16,Lookups!$B$1:$B$16)</f>
        <v>a</v>
      </c>
      <c r="I254">
        <f t="shared" si="60"/>
        <v>62</v>
      </c>
      <c r="J254">
        <f t="shared" si="61"/>
        <v>31</v>
      </c>
      <c r="K254">
        <f t="shared" si="56"/>
        <v>3999</v>
      </c>
      <c r="M254" t="b">
        <f t="shared" si="62"/>
        <v>0</v>
      </c>
      <c r="N254" t="b">
        <f t="shared" si="63"/>
        <v>1</v>
      </c>
      <c r="O254" t="b">
        <f t="shared" si="64"/>
        <v>0</v>
      </c>
      <c r="P254" t="b">
        <f t="shared" si="65"/>
        <v>0</v>
      </c>
      <c r="Q254" t="b">
        <f t="shared" si="66"/>
        <v>0</v>
      </c>
      <c r="R254" t="b">
        <f t="shared" si="67"/>
        <v>1</v>
      </c>
      <c r="S254" t="b">
        <f t="shared" si="68"/>
        <v>0</v>
      </c>
      <c r="T254" t="b">
        <f t="shared" si="69"/>
        <v>0</v>
      </c>
      <c r="U254" t="b">
        <f t="shared" si="70"/>
        <v>0</v>
      </c>
      <c r="V254" t="b">
        <f t="shared" si="71"/>
        <v>0</v>
      </c>
    </row>
    <row r="255" spans="1:22" x14ac:dyDescent="0.35">
      <c r="A255" s="2">
        <v>3133</v>
      </c>
      <c r="B255" s="2">
        <f t="shared" si="57"/>
        <v>48</v>
      </c>
      <c r="C255" s="2">
        <f t="shared" si="58"/>
        <v>61</v>
      </c>
      <c r="D255" s="1" t="s">
        <v>167</v>
      </c>
      <c r="E255" t="str">
        <f t="shared" si="59"/>
        <v>0001</v>
      </c>
      <c r="F255" t="str">
        <f t="shared" si="54"/>
        <v>101110</v>
      </c>
      <c r="G255" t="str">
        <f t="shared" si="55"/>
        <v>101001</v>
      </c>
      <c r="H255" t="str">
        <f>LOOKUP(E255,Lookups!$A$1:$A$16,Lookups!$B$1:$B$16)</f>
        <v>b</v>
      </c>
      <c r="I255">
        <f t="shared" si="60"/>
        <v>46</v>
      </c>
      <c r="J255">
        <f t="shared" si="61"/>
        <v>41</v>
      </c>
      <c r="K255">
        <f t="shared" si="56"/>
        <v>2985</v>
      </c>
      <c r="M255" t="b">
        <f t="shared" si="62"/>
        <v>0</v>
      </c>
      <c r="N255" t="b">
        <f t="shared" si="63"/>
        <v>1</v>
      </c>
      <c r="O255" t="b">
        <f t="shared" si="64"/>
        <v>0</v>
      </c>
      <c r="P255" t="b">
        <f t="shared" si="65"/>
        <v>0</v>
      </c>
      <c r="Q255" t="b">
        <f t="shared" si="66"/>
        <v>0</v>
      </c>
      <c r="R255" t="b">
        <f t="shared" si="67"/>
        <v>1</v>
      </c>
      <c r="S255" t="b">
        <f t="shared" si="68"/>
        <v>0</v>
      </c>
      <c r="T255" t="b">
        <f t="shared" si="69"/>
        <v>0</v>
      </c>
      <c r="U255" t="b">
        <f t="shared" si="70"/>
        <v>1</v>
      </c>
      <c r="V255" t="b">
        <f t="shared" si="71"/>
        <v>0</v>
      </c>
    </row>
    <row r="256" spans="1:22" x14ac:dyDescent="0.35">
      <c r="A256" s="2">
        <v>3134</v>
      </c>
      <c r="B256" s="2">
        <f t="shared" si="57"/>
        <v>48</v>
      </c>
      <c r="C256" s="2">
        <f t="shared" si="58"/>
        <v>62</v>
      </c>
      <c r="D256" s="1" t="s">
        <v>91</v>
      </c>
      <c r="E256" t="str">
        <f t="shared" si="59"/>
        <v>1101</v>
      </c>
      <c r="F256" t="str">
        <f t="shared" si="54"/>
        <v>110011</v>
      </c>
      <c r="G256" t="str">
        <f t="shared" si="55"/>
        <v>101101</v>
      </c>
      <c r="H256" t="str">
        <f>LOOKUP(E256,Lookups!$A$1:$A$16,Lookups!$B$1:$B$16)</f>
        <v>c</v>
      </c>
      <c r="I256">
        <f t="shared" si="60"/>
        <v>51</v>
      </c>
      <c r="J256">
        <f t="shared" si="61"/>
        <v>45</v>
      </c>
      <c r="K256">
        <f t="shared" si="56"/>
        <v>3309</v>
      </c>
      <c r="M256" t="b">
        <f t="shared" si="62"/>
        <v>0</v>
      </c>
      <c r="N256" t="b">
        <f t="shared" si="63"/>
        <v>1</v>
      </c>
      <c r="O256" t="b">
        <f t="shared" si="64"/>
        <v>0</v>
      </c>
      <c r="P256" t="b">
        <f t="shared" si="65"/>
        <v>0</v>
      </c>
      <c r="Q256" t="b">
        <f t="shared" si="66"/>
        <v>0</v>
      </c>
      <c r="R256" t="b">
        <f t="shared" si="67"/>
        <v>1</v>
      </c>
      <c r="S256" t="b">
        <f t="shared" si="68"/>
        <v>0</v>
      </c>
      <c r="T256" t="b">
        <f t="shared" si="69"/>
        <v>0</v>
      </c>
      <c r="U256" t="b">
        <f t="shared" si="70"/>
        <v>0</v>
      </c>
      <c r="V256" t="b">
        <f t="shared" si="71"/>
        <v>0</v>
      </c>
    </row>
    <row r="257" spans="1:22" x14ac:dyDescent="0.35">
      <c r="A257" s="2">
        <v>3135</v>
      </c>
      <c r="B257" s="2">
        <f t="shared" si="57"/>
        <v>48</v>
      </c>
      <c r="C257" s="2">
        <f t="shared" si="58"/>
        <v>63</v>
      </c>
      <c r="D257" s="1" t="s">
        <v>168</v>
      </c>
      <c r="E257" t="str">
        <f t="shared" si="59"/>
        <v>0001</v>
      </c>
      <c r="F257" t="str">
        <f t="shared" si="54"/>
        <v>110010</v>
      </c>
      <c r="G257" t="str">
        <f t="shared" si="55"/>
        <v>011110</v>
      </c>
      <c r="H257" t="str">
        <f>LOOKUP(E257,Lookups!$A$1:$A$16,Lookups!$B$1:$B$16)</f>
        <v>b</v>
      </c>
      <c r="I257">
        <f t="shared" si="60"/>
        <v>50</v>
      </c>
      <c r="J257">
        <f t="shared" si="61"/>
        <v>30</v>
      </c>
      <c r="K257">
        <f t="shared" si="56"/>
        <v>3230</v>
      </c>
      <c r="M257" t="b">
        <f t="shared" si="62"/>
        <v>0</v>
      </c>
      <c r="N257" t="b">
        <f t="shared" si="63"/>
        <v>1</v>
      </c>
      <c r="O257" t="b">
        <f t="shared" si="64"/>
        <v>0</v>
      </c>
      <c r="P257" t="b">
        <f t="shared" si="65"/>
        <v>0</v>
      </c>
      <c r="Q257" t="b">
        <f t="shared" si="66"/>
        <v>0</v>
      </c>
      <c r="R257" t="b">
        <f t="shared" si="67"/>
        <v>1</v>
      </c>
      <c r="S257" t="b">
        <f t="shared" si="68"/>
        <v>0</v>
      </c>
      <c r="T257" t="b">
        <f t="shared" si="69"/>
        <v>0</v>
      </c>
      <c r="U257" t="b">
        <f t="shared" si="70"/>
        <v>0</v>
      </c>
      <c r="V257" t="b">
        <f t="shared" si="71"/>
        <v>0</v>
      </c>
    </row>
    <row r="258" spans="1:22" x14ac:dyDescent="0.35">
      <c r="A258" s="2">
        <v>3136</v>
      </c>
      <c r="B258" s="2">
        <f t="shared" si="57"/>
        <v>49</v>
      </c>
      <c r="C258" s="2">
        <f t="shared" si="58"/>
        <v>0</v>
      </c>
      <c r="D258" s="1" t="s">
        <v>14</v>
      </c>
      <c r="E258" t="str">
        <f t="shared" si="59"/>
        <v>1110</v>
      </c>
      <c r="F258" t="str">
        <f t="shared" ref="F258:F321" si="72">MID(D258,19,6)</f>
        <v>101110</v>
      </c>
      <c r="G258" t="str">
        <f t="shared" ref="G258:G321" si="73">MID(D258,25,6)</f>
        <v>100011</v>
      </c>
      <c r="H258" t="str">
        <f>LOOKUP(E258,Lookups!$A$1:$A$16,Lookups!$B$1:$B$16)</f>
        <v>a</v>
      </c>
      <c r="I258">
        <f t="shared" si="60"/>
        <v>46</v>
      </c>
      <c r="J258">
        <f t="shared" si="61"/>
        <v>35</v>
      </c>
      <c r="K258">
        <f t="shared" ref="K258:K321" si="74">I258*64+J258</f>
        <v>2979</v>
      </c>
      <c r="M258" t="b">
        <f t="shared" si="62"/>
        <v>0</v>
      </c>
      <c r="N258" t="b">
        <f t="shared" si="63"/>
        <v>1</v>
      </c>
      <c r="O258" t="b">
        <f t="shared" si="64"/>
        <v>0</v>
      </c>
      <c r="P258" t="b">
        <f t="shared" si="65"/>
        <v>0</v>
      </c>
      <c r="Q258" t="b">
        <f t="shared" si="66"/>
        <v>0</v>
      </c>
      <c r="R258" t="b">
        <f t="shared" si="67"/>
        <v>1</v>
      </c>
      <c r="S258" t="b">
        <f t="shared" si="68"/>
        <v>0</v>
      </c>
      <c r="T258" t="b">
        <f t="shared" si="69"/>
        <v>0</v>
      </c>
      <c r="U258" t="b">
        <f t="shared" si="70"/>
        <v>0</v>
      </c>
      <c r="V258" t="b">
        <f t="shared" si="71"/>
        <v>0</v>
      </c>
    </row>
    <row r="259" spans="1:22" x14ac:dyDescent="0.35">
      <c r="A259" s="2">
        <v>3137</v>
      </c>
      <c r="B259" s="2">
        <f t="shared" ref="B259:B322" si="75">QUOTIENT(A259,64)</f>
        <v>49</v>
      </c>
      <c r="C259" s="2">
        <f t="shared" ref="C259:C322" si="76">MOD(A259,64)</f>
        <v>1</v>
      </c>
      <c r="D259" s="1" t="s">
        <v>1</v>
      </c>
      <c r="E259" t="str">
        <f t="shared" ref="E259:E322" si="77">MID(D259,13,4)</f>
        <v>1101</v>
      </c>
      <c r="F259" t="str">
        <f t="shared" si="72"/>
        <v>110010</v>
      </c>
      <c r="G259" t="str">
        <f t="shared" si="73"/>
        <v>011110</v>
      </c>
      <c r="H259" t="str">
        <f>LOOKUP(E259,Lookups!$A$1:$A$16,Lookups!$B$1:$B$16)</f>
        <v>c</v>
      </c>
      <c r="I259">
        <f t="shared" ref="I259:I322" si="78">BIN2DEC(F259)</f>
        <v>50</v>
      </c>
      <c r="J259">
        <f t="shared" ref="J259:J322" si="79">BIN2DEC(G259)</f>
        <v>30</v>
      </c>
      <c r="K259">
        <f t="shared" si="74"/>
        <v>3230</v>
      </c>
      <c r="M259" t="b">
        <f t="shared" ref="M259:M322" si="80">IF(H259="z", TRUE,FALSE)</f>
        <v>0</v>
      </c>
      <c r="N259" t="b">
        <f t="shared" ref="N259:N322" si="81">IF(AND(I259,60),TRUE,FALSE)</f>
        <v>1</v>
      </c>
      <c r="O259" t="b">
        <f t="shared" ref="O259:O322" si="82">IF(AND(M259,N259),TRUE,FALSE)</f>
        <v>0</v>
      </c>
      <c r="P259" t="b">
        <f t="shared" ref="P259:P322" si="83">IF(I259=0,TRUE, FALSE)</f>
        <v>0</v>
      </c>
      <c r="Q259" t="b">
        <f t="shared" ref="Q259:Q322" si="84">IF(AND(M259,P259),TRUE,FALSE)</f>
        <v>0</v>
      </c>
      <c r="R259" t="b">
        <f t="shared" ref="R259:R322" si="85">IF(J259&lt;&gt;0,TRUE,FALSE)</f>
        <v>1</v>
      </c>
      <c r="S259" t="b">
        <f t="shared" ref="S259:S322" si="86">IF(AND(M259,R259),TRUE,FALSE)</f>
        <v>0</v>
      </c>
      <c r="T259" t="b">
        <f t="shared" ref="T259:T322" si="87">IF(AND(OR(O259,Q259),NOT(S259)),TRUE,FALSE)</f>
        <v>0</v>
      </c>
      <c r="U259" t="b">
        <f t="shared" ref="U259:U322" si="88">IF(AND(A259,COUNTIF($K$2:$K$449,A259)),TRUE,FALSE)</f>
        <v>0</v>
      </c>
      <c r="V259" t="b">
        <f t="shared" ref="V259:V322" si="89">IF(AND(T259,U259),TRUE,FALSE)</f>
        <v>0</v>
      </c>
    </row>
    <row r="260" spans="1:22" x14ac:dyDescent="0.35">
      <c r="A260" s="2">
        <v>3138</v>
      </c>
      <c r="B260" s="2">
        <f t="shared" si="75"/>
        <v>49</v>
      </c>
      <c r="C260" s="2">
        <f t="shared" si="76"/>
        <v>2</v>
      </c>
      <c r="D260" s="1" t="s">
        <v>155</v>
      </c>
      <c r="E260" t="str">
        <f t="shared" si="77"/>
        <v>1010</v>
      </c>
      <c r="F260" t="str">
        <f t="shared" si="72"/>
        <v>110001</v>
      </c>
      <c r="G260" t="str">
        <f t="shared" si="73"/>
        <v>001100</v>
      </c>
      <c r="H260" t="str">
        <f>LOOKUP(E260,Lookups!$A$1:$A$16,Lookups!$B$1:$B$16)</f>
        <v>u</v>
      </c>
      <c r="I260">
        <f t="shared" si="78"/>
        <v>49</v>
      </c>
      <c r="J260">
        <f t="shared" si="79"/>
        <v>12</v>
      </c>
      <c r="K260">
        <f t="shared" si="74"/>
        <v>3148</v>
      </c>
      <c r="M260" t="b">
        <f t="shared" si="80"/>
        <v>0</v>
      </c>
      <c r="N260" t="b">
        <f t="shared" si="81"/>
        <v>1</v>
      </c>
      <c r="O260" t="b">
        <f t="shared" si="82"/>
        <v>0</v>
      </c>
      <c r="P260" t="b">
        <f t="shared" si="83"/>
        <v>0</v>
      </c>
      <c r="Q260" t="b">
        <f t="shared" si="84"/>
        <v>0</v>
      </c>
      <c r="R260" t="b">
        <f t="shared" si="85"/>
        <v>1</v>
      </c>
      <c r="S260" t="b">
        <f t="shared" si="86"/>
        <v>0</v>
      </c>
      <c r="T260" t="b">
        <f t="shared" si="87"/>
        <v>0</v>
      </c>
      <c r="U260" t="b">
        <f t="shared" si="88"/>
        <v>0</v>
      </c>
      <c r="V260" t="b">
        <f t="shared" si="89"/>
        <v>0</v>
      </c>
    </row>
    <row r="261" spans="1:22" x14ac:dyDescent="0.35">
      <c r="A261" s="2">
        <v>3139</v>
      </c>
      <c r="B261" s="2">
        <f t="shared" si="75"/>
        <v>49</v>
      </c>
      <c r="C261" s="2">
        <f t="shared" si="76"/>
        <v>3</v>
      </c>
      <c r="D261" s="1" t="s">
        <v>169</v>
      </c>
      <c r="E261" t="str">
        <f t="shared" si="77"/>
        <v>0000</v>
      </c>
      <c r="F261" t="str">
        <f t="shared" si="72"/>
        <v>000001</v>
      </c>
      <c r="G261" t="str">
        <f t="shared" si="73"/>
        <v>000000</v>
      </c>
      <c r="H261" t="str">
        <f>LOOKUP(E261,Lookups!$A$1:$A$16,Lookups!$B$1:$B$16)</f>
        <v>z</v>
      </c>
      <c r="I261">
        <f t="shared" si="78"/>
        <v>1</v>
      </c>
      <c r="J261">
        <f t="shared" si="79"/>
        <v>0</v>
      </c>
      <c r="K261">
        <f t="shared" si="74"/>
        <v>64</v>
      </c>
      <c r="M261" t="b">
        <f t="shared" si="80"/>
        <v>1</v>
      </c>
      <c r="N261" t="b">
        <f t="shared" si="81"/>
        <v>1</v>
      </c>
      <c r="O261" t="b">
        <f t="shared" si="82"/>
        <v>1</v>
      </c>
      <c r="P261" t="b">
        <f t="shared" si="83"/>
        <v>0</v>
      </c>
      <c r="Q261" t="b">
        <f t="shared" si="84"/>
        <v>0</v>
      </c>
      <c r="R261" t="b">
        <f t="shared" si="85"/>
        <v>0</v>
      </c>
      <c r="S261" t="b">
        <f t="shared" si="86"/>
        <v>0</v>
      </c>
      <c r="T261" t="b">
        <f t="shared" si="87"/>
        <v>1</v>
      </c>
      <c r="U261" t="b">
        <f t="shared" si="88"/>
        <v>1</v>
      </c>
      <c r="V261" t="b">
        <f t="shared" si="89"/>
        <v>1</v>
      </c>
    </row>
    <row r="262" spans="1:22" x14ac:dyDescent="0.35">
      <c r="A262" s="2">
        <v>3140</v>
      </c>
      <c r="B262" s="2">
        <f t="shared" si="75"/>
        <v>49</v>
      </c>
      <c r="C262" s="2">
        <f t="shared" si="76"/>
        <v>4</v>
      </c>
      <c r="D262" s="1" t="s">
        <v>31</v>
      </c>
      <c r="E262" t="str">
        <f t="shared" si="77"/>
        <v>0011</v>
      </c>
      <c r="F262" t="str">
        <f t="shared" si="72"/>
        <v>110011</v>
      </c>
      <c r="G262" t="str">
        <f t="shared" si="73"/>
        <v>000000</v>
      </c>
      <c r="H262" t="str">
        <f>LOOKUP(E262,Lookups!$A$1:$A$16,Lookups!$B$1:$B$16)</f>
        <v>r</v>
      </c>
      <c r="I262">
        <f t="shared" si="78"/>
        <v>51</v>
      </c>
      <c r="J262">
        <f t="shared" si="79"/>
        <v>0</v>
      </c>
      <c r="K262">
        <f t="shared" si="74"/>
        <v>3264</v>
      </c>
      <c r="M262" t="b">
        <f t="shared" si="80"/>
        <v>0</v>
      </c>
      <c r="N262" t="b">
        <f t="shared" si="81"/>
        <v>1</v>
      </c>
      <c r="O262" t="b">
        <f t="shared" si="82"/>
        <v>0</v>
      </c>
      <c r="P262" t="b">
        <f t="shared" si="83"/>
        <v>0</v>
      </c>
      <c r="Q262" t="b">
        <f t="shared" si="84"/>
        <v>0</v>
      </c>
      <c r="R262" t="b">
        <f t="shared" si="85"/>
        <v>0</v>
      </c>
      <c r="S262" t="b">
        <f t="shared" si="86"/>
        <v>0</v>
      </c>
      <c r="T262" t="b">
        <f t="shared" si="87"/>
        <v>0</v>
      </c>
      <c r="U262" t="b">
        <f t="shared" si="88"/>
        <v>1</v>
      </c>
      <c r="V262" t="b">
        <f t="shared" si="89"/>
        <v>0</v>
      </c>
    </row>
    <row r="263" spans="1:22" x14ac:dyDescent="0.35">
      <c r="A263" s="2">
        <v>3141</v>
      </c>
      <c r="B263" s="2">
        <f t="shared" si="75"/>
        <v>49</v>
      </c>
      <c r="C263" s="2">
        <f t="shared" si="76"/>
        <v>5</v>
      </c>
      <c r="D263" s="1" t="s">
        <v>32</v>
      </c>
      <c r="E263" t="str">
        <f t="shared" si="77"/>
        <v>1010</v>
      </c>
      <c r="F263" t="str">
        <f t="shared" si="72"/>
        <v>110011</v>
      </c>
      <c r="G263" t="str">
        <f t="shared" si="73"/>
        <v>000000</v>
      </c>
      <c r="H263" t="str">
        <f>LOOKUP(E263,Lookups!$A$1:$A$16,Lookups!$B$1:$B$16)</f>
        <v>u</v>
      </c>
      <c r="I263">
        <f t="shared" si="78"/>
        <v>51</v>
      </c>
      <c r="J263">
        <f t="shared" si="79"/>
        <v>0</v>
      </c>
      <c r="K263">
        <f t="shared" si="74"/>
        <v>3264</v>
      </c>
      <c r="M263" t="b">
        <f t="shared" si="80"/>
        <v>0</v>
      </c>
      <c r="N263" t="b">
        <f t="shared" si="81"/>
        <v>1</v>
      </c>
      <c r="O263" t="b">
        <f t="shared" si="82"/>
        <v>0</v>
      </c>
      <c r="P263" t="b">
        <f t="shared" si="83"/>
        <v>0</v>
      </c>
      <c r="Q263" t="b">
        <f t="shared" si="84"/>
        <v>0</v>
      </c>
      <c r="R263" t="b">
        <f t="shared" si="85"/>
        <v>0</v>
      </c>
      <c r="S263" t="b">
        <f t="shared" si="86"/>
        <v>0</v>
      </c>
      <c r="T263" t="b">
        <f t="shared" si="87"/>
        <v>0</v>
      </c>
      <c r="U263" t="b">
        <f t="shared" si="88"/>
        <v>0</v>
      </c>
      <c r="V263" t="b">
        <f t="shared" si="89"/>
        <v>0</v>
      </c>
    </row>
    <row r="264" spans="1:22" x14ac:dyDescent="0.35">
      <c r="A264" s="2">
        <v>3142</v>
      </c>
      <c r="B264" s="2">
        <f t="shared" si="75"/>
        <v>49</v>
      </c>
      <c r="C264" s="2">
        <f t="shared" si="76"/>
        <v>6</v>
      </c>
      <c r="D264" s="1" t="s">
        <v>170</v>
      </c>
      <c r="E264" t="str">
        <f t="shared" si="77"/>
        <v>0000</v>
      </c>
      <c r="F264" t="str">
        <f t="shared" si="72"/>
        <v>011010</v>
      </c>
      <c r="G264" t="str">
        <f t="shared" si="73"/>
        <v>010001</v>
      </c>
      <c r="H264" t="str">
        <f>LOOKUP(E264,Lookups!$A$1:$A$16,Lookups!$B$1:$B$16)</f>
        <v>z</v>
      </c>
      <c r="I264">
        <f t="shared" si="78"/>
        <v>26</v>
      </c>
      <c r="J264">
        <f t="shared" si="79"/>
        <v>17</v>
      </c>
      <c r="K264">
        <f t="shared" si="74"/>
        <v>1681</v>
      </c>
      <c r="M264" t="b">
        <f t="shared" si="80"/>
        <v>1</v>
      </c>
      <c r="N264" t="b">
        <f t="shared" si="81"/>
        <v>1</v>
      </c>
      <c r="O264" t="b">
        <f t="shared" si="82"/>
        <v>1</v>
      </c>
      <c r="P264" t="b">
        <f t="shared" si="83"/>
        <v>0</v>
      </c>
      <c r="Q264" t="b">
        <f t="shared" si="84"/>
        <v>0</v>
      </c>
      <c r="R264" t="b">
        <f t="shared" si="85"/>
        <v>1</v>
      </c>
      <c r="S264" t="b">
        <f t="shared" si="86"/>
        <v>1</v>
      </c>
      <c r="T264" t="b">
        <f t="shared" si="87"/>
        <v>0</v>
      </c>
      <c r="U264" t="b">
        <f t="shared" si="88"/>
        <v>0</v>
      </c>
      <c r="V264" t="b">
        <f t="shared" si="89"/>
        <v>0</v>
      </c>
    </row>
    <row r="265" spans="1:22" x14ac:dyDescent="0.35">
      <c r="A265" s="2">
        <v>3143</v>
      </c>
      <c r="B265" s="2">
        <f t="shared" si="75"/>
        <v>49</v>
      </c>
      <c r="C265" s="2">
        <f t="shared" si="76"/>
        <v>7</v>
      </c>
      <c r="D265" s="1" t="s">
        <v>171</v>
      </c>
      <c r="E265" t="str">
        <f t="shared" si="77"/>
        <v>0010</v>
      </c>
      <c r="F265" t="str">
        <f t="shared" si="72"/>
        <v>001100</v>
      </c>
      <c r="G265" t="str">
        <f t="shared" si="73"/>
        <v>000001</v>
      </c>
      <c r="H265" t="str">
        <f>LOOKUP(E265,Lookups!$A$1:$A$16,Lookups!$B$1:$B$16)</f>
        <v>y</v>
      </c>
      <c r="I265">
        <f t="shared" si="78"/>
        <v>12</v>
      </c>
      <c r="J265">
        <f t="shared" si="79"/>
        <v>1</v>
      </c>
      <c r="K265">
        <f t="shared" si="74"/>
        <v>769</v>
      </c>
      <c r="M265" t="b">
        <f t="shared" si="80"/>
        <v>0</v>
      </c>
      <c r="N265" t="b">
        <f t="shared" si="81"/>
        <v>1</v>
      </c>
      <c r="O265" t="b">
        <f t="shared" si="82"/>
        <v>0</v>
      </c>
      <c r="P265" t="b">
        <f t="shared" si="83"/>
        <v>0</v>
      </c>
      <c r="Q265" t="b">
        <f t="shared" si="84"/>
        <v>0</v>
      </c>
      <c r="R265" t="b">
        <f t="shared" si="85"/>
        <v>1</v>
      </c>
      <c r="S265" t="b">
        <f t="shared" si="86"/>
        <v>0</v>
      </c>
      <c r="T265" t="b">
        <f t="shared" si="87"/>
        <v>0</v>
      </c>
      <c r="U265" t="b">
        <f t="shared" si="88"/>
        <v>0</v>
      </c>
      <c r="V265" t="b">
        <f t="shared" si="89"/>
        <v>0</v>
      </c>
    </row>
    <row r="266" spans="1:22" x14ac:dyDescent="0.35">
      <c r="A266" s="2">
        <v>3144</v>
      </c>
      <c r="B266" s="2">
        <f t="shared" si="75"/>
        <v>49</v>
      </c>
      <c r="C266" s="2">
        <f t="shared" si="76"/>
        <v>8</v>
      </c>
      <c r="D266" s="1" t="s">
        <v>172</v>
      </c>
      <c r="E266" t="str">
        <f t="shared" si="77"/>
        <v>0110</v>
      </c>
      <c r="F266" t="str">
        <f t="shared" si="72"/>
        <v>111110</v>
      </c>
      <c r="G266" t="str">
        <f t="shared" si="73"/>
        <v>011111</v>
      </c>
      <c r="H266" t="str">
        <f>LOOKUP(E266,Lookups!$A$1:$A$16,Lookups!$B$1:$B$16)</f>
        <v>n</v>
      </c>
      <c r="I266">
        <f t="shared" si="78"/>
        <v>62</v>
      </c>
      <c r="J266">
        <f t="shared" si="79"/>
        <v>31</v>
      </c>
      <c r="K266">
        <f t="shared" si="74"/>
        <v>3999</v>
      </c>
      <c r="M266" t="b">
        <f t="shared" si="80"/>
        <v>0</v>
      </c>
      <c r="N266" t="b">
        <f t="shared" si="81"/>
        <v>1</v>
      </c>
      <c r="O266" t="b">
        <f t="shared" si="82"/>
        <v>0</v>
      </c>
      <c r="P266" t="b">
        <f t="shared" si="83"/>
        <v>0</v>
      </c>
      <c r="Q266" t="b">
        <f t="shared" si="84"/>
        <v>0</v>
      </c>
      <c r="R266" t="b">
        <f t="shared" si="85"/>
        <v>1</v>
      </c>
      <c r="S266" t="b">
        <f t="shared" si="86"/>
        <v>0</v>
      </c>
      <c r="T266" t="b">
        <f t="shared" si="87"/>
        <v>0</v>
      </c>
      <c r="U266" t="b">
        <f t="shared" si="88"/>
        <v>0</v>
      </c>
      <c r="V266" t="b">
        <f t="shared" si="89"/>
        <v>0</v>
      </c>
    </row>
    <row r="267" spans="1:22" x14ac:dyDescent="0.35">
      <c r="A267" s="2">
        <v>3145</v>
      </c>
      <c r="B267" s="2">
        <f t="shared" si="75"/>
        <v>49</v>
      </c>
      <c r="C267" s="2">
        <f t="shared" si="76"/>
        <v>9</v>
      </c>
      <c r="D267" s="1" t="s">
        <v>113</v>
      </c>
      <c r="E267" t="str">
        <f t="shared" si="77"/>
        <v>0001</v>
      </c>
      <c r="F267" t="str">
        <f t="shared" si="72"/>
        <v>110011</v>
      </c>
      <c r="G267" t="str">
        <f t="shared" si="73"/>
        <v>101101</v>
      </c>
      <c r="H267" t="str">
        <f>LOOKUP(E267,Lookups!$A$1:$A$16,Lookups!$B$1:$B$16)</f>
        <v>b</v>
      </c>
      <c r="I267">
        <f t="shared" si="78"/>
        <v>51</v>
      </c>
      <c r="J267">
        <f t="shared" si="79"/>
        <v>45</v>
      </c>
      <c r="K267">
        <f t="shared" si="74"/>
        <v>3309</v>
      </c>
      <c r="M267" t="b">
        <f t="shared" si="80"/>
        <v>0</v>
      </c>
      <c r="N267" t="b">
        <f t="shared" si="81"/>
        <v>1</v>
      </c>
      <c r="O267" t="b">
        <f t="shared" si="82"/>
        <v>0</v>
      </c>
      <c r="P267" t="b">
        <f t="shared" si="83"/>
        <v>0</v>
      </c>
      <c r="Q267" t="b">
        <f t="shared" si="84"/>
        <v>0</v>
      </c>
      <c r="R267" t="b">
        <f t="shared" si="85"/>
        <v>1</v>
      </c>
      <c r="S267" t="b">
        <f t="shared" si="86"/>
        <v>0</v>
      </c>
      <c r="T267" t="b">
        <f t="shared" si="87"/>
        <v>0</v>
      </c>
      <c r="U267" t="b">
        <f t="shared" si="88"/>
        <v>0</v>
      </c>
      <c r="V267" t="b">
        <f t="shared" si="89"/>
        <v>0</v>
      </c>
    </row>
    <row r="268" spans="1:22" x14ac:dyDescent="0.35">
      <c r="A268" s="2">
        <v>3146</v>
      </c>
      <c r="B268" s="2">
        <f t="shared" si="75"/>
        <v>49</v>
      </c>
      <c r="C268" s="2">
        <f t="shared" si="76"/>
        <v>10</v>
      </c>
      <c r="D268" s="1" t="s">
        <v>173</v>
      </c>
      <c r="E268" t="str">
        <f t="shared" si="77"/>
        <v>0011</v>
      </c>
      <c r="F268" t="str">
        <f t="shared" si="72"/>
        <v>110010</v>
      </c>
      <c r="G268" t="str">
        <f t="shared" si="73"/>
        <v>101110</v>
      </c>
      <c r="H268" t="str">
        <f>LOOKUP(E268,Lookups!$A$1:$A$16,Lookups!$B$1:$B$16)</f>
        <v>r</v>
      </c>
      <c r="I268">
        <f t="shared" si="78"/>
        <v>50</v>
      </c>
      <c r="J268">
        <f t="shared" si="79"/>
        <v>46</v>
      </c>
      <c r="K268">
        <f t="shared" si="74"/>
        <v>3246</v>
      </c>
      <c r="M268" t="b">
        <f t="shared" si="80"/>
        <v>0</v>
      </c>
      <c r="N268" t="b">
        <f t="shared" si="81"/>
        <v>1</v>
      </c>
      <c r="O268" t="b">
        <f t="shared" si="82"/>
        <v>0</v>
      </c>
      <c r="P268" t="b">
        <f t="shared" si="83"/>
        <v>0</v>
      </c>
      <c r="Q268" t="b">
        <f t="shared" si="84"/>
        <v>0</v>
      </c>
      <c r="R268" t="b">
        <f t="shared" si="85"/>
        <v>1</v>
      </c>
      <c r="S268" t="b">
        <f t="shared" si="86"/>
        <v>0</v>
      </c>
      <c r="T268" t="b">
        <f t="shared" si="87"/>
        <v>0</v>
      </c>
      <c r="U268" t="b">
        <f t="shared" si="88"/>
        <v>0</v>
      </c>
      <c r="V268" t="b">
        <f t="shared" si="89"/>
        <v>0</v>
      </c>
    </row>
    <row r="269" spans="1:22" x14ac:dyDescent="0.35">
      <c r="A269" s="2">
        <v>3147</v>
      </c>
      <c r="B269" s="2">
        <f t="shared" si="75"/>
        <v>49</v>
      </c>
      <c r="C269" s="2">
        <f t="shared" si="76"/>
        <v>11</v>
      </c>
      <c r="D269" s="1" t="s">
        <v>174</v>
      </c>
      <c r="E269" t="str">
        <f t="shared" si="77"/>
        <v>1010</v>
      </c>
      <c r="F269" t="str">
        <f t="shared" si="72"/>
        <v>110010</v>
      </c>
      <c r="G269" t="str">
        <f t="shared" si="73"/>
        <v>100000</v>
      </c>
      <c r="H269" t="str">
        <f>LOOKUP(E269,Lookups!$A$1:$A$16,Lookups!$B$1:$B$16)</f>
        <v>u</v>
      </c>
      <c r="I269">
        <f t="shared" si="78"/>
        <v>50</v>
      </c>
      <c r="J269">
        <f t="shared" si="79"/>
        <v>32</v>
      </c>
      <c r="K269">
        <f t="shared" si="74"/>
        <v>3232</v>
      </c>
      <c r="M269" t="b">
        <f t="shared" si="80"/>
        <v>0</v>
      </c>
      <c r="N269" t="b">
        <f t="shared" si="81"/>
        <v>1</v>
      </c>
      <c r="O269" t="b">
        <f t="shared" si="82"/>
        <v>0</v>
      </c>
      <c r="P269" t="b">
        <f t="shared" si="83"/>
        <v>0</v>
      </c>
      <c r="Q269" t="b">
        <f t="shared" si="84"/>
        <v>0</v>
      </c>
      <c r="R269" t="b">
        <f t="shared" si="85"/>
        <v>1</v>
      </c>
      <c r="S269" t="b">
        <f t="shared" si="86"/>
        <v>0</v>
      </c>
      <c r="T269" t="b">
        <f t="shared" si="87"/>
        <v>0</v>
      </c>
      <c r="U269" t="b">
        <f t="shared" si="88"/>
        <v>0</v>
      </c>
      <c r="V269" t="b">
        <f t="shared" si="89"/>
        <v>0</v>
      </c>
    </row>
    <row r="270" spans="1:22" x14ac:dyDescent="0.35">
      <c r="A270" s="2">
        <v>3148</v>
      </c>
      <c r="B270" s="2">
        <f t="shared" si="75"/>
        <v>49</v>
      </c>
      <c r="C270" s="2">
        <f t="shared" si="76"/>
        <v>12</v>
      </c>
      <c r="D270" s="1" t="s">
        <v>116</v>
      </c>
      <c r="E270" t="str">
        <f t="shared" si="77"/>
        <v>0001</v>
      </c>
      <c r="F270" t="str">
        <f t="shared" si="72"/>
        <v>110010</v>
      </c>
      <c r="G270" t="str">
        <f t="shared" si="73"/>
        <v>011101</v>
      </c>
      <c r="H270" t="str">
        <f>LOOKUP(E270,Lookups!$A$1:$A$16,Lookups!$B$1:$B$16)</f>
        <v>b</v>
      </c>
      <c r="I270">
        <f t="shared" si="78"/>
        <v>50</v>
      </c>
      <c r="J270">
        <f t="shared" si="79"/>
        <v>29</v>
      </c>
      <c r="K270">
        <f t="shared" si="74"/>
        <v>3229</v>
      </c>
      <c r="M270" t="b">
        <f t="shared" si="80"/>
        <v>0</v>
      </c>
      <c r="N270" t="b">
        <f t="shared" si="81"/>
        <v>1</v>
      </c>
      <c r="O270" t="b">
        <f t="shared" si="82"/>
        <v>0</v>
      </c>
      <c r="P270" t="b">
        <f t="shared" si="83"/>
        <v>0</v>
      </c>
      <c r="Q270" t="b">
        <f t="shared" si="84"/>
        <v>0</v>
      </c>
      <c r="R270" t="b">
        <f t="shared" si="85"/>
        <v>1</v>
      </c>
      <c r="S270" t="b">
        <f t="shared" si="86"/>
        <v>0</v>
      </c>
      <c r="T270" t="b">
        <f t="shared" si="87"/>
        <v>0</v>
      </c>
      <c r="U270" t="b">
        <f t="shared" si="88"/>
        <v>1</v>
      </c>
      <c r="V270" t="b">
        <f t="shared" si="89"/>
        <v>0</v>
      </c>
    </row>
    <row r="271" spans="1:22" x14ac:dyDescent="0.35">
      <c r="A271" s="2">
        <v>3149</v>
      </c>
      <c r="B271" s="2">
        <f t="shared" si="75"/>
        <v>49</v>
      </c>
      <c r="C271" s="2">
        <f t="shared" si="76"/>
        <v>13</v>
      </c>
      <c r="D271" s="1" t="s">
        <v>102</v>
      </c>
      <c r="E271" t="str">
        <f t="shared" si="77"/>
        <v>1001</v>
      </c>
      <c r="F271" t="str">
        <f t="shared" si="72"/>
        <v>101101</v>
      </c>
      <c r="G271" t="str">
        <f t="shared" si="73"/>
        <v>111110</v>
      </c>
      <c r="H271" t="str">
        <f>LOOKUP(E271,Lookups!$A$1:$A$16,Lookups!$B$1:$B$16)</f>
        <v>e</v>
      </c>
      <c r="I271">
        <f t="shared" si="78"/>
        <v>45</v>
      </c>
      <c r="J271">
        <f t="shared" si="79"/>
        <v>62</v>
      </c>
      <c r="K271">
        <f t="shared" si="74"/>
        <v>2942</v>
      </c>
      <c r="M271" t="b">
        <f t="shared" si="80"/>
        <v>0</v>
      </c>
      <c r="N271" t="b">
        <f t="shared" si="81"/>
        <v>1</v>
      </c>
      <c r="O271" t="b">
        <f t="shared" si="82"/>
        <v>0</v>
      </c>
      <c r="P271" t="b">
        <f t="shared" si="83"/>
        <v>0</v>
      </c>
      <c r="Q271" t="b">
        <f t="shared" si="84"/>
        <v>0</v>
      </c>
      <c r="R271" t="b">
        <f t="shared" si="85"/>
        <v>1</v>
      </c>
      <c r="S271" t="b">
        <f t="shared" si="86"/>
        <v>0</v>
      </c>
      <c r="T271" t="b">
        <f t="shared" si="87"/>
        <v>0</v>
      </c>
      <c r="U271" t="b">
        <f t="shared" si="88"/>
        <v>0</v>
      </c>
      <c r="V271" t="b">
        <f t="shared" si="89"/>
        <v>0</v>
      </c>
    </row>
    <row r="272" spans="1:22" x14ac:dyDescent="0.35">
      <c r="A272" s="2">
        <v>3150</v>
      </c>
      <c r="B272" s="2">
        <f t="shared" si="75"/>
        <v>49</v>
      </c>
      <c r="C272" s="2">
        <f t="shared" si="76"/>
        <v>14</v>
      </c>
      <c r="D272" s="1" t="s">
        <v>110</v>
      </c>
      <c r="E272" t="str">
        <f t="shared" si="77"/>
        <v>1100</v>
      </c>
      <c r="F272" t="str">
        <f t="shared" si="72"/>
        <v>110010</v>
      </c>
      <c r="G272" t="str">
        <f t="shared" si="73"/>
        <v>011101</v>
      </c>
      <c r="H272" t="str">
        <f>LOOKUP(E272,Lookups!$A$1:$A$16,Lookups!$B$1:$B$16)</f>
        <v>h</v>
      </c>
      <c r="I272">
        <f t="shared" si="78"/>
        <v>50</v>
      </c>
      <c r="J272">
        <f t="shared" si="79"/>
        <v>29</v>
      </c>
      <c r="K272">
        <f t="shared" si="74"/>
        <v>3229</v>
      </c>
      <c r="M272" t="b">
        <f t="shared" si="80"/>
        <v>0</v>
      </c>
      <c r="N272" t="b">
        <f t="shared" si="81"/>
        <v>1</v>
      </c>
      <c r="O272" t="b">
        <f t="shared" si="82"/>
        <v>0</v>
      </c>
      <c r="P272" t="b">
        <f t="shared" si="83"/>
        <v>0</v>
      </c>
      <c r="Q272" t="b">
        <f t="shared" si="84"/>
        <v>0</v>
      </c>
      <c r="R272" t="b">
        <f t="shared" si="85"/>
        <v>1</v>
      </c>
      <c r="S272" t="b">
        <f t="shared" si="86"/>
        <v>0</v>
      </c>
      <c r="T272" t="b">
        <f t="shared" si="87"/>
        <v>0</v>
      </c>
      <c r="U272" t="b">
        <f t="shared" si="88"/>
        <v>0</v>
      </c>
      <c r="V272" t="b">
        <f t="shared" si="89"/>
        <v>0</v>
      </c>
    </row>
    <row r="273" spans="1:22" x14ac:dyDescent="0.35">
      <c r="A273" s="2">
        <v>3151</v>
      </c>
      <c r="B273" s="2">
        <f t="shared" si="75"/>
        <v>49</v>
      </c>
      <c r="C273" s="2">
        <f t="shared" si="76"/>
        <v>15</v>
      </c>
      <c r="D273" s="1" t="s">
        <v>103</v>
      </c>
      <c r="E273" t="str">
        <f t="shared" si="77"/>
        <v>1111</v>
      </c>
      <c r="F273" t="str">
        <f t="shared" si="72"/>
        <v>101110</v>
      </c>
      <c r="G273" t="str">
        <f t="shared" si="73"/>
        <v>101001</v>
      </c>
      <c r="H273" t="str">
        <f>LOOKUP(E273,Lookups!$A$1:$A$16,Lookups!$B$1:$B$16)</f>
        <v>s</v>
      </c>
      <c r="I273">
        <f t="shared" si="78"/>
        <v>46</v>
      </c>
      <c r="J273">
        <f t="shared" si="79"/>
        <v>41</v>
      </c>
      <c r="K273">
        <f t="shared" si="74"/>
        <v>2985</v>
      </c>
      <c r="M273" t="b">
        <f t="shared" si="80"/>
        <v>0</v>
      </c>
      <c r="N273" t="b">
        <f t="shared" si="81"/>
        <v>1</v>
      </c>
      <c r="O273" t="b">
        <f t="shared" si="82"/>
        <v>0</v>
      </c>
      <c r="P273" t="b">
        <f t="shared" si="83"/>
        <v>0</v>
      </c>
      <c r="Q273" t="b">
        <f t="shared" si="84"/>
        <v>0</v>
      </c>
      <c r="R273" t="b">
        <f t="shared" si="85"/>
        <v>1</v>
      </c>
      <c r="S273" t="b">
        <f t="shared" si="86"/>
        <v>0</v>
      </c>
      <c r="T273" t="b">
        <f t="shared" si="87"/>
        <v>0</v>
      </c>
      <c r="U273" t="b">
        <f t="shared" si="88"/>
        <v>0</v>
      </c>
      <c r="V273" t="b">
        <f t="shared" si="89"/>
        <v>0</v>
      </c>
    </row>
    <row r="274" spans="1:22" x14ac:dyDescent="0.35">
      <c r="A274" s="2">
        <v>3152</v>
      </c>
      <c r="B274" s="2">
        <f t="shared" si="75"/>
        <v>49</v>
      </c>
      <c r="C274" s="2">
        <f t="shared" si="76"/>
        <v>16</v>
      </c>
      <c r="D274" s="1" t="s">
        <v>175</v>
      </c>
      <c r="E274" t="str">
        <f t="shared" si="77"/>
        <v>1011</v>
      </c>
      <c r="F274" t="str">
        <f t="shared" si="72"/>
        <v>110010</v>
      </c>
      <c r="G274" t="str">
        <f t="shared" si="73"/>
        <v>000001</v>
      </c>
      <c r="H274" t="str">
        <f>LOOKUP(E274,Lookups!$A$1:$A$16,Lookups!$B$1:$B$16)</f>
        <v>t</v>
      </c>
      <c r="I274">
        <f t="shared" si="78"/>
        <v>50</v>
      </c>
      <c r="J274">
        <f t="shared" si="79"/>
        <v>1</v>
      </c>
      <c r="K274">
        <f t="shared" si="74"/>
        <v>3201</v>
      </c>
      <c r="M274" t="b">
        <f t="shared" si="80"/>
        <v>0</v>
      </c>
      <c r="N274" t="b">
        <f t="shared" si="81"/>
        <v>1</v>
      </c>
      <c r="O274" t="b">
        <f t="shared" si="82"/>
        <v>0</v>
      </c>
      <c r="P274" t="b">
        <f t="shared" si="83"/>
        <v>0</v>
      </c>
      <c r="Q274" t="b">
        <f t="shared" si="84"/>
        <v>0</v>
      </c>
      <c r="R274" t="b">
        <f t="shared" si="85"/>
        <v>1</v>
      </c>
      <c r="S274" t="b">
        <f t="shared" si="86"/>
        <v>0</v>
      </c>
      <c r="T274" t="b">
        <f t="shared" si="87"/>
        <v>0</v>
      </c>
      <c r="U274" t="b">
        <f t="shared" si="88"/>
        <v>0</v>
      </c>
      <c r="V274" t="b">
        <f t="shared" si="89"/>
        <v>0</v>
      </c>
    </row>
    <row r="275" spans="1:22" x14ac:dyDescent="0.35">
      <c r="A275" s="2">
        <v>3153</v>
      </c>
      <c r="B275" s="2">
        <f t="shared" si="75"/>
        <v>49</v>
      </c>
      <c r="C275" s="2">
        <f t="shared" si="76"/>
        <v>17</v>
      </c>
      <c r="D275" s="1" t="s">
        <v>31</v>
      </c>
      <c r="E275" t="str">
        <f t="shared" si="77"/>
        <v>0011</v>
      </c>
      <c r="F275" t="str">
        <f t="shared" si="72"/>
        <v>110011</v>
      </c>
      <c r="G275" t="str">
        <f t="shared" si="73"/>
        <v>000000</v>
      </c>
      <c r="H275" t="str">
        <f>LOOKUP(E275,Lookups!$A$1:$A$16,Lookups!$B$1:$B$16)</f>
        <v>r</v>
      </c>
      <c r="I275">
        <f t="shared" si="78"/>
        <v>51</v>
      </c>
      <c r="J275">
        <f t="shared" si="79"/>
        <v>0</v>
      </c>
      <c r="K275">
        <f t="shared" si="74"/>
        <v>3264</v>
      </c>
      <c r="M275" t="b">
        <f t="shared" si="80"/>
        <v>0</v>
      </c>
      <c r="N275" t="b">
        <f t="shared" si="81"/>
        <v>1</v>
      </c>
      <c r="O275" t="b">
        <f t="shared" si="82"/>
        <v>0</v>
      </c>
      <c r="P275" t="b">
        <f t="shared" si="83"/>
        <v>0</v>
      </c>
      <c r="Q275" t="b">
        <f t="shared" si="84"/>
        <v>0</v>
      </c>
      <c r="R275" t="b">
        <f t="shared" si="85"/>
        <v>0</v>
      </c>
      <c r="S275" t="b">
        <f t="shared" si="86"/>
        <v>0</v>
      </c>
      <c r="T275" t="b">
        <f t="shared" si="87"/>
        <v>0</v>
      </c>
      <c r="U275" t="b">
        <f t="shared" si="88"/>
        <v>0</v>
      </c>
      <c r="V275" t="b">
        <f t="shared" si="89"/>
        <v>0</v>
      </c>
    </row>
    <row r="276" spans="1:22" x14ac:dyDescent="0.35">
      <c r="A276" s="2">
        <v>3154</v>
      </c>
      <c r="B276" s="2">
        <f t="shared" si="75"/>
        <v>49</v>
      </c>
      <c r="C276" s="2">
        <f t="shared" si="76"/>
        <v>18</v>
      </c>
      <c r="D276" s="1" t="s">
        <v>32</v>
      </c>
      <c r="E276" t="str">
        <f t="shared" si="77"/>
        <v>1010</v>
      </c>
      <c r="F276" t="str">
        <f t="shared" si="72"/>
        <v>110011</v>
      </c>
      <c r="G276" t="str">
        <f t="shared" si="73"/>
        <v>000000</v>
      </c>
      <c r="H276" t="str">
        <f>LOOKUP(E276,Lookups!$A$1:$A$16,Lookups!$B$1:$B$16)</f>
        <v>u</v>
      </c>
      <c r="I276">
        <f t="shared" si="78"/>
        <v>51</v>
      </c>
      <c r="J276">
        <f t="shared" si="79"/>
        <v>0</v>
      </c>
      <c r="K276">
        <f t="shared" si="74"/>
        <v>3264</v>
      </c>
      <c r="M276" t="b">
        <f t="shared" si="80"/>
        <v>0</v>
      </c>
      <c r="N276" t="b">
        <f t="shared" si="81"/>
        <v>1</v>
      </c>
      <c r="O276" t="b">
        <f t="shared" si="82"/>
        <v>0</v>
      </c>
      <c r="P276" t="b">
        <f t="shared" si="83"/>
        <v>0</v>
      </c>
      <c r="Q276" t="b">
        <f t="shared" si="84"/>
        <v>0</v>
      </c>
      <c r="R276" t="b">
        <f t="shared" si="85"/>
        <v>0</v>
      </c>
      <c r="S276" t="b">
        <f t="shared" si="86"/>
        <v>0</v>
      </c>
      <c r="T276" t="b">
        <f t="shared" si="87"/>
        <v>0</v>
      </c>
      <c r="U276" t="b">
        <f t="shared" si="88"/>
        <v>0</v>
      </c>
      <c r="V276" t="b">
        <f t="shared" si="89"/>
        <v>0</v>
      </c>
    </row>
    <row r="277" spans="1:22" x14ac:dyDescent="0.35">
      <c r="A277" s="2">
        <v>3155</v>
      </c>
      <c r="B277" s="2">
        <f t="shared" si="75"/>
        <v>49</v>
      </c>
      <c r="C277" s="2">
        <f t="shared" si="76"/>
        <v>19</v>
      </c>
      <c r="D277" s="1" t="s">
        <v>176</v>
      </c>
      <c r="E277" t="str">
        <f t="shared" si="77"/>
        <v>1000</v>
      </c>
      <c r="F277" t="str">
        <f t="shared" si="72"/>
        <v>001010</v>
      </c>
      <c r="G277" t="str">
        <f t="shared" si="73"/>
        <v>010100</v>
      </c>
      <c r="H277" t="str">
        <f>LOOKUP(E277,Lookups!$A$1:$A$16,Lookups!$B$1:$B$16)</f>
        <v>p</v>
      </c>
      <c r="I277">
        <f t="shared" si="78"/>
        <v>10</v>
      </c>
      <c r="J277">
        <f t="shared" si="79"/>
        <v>20</v>
      </c>
      <c r="K277">
        <f t="shared" si="74"/>
        <v>660</v>
      </c>
      <c r="M277" t="b">
        <f t="shared" si="80"/>
        <v>0</v>
      </c>
      <c r="N277" t="b">
        <f t="shared" si="81"/>
        <v>1</v>
      </c>
      <c r="O277" t="b">
        <f t="shared" si="82"/>
        <v>0</v>
      </c>
      <c r="P277" t="b">
        <f t="shared" si="83"/>
        <v>0</v>
      </c>
      <c r="Q277" t="b">
        <f t="shared" si="84"/>
        <v>0</v>
      </c>
      <c r="R277" t="b">
        <f t="shared" si="85"/>
        <v>1</v>
      </c>
      <c r="S277" t="b">
        <f t="shared" si="86"/>
        <v>0</v>
      </c>
      <c r="T277" t="b">
        <f t="shared" si="87"/>
        <v>0</v>
      </c>
      <c r="U277" t="b">
        <f t="shared" si="88"/>
        <v>0</v>
      </c>
      <c r="V277" t="b">
        <f t="shared" si="89"/>
        <v>0</v>
      </c>
    </row>
    <row r="278" spans="1:22" x14ac:dyDescent="0.35">
      <c r="A278" s="2">
        <v>3156</v>
      </c>
      <c r="B278" s="2">
        <f t="shared" si="75"/>
        <v>49</v>
      </c>
      <c r="C278" s="2">
        <f t="shared" si="76"/>
        <v>20</v>
      </c>
      <c r="D278" s="1" t="s">
        <v>177</v>
      </c>
      <c r="E278" t="str">
        <f t="shared" si="77"/>
        <v>1010</v>
      </c>
      <c r="F278" t="str">
        <f t="shared" si="72"/>
        <v>011000</v>
      </c>
      <c r="G278" t="str">
        <f t="shared" si="73"/>
        <v>000001</v>
      </c>
      <c r="H278" t="str">
        <f>LOOKUP(E278,Lookups!$A$1:$A$16,Lookups!$B$1:$B$16)</f>
        <v>u</v>
      </c>
      <c r="I278">
        <f t="shared" si="78"/>
        <v>24</v>
      </c>
      <c r="J278">
        <f t="shared" si="79"/>
        <v>1</v>
      </c>
      <c r="K278">
        <f t="shared" si="74"/>
        <v>1537</v>
      </c>
      <c r="M278" t="b">
        <f t="shared" si="80"/>
        <v>0</v>
      </c>
      <c r="N278" t="b">
        <f t="shared" si="81"/>
        <v>1</v>
      </c>
      <c r="O278" t="b">
        <f t="shared" si="82"/>
        <v>0</v>
      </c>
      <c r="P278" t="b">
        <f t="shared" si="83"/>
        <v>0</v>
      </c>
      <c r="Q278" t="b">
        <f t="shared" si="84"/>
        <v>0</v>
      </c>
      <c r="R278" t="b">
        <f t="shared" si="85"/>
        <v>1</v>
      </c>
      <c r="S278" t="b">
        <f t="shared" si="86"/>
        <v>0</v>
      </c>
      <c r="T278" t="b">
        <f t="shared" si="87"/>
        <v>0</v>
      </c>
      <c r="U278" t="b">
        <f t="shared" si="88"/>
        <v>0</v>
      </c>
      <c r="V278" t="b">
        <f t="shared" si="89"/>
        <v>0</v>
      </c>
    </row>
    <row r="279" spans="1:22" x14ac:dyDescent="0.35">
      <c r="A279" s="2">
        <v>3157</v>
      </c>
      <c r="B279" s="2">
        <f t="shared" si="75"/>
        <v>49</v>
      </c>
      <c r="C279" s="2">
        <f t="shared" si="76"/>
        <v>21</v>
      </c>
      <c r="D279" s="1" t="s">
        <v>178</v>
      </c>
      <c r="E279" t="str">
        <f t="shared" si="77"/>
        <v>0110</v>
      </c>
      <c r="F279" t="str">
        <f t="shared" si="72"/>
        <v>000110</v>
      </c>
      <c r="G279" t="str">
        <f t="shared" si="73"/>
        <v>011111</v>
      </c>
      <c r="H279" t="str">
        <f>LOOKUP(E279,Lookups!$A$1:$A$16,Lookups!$B$1:$B$16)</f>
        <v>n</v>
      </c>
      <c r="I279">
        <f t="shared" si="78"/>
        <v>6</v>
      </c>
      <c r="J279">
        <f t="shared" si="79"/>
        <v>31</v>
      </c>
      <c r="K279">
        <f t="shared" si="74"/>
        <v>415</v>
      </c>
      <c r="M279" t="b">
        <f t="shared" si="80"/>
        <v>0</v>
      </c>
      <c r="N279" t="b">
        <f t="shared" si="81"/>
        <v>1</v>
      </c>
      <c r="O279" t="b">
        <f t="shared" si="82"/>
        <v>0</v>
      </c>
      <c r="P279" t="b">
        <f t="shared" si="83"/>
        <v>0</v>
      </c>
      <c r="Q279" t="b">
        <f t="shared" si="84"/>
        <v>0</v>
      </c>
      <c r="R279" t="b">
        <f t="shared" si="85"/>
        <v>1</v>
      </c>
      <c r="S279" t="b">
        <f t="shared" si="86"/>
        <v>0</v>
      </c>
      <c r="T279" t="b">
        <f t="shared" si="87"/>
        <v>0</v>
      </c>
      <c r="U279" t="b">
        <f t="shared" si="88"/>
        <v>0</v>
      </c>
      <c r="V279" t="b">
        <f t="shared" si="89"/>
        <v>0</v>
      </c>
    </row>
    <row r="280" spans="1:22" x14ac:dyDescent="0.35">
      <c r="A280" s="2">
        <v>3158</v>
      </c>
      <c r="B280" s="2">
        <f t="shared" si="75"/>
        <v>49</v>
      </c>
      <c r="C280" s="2">
        <f t="shared" si="76"/>
        <v>22</v>
      </c>
      <c r="D280" s="1" t="s">
        <v>94</v>
      </c>
      <c r="E280" t="str">
        <f t="shared" si="77"/>
        <v>1101</v>
      </c>
      <c r="F280" t="str">
        <f t="shared" si="72"/>
        <v>110010</v>
      </c>
      <c r="G280" t="str">
        <f t="shared" si="73"/>
        <v>011101</v>
      </c>
      <c r="H280" t="str">
        <f>LOOKUP(E280,Lookups!$A$1:$A$16,Lookups!$B$1:$B$16)</f>
        <v>c</v>
      </c>
      <c r="I280">
        <f t="shared" si="78"/>
        <v>50</v>
      </c>
      <c r="J280">
        <f t="shared" si="79"/>
        <v>29</v>
      </c>
      <c r="K280">
        <f t="shared" si="74"/>
        <v>3229</v>
      </c>
      <c r="M280" t="b">
        <f t="shared" si="80"/>
        <v>0</v>
      </c>
      <c r="N280" t="b">
        <f t="shared" si="81"/>
        <v>1</v>
      </c>
      <c r="O280" t="b">
        <f t="shared" si="82"/>
        <v>0</v>
      </c>
      <c r="P280" t="b">
        <f t="shared" si="83"/>
        <v>0</v>
      </c>
      <c r="Q280" t="b">
        <f t="shared" si="84"/>
        <v>0</v>
      </c>
      <c r="R280" t="b">
        <f t="shared" si="85"/>
        <v>1</v>
      </c>
      <c r="S280" t="b">
        <f t="shared" si="86"/>
        <v>0</v>
      </c>
      <c r="T280" t="b">
        <f t="shared" si="87"/>
        <v>0</v>
      </c>
      <c r="U280" t="b">
        <f t="shared" si="88"/>
        <v>0</v>
      </c>
      <c r="V280" t="b">
        <f t="shared" si="89"/>
        <v>0</v>
      </c>
    </row>
    <row r="281" spans="1:22" x14ac:dyDescent="0.35">
      <c r="A281" s="2">
        <v>3159</v>
      </c>
      <c r="B281" s="2">
        <f t="shared" si="75"/>
        <v>49</v>
      </c>
      <c r="C281" s="2">
        <f t="shared" si="76"/>
        <v>23</v>
      </c>
      <c r="D281" s="1" t="s">
        <v>94</v>
      </c>
      <c r="E281" t="str">
        <f t="shared" si="77"/>
        <v>1101</v>
      </c>
      <c r="F281" t="str">
        <f t="shared" si="72"/>
        <v>110010</v>
      </c>
      <c r="G281" t="str">
        <f t="shared" si="73"/>
        <v>011101</v>
      </c>
      <c r="H281" t="str">
        <f>LOOKUP(E281,Lookups!$A$1:$A$16,Lookups!$B$1:$B$16)</f>
        <v>c</v>
      </c>
      <c r="I281">
        <f t="shared" si="78"/>
        <v>50</v>
      </c>
      <c r="J281">
        <f t="shared" si="79"/>
        <v>29</v>
      </c>
      <c r="K281">
        <f t="shared" si="74"/>
        <v>3229</v>
      </c>
      <c r="M281" t="b">
        <f t="shared" si="80"/>
        <v>0</v>
      </c>
      <c r="N281" t="b">
        <f t="shared" si="81"/>
        <v>1</v>
      </c>
      <c r="O281" t="b">
        <f t="shared" si="82"/>
        <v>0</v>
      </c>
      <c r="P281" t="b">
        <f t="shared" si="83"/>
        <v>0</v>
      </c>
      <c r="Q281" t="b">
        <f t="shared" si="84"/>
        <v>0</v>
      </c>
      <c r="R281" t="b">
        <f t="shared" si="85"/>
        <v>1</v>
      </c>
      <c r="S281" t="b">
        <f t="shared" si="86"/>
        <v>0</v>
      </c>
      <c r="T281" t="b">
        <f t="shared" si="87"/>
        <v>0</v>
      </c>
      <c r="U281" t="b">
        <f t="shared" si="88"/>
        <v>0</v>
      </c>
      <c r="V281" t="b">
        <f t="shared" si="89"/>
        <v>0</v>
      </c>
    </row>
    <row r="282" spans="1:22" x14ac:dyDescent="0.35">
      <c r="A282" s="2">
        <v>3160</v>
      </c>
      <c r="B282" s="2">
        <f t="shared" si="75"/>
        <v>49</v>
      </c>
      <c r="C282" s="2">
        <f t="shared" si="76"/>
        <v>24</v>
      </c>
      <c r="D282" s="1" t="s">
        <v>116</v>
      </c>
      <c r="E282" t="str">
        <f t="shared" si="77"/>
        <v>0001</v>
      </c>
      <c r="F282" t="str">
        <f t="shared" si="72"/>
        <v>110010</v>
      </c>
      <c r="G282" t="str">
        <f t="shared" si="73"/>
        <v>011101</v>
      </c>
      <c r="H282" t="str">
        <f>LOOKUP(E282,Lookups!$A$1:$A$16,Lookups!$B$1:$B$16)</f>
        <v>b</v>
      </c>
      <c r="I282">
        <f t="shared" si="78"/>
        <v>50</v>
      </c>
      <c r="J282">
        <f t="shared" si="79"/>
        <v>29</v>
      </c>
      <c r="K282">
        <f t="shared" si="74"/>
        <v>3229</v>
      </c>
      <c r="M282" t="b">
        <f t="shared" si="80"/>
        <v>0</v>
      </c>
      <c r="N282" t="b">
        <f t="shared" si="81"/>
        <v>1</v>
      </c>
      <c r="O282" t="b">
        <f t="shared" si="82"/>
        <v>0</v>
      </c>
      <c r="P282" t="b">
        <f t="shared" si="83"/>
        <v>0</v>
      </c>
      <c r="Q282" t="b">
        <f t="shared" si="84"/>
        <v>0</v>
      </c>
      <c r="R282" t="b">
        <f t="shared" si="85"/>
        <v>1</v>
      </c>
      <c r="S282" t="b">
        <f t="shared" si="86"/>
        <v>0</v>
      </c>
      <c r="T282" t="b">
        <f t="shared" si="87"/>
        <v>0</v>
      </c>
      <c r="U282" t="b">
        <f t="shared" si="88"/>
        <v>1</v>
      </c>
      <c r="V282" t="b">
        <f t="shared" si="89"/>
        <v>0</v>
      </c>
    </row>
    <row r="283" spans="1:22" x14ac:dyDescent="0.35">
      <c r="A283" s="2">
        <v>3161</v>
      </c>
      <c r="B283" s="2">
        <f t="shared" si="75"/>
        <v>49</v>
      </c>
      <c r="C283" s="2">
        <f t="shared" si="76"/>
        <v>25</v>
      </c>
      <c r="D283" s="1" t="s">
        <v>179</v>
      </c>
      <c r="E283" t="str">
        <f t="shared" si="77"/>
        <v>1111</v>
      </c>
      <c r="F283" t="str">
        <f t="shared" si="72"/>
        <v>110011</v>
      </c>
      <c r="G283" t="str">
        <f t="shared" si="73"/>
        <v>101101</v>
      </c>
      <c r="H283" t="str">
        <f>LOOKUP(E283,Lookups!$A$1:$A$16,Lookups!$B$1:$B$16)</f>
        <v>s</v>
      </c>
      <c r="I283">
        <f t="shared" si="78"/>
        <v>51</v>
      </c>
      <c r="J283">
        <f t="shared" si="79"/>
        <v>45</v>
      </c>
      <c r="K283">
        <f t="shared" si="74"/>
        <v>3309</v>
      </c>
      <c r="M283" t="b">
        <f t="shared" si="80"/>
        <v>0</v>
      </c>
      <c r="N283" t="b">
        <f t="shared" si="81"/>
        <v>1</v>
      </c>
      <c r="O283" t="b">
        <f t="shared" si="82"/>
        <v>0</v>
      </c>
      <c r="P283" t="b">
        <f t="shared" si="83"/>
        <v>0</v>
      </c>
      <c r="Q283" t="b">
        <f t="shared" si="84"/>
        <v>0</v>
      </c>
      <c r="R283" t="b">
        <f t="shared" si="85"/>
        <v>1</v>
      </c>
      <c r="S283" t="b">
        <f t="shared" si="86"/>
        <v>0</v>
      </c>
      <c r="T283" t="b">
        <f t="shared" si="87"/>
        <v>0</v>
      </c>
      <c r="U283" t="b">
        <f t="shared" si="88"/>
        <v>0</v>
      </c>
      <c r="V283" t="b">
        <f t="shared" si="89"/>
        <v>0</v>
      </c>
    </row>
    <row r="284" spans="1:22" x14ac:dyDescent="0.35">
      <c r="A284" s="2">
        <v>3162</v>
      </c>
      <c r="B284" s="2">
        <f t="shared" si="75"/>
        <v>49</v>
      </c>
      <c r="C284" s="2">
        <f t="shared" si="76"/>
        <v>26</v>
      </c>
      <c r="D284" s="1" t="s">
        <v>180</v>
      </c>
      <c r="E284" t="str">
        <f t="shared" si="77"/>
        <v>1011</v>
      </c>
      <c r="F284" t="str">
        <f t="shared" si="72"/>
        <v>110010</v>
      </c>
      <c r="G284" t="str">
        <f t="shared" si="73"/>
        <v>011010</v>
      </c>
      <c r="H284" t="str">
        <f>LOOKUP(E284,Lookups!$A$1:$A$16,Lookups!$B$1:$B$16)</f>
        <v>t</v>
      </c>
      <c r="I284">
        <f t="shared" si="78"/>
        <v>50</v>
      </c>
      <c r="J284">
        <f t="shared" si="79"/>
        <v>26</v>
      </c>
      <c r="K284">
        <f t="shared" si="74"/>
        <v>3226</v>
      </c>
      <c r="M284" t="b">
        <f t="shared" si="80"/>
        <v>0</v>
      </c>
      <c r="N284" t="b">
        <f t="shared" si="81"/>
        <v>1</v>
      </c>
      <c r="O284" t="b">
        <f t="shared" si="82"/>
        <v>0</v>
      </c>
      <c r="P284" t="b">
        <f t="shared" si="83"/>
        <v>0</v>
      </c>
      <c r="Q284" t="b">
        <f t="shared" si="84"/>
        <v>0</v>
      </c>
      <c r="R284" t="b">
        <f t="shared" si="85"/>
        <v>1</v>
      </c>
      <c r="S284" t="b">
        <f t="shared" si="86"/>
        <v>0</v>
      </c>
      <c r="T284" t="b">
        <f t="shared" si="87"/>
        <v>0</v>
      </c>
      <c r="U284" t="b">
        <f t="shared" si="88"/>
        <v>0</v>
      </c>
      <c r="V284" t="b">
        <f t="shared" si="89"/>
        <v>0</v>
      </c>
    </row>
    <row r="285" spans="1:22" x14ac:dyDescent="0.35">
      <c r="A285" s="2">
        <v>3163</v>
      </c>
      <c r="B285" s="2">
        <f t="shared" si="75"/>
        <v>49</v>
      </c>
      <c r="C285" s="2">
        <f t="shared" si="76"/>
        <v>27</v>
      </c>
      <c r="D285" s="1" t="s">
        <v>168</v>
      </c>
      <c r="E285" t="str">
        <f t="shared" si="77"/>
        <v>0001</v>
      </c>
      <c r="F285" t="str">
        <f t="shared" si="72"/>
        <v>110010</v>
      </c>
      <c r="G285" t="str">
        <f t="shared" si="73"/>
        <v>011110</v>
      </c>
      <c r="H285" t="str">
        <f>LOOKUP(E285,Lookups!$A$1:$A$16,Lookups!$B$1:$B$16)</f>
        <v>b</v>
      </c>
      <c r="I285">
        <f t="shared" si="78"/>
        <v>50</v>
      </c>
      <c r="J285">
        <f t="shared" si="79"/>
        <v>30</v>
      </c>
      <c r="K285">
        <f t="shared" si="74"/>
        <v>3230</v>
      </c>
      <c r="M285" t="b">
        <f t="shared" si="80"/>
        <v>0</v>
      </c>
      <c r="N285" t="b">
        <f t="shared" si="81"/>
        <v>1</v>
      </c>
      <c r="O285" t="b">
        <f t="shared" si="82"/>
        <v>0</v>
      </c>
      <c r="P285" t="b">
        <f t="shared" si="83"/>
        <v>0</v>
      </c>
      <c r="Q285" t="b">
        <f t="shared" si="84"/>
        <v>0</v>
      </c>
      <c r="R285" t="b">
        <f t="shared" si="85"/>
        <v>1</v>
      </c>
      <c r="S285" t="b">
        <f t="shared" si="86"/>
        <v>0</v>
      </c>
      <c r="T285" t="b">
        <f t="shared" si="87"/>
        <v>0</v>
      </c>
      <c r="U285" t="b">
        <f t="shared" si="88"/>
        <v>1</v>
      </c>
      <c r="V285" t="b">
        <f t="shared" si="89"/>
        <v>0</v>
      </c>
    </row>
    <row r="286" spans="1:22" x14ac:dyDescent="0.35">
      <c r="A286" s="2">
        <v>3164</v>
      </c>
      <c r="B286" s="2">
        <f t="shared" si="75"/>
        <v>49</v>
      </c>
      <c r="C286" s="2">
        <f t="shared" si="76"/>
        <v>28</v>
      </c>
      <c r="D286" s="1" t="s">
        <v>181</v>
      </c>
      <c r="E286" t="str">
        <f t="shared" si="77"/>
        <v>1111</v>
      </c>
      <c r="F286" t="str">
        <f t="shared" si="72"/>
        <v>101110</v>
      </c>
      <c r="G286" t="str">
        <f t="shared" si="73"/>
        <v>100011</v>
      </c>
      <c r="H286" t="str">
        <f>LOOKUP(E286,Lookups!$A$1:$A$16,Lookups!$B$1:$B$16)</f>
        <v>s</v>
      </c>
      <c r="I286">
        <f t="shared" si="78"/>
        <v>46</v>
      </c>
      <c r="J286">
        <f t="shared" si="79"/>
        <v>35</v>
      </c>
      <c r="K286">
        <f t="shared" si="74"/>
        <v>2979</v>
      </c>
      <c r="M286" t="b">
        <f t="shared" si="80"/>
        <v>0</v>
      </c>
      <c r="N286" t="b">
        <f t="shared" si="81"/>
        <v>1</v>
      </c>
      <c r="O286" t="b">
        <f t="shared" si="82"/>
        <v>0</v>
      </c>
      <c r="P286" t="b">
        <f t="shared" si="83"/>
        <v>0</v>
      </c>
      <c r="Q286" t="b">
        <f t="shared" si="84"/>
        <v>0</v>
      </c>
      <c r="R286" t="b">
        <f t="shared" si="85"/>
        <v>1</v>
      </c>
      <c r="S286" t="b">
        <f t="shared" si="86"/>
        <v>0</v>
      </c>
      <c r="T286" t="b">
        <f t="shared" si="87"/>
        <v>0</v>
      </c>
      <c r="U286" t="b">
        <f t="shared" si="88"/>
        <v>0</v>
      </c>
      <c r="V286" t="b">
        <f t="shared" si="89"/>
        <v>0</v>
      </c>
    </row>
    <row r="287" spans="1:22" x14ac:dyDescent="0.35">
      <c r="A287" s="2">
        <v>3165</v>
      </c>
      <c r="B287" s="2">
        <f t="shared" si="75"/>
        <v>49</v>
      </c>
      <c r="C287" s="2">
        <f t="shared" si="76"/>
        <v>29</v>
      </c>
      <c r="D287" s="1" t="s">
        <v>1</v>
      </c>
      <c r="E287" t="str">
        <f t="shared" si="77"/>
        <v>1101</v>
      </c>
      <c r="F287" t="str">
        <f t="shared" si="72"/>
        <v>110010</v>
      </c>
      <c r="G287" t="str">
        <f t="shared" si="73"/>
        <v>011110</v>
      </c>
      <c r="H287" t="str">
        <f>LOOKUP(E287,Lookups!$A$1:$A$16,Lookups!$B$1:$B$16)</f>
        <v>c</v>
      </c>
      <c r="I287">
        <f t="shared" si="78"/>
        <v>50</v>
      </c>
      <c r="J287">
        <f t="shared" si="79"/>
        <v>30</v>
      </c>
      <c r="K287">
        <f t="shared" si="74"/>
        <v>3230</v>
      </c>
      <c r="M287" t="b">
        <f t="shared" si="80"/>
        <v>0</v>
      </c>
      <c r="N287" t="b">
        <f t="shared" si="81"/>
        <v>1</v>
      </c>
      <c r="O287" t="b">
        <f t="shared" si="82"/>
        <v>0</v>
      </c>
      <c r="P287" t="b">
        <f t="shared" si="83"/>
        <v>0</v>
      </c>
      <c r="Q287" t="b">
        <f t="shared" si="84"/>
        <v>0</v>
      </c>
      <c r="R287" t="b">
        <f t="shared" si="85"/>
        <v>1</v>
      </c>
      <c r="S287" t="b">
        <f t="shared" si="86"/>
        <v>0</v>
      </c>
      <c r="T287" t="b">
        <f t="shared" si="87"/>
        <v>0</v>
      </c>
      <c r="U287" t="b">
        <f t="shared" si="88"/>
        <v>1</v>
      </c>
      <c r="V287" t="b">
        <f t="shared" si="89"/>
        <v>0</v>
      </c>
    </row>
    <row r="288" spans="1:22" x14ac:dyDescent="0.35">
      <c r="A288" s="2">
        <v>3166</v>
      </c>
      <c r="B288" s="2">
        <f t="shared" si="75"/>
        <v>49</v>
      </c>
      <c r="C288" s="2">
        <f t="shared" si="76"/>
        <v>30</v>
      </c>
      <c r="D288" s="1" t="s">
        <v>31</v>
      </c>
      <c r="E288" t="str">
        <f t="shared" si="77"/>
        <v>0011</v>
      </c>
      <c r="F288" t="str">
        <f t="shared" si="72"/>
        <v>110011</v>
      </c>
      <c r="G288" t="str">
        <f t="shared" si="73"/>
        <v>000000</v>
      </c>
      <c r="H288" t="str">
        <f>LOOKUP(E288,Lookups!$A$1:$A$16,Lookups!$B$1:$B$16)</f>
        <v>r</v>
      </c>
      <c r="I288">
        <f t="shared" si="78"/>
        <v>51</v>
      </c>
      <c r="J288">
        <f t="shared" si="79"/>
        <v>0</v>
      </c>
      <c r="K288">
        <f t="shared" si="74"/>
        <v>3264</v>
      </c>
      <c r="M288" t="b">
        <f t="shared" si="80"/>
        <v>0</v>
      </c>
      <c r="N288" t="b">
        <f t="shared" si="81"/>
        <v>1</v>
      </c>
      <c r="O288" t="b">
        <f t="shared" si="82"/>
        <v>0</v>
      </c>
      <c r="P288" t="b">
        <f t="shared" si="83"/>
        <v>0</v>
      </c>
      <c r="Q288" t="b">
        <f t="shared" si="84"/>
        <v>0</v>
      </c>
      <c r="R288" t="b">
        <f t="shared" si="85"/>
        <v>0</v>
      </c>
      <c r="S288" t="b">
        <f t="shared" si="86"/>
        <v>0</v>
      </c>
      <c r="T288" t="b">
        <f t="shared" si="87"/>
        <v>0</v>
      </c>
      <c r="U288" t="b">
        <f t="shared" si="88"/>
        <v>0</v>
      </c>
      <c r="V288" t="b">
        <f t="shared" si="89"/>
        <v>0</v>
      </c>
    </row>
    <row r="289" spans="1:22" x14ac:dyDescent="0.35">
      <c r="A289" s="2">
        <v>3167</v>
      </c>
      <c r="B289" s="2">
        <f t="shared" si="75"/>
        <v>49</v>
      </c>
      <c r="C289" s="2">
        <f t="shared" si="76"/>
        <v>31</v>
      </c>
      <c r="D289" s="1" t="s">
        <v>32</v>
      </c>
      <c r="E289" t="str">
        <f t="shared" si="77"/>
        <v>1010</v>
      </c>
      <c r="F289" t="str">
        <f t="shared" si="72"/>
        <v>110011</v>
      </c>
      <c r="G289" t="str">
        <f t="shared" si="73"/>
        <v>000000</v>
      </c>
      <c r="H289" t="str">
        <f>LOOKUP(E289,Lookups!$A$1:$A$16,Lookups!$B$1:$B$16)</f>
        <v>u</v>
      </c>
      <c r="I289">
        <f t="shared" si="78"/>
        <v>51</v>
      </c>
      <c r="J289">
        <f t="shared" si="79"/>
        <v>0</v>
      </c>
      <c r="K289">
        <f t="shared" si="74"/>
        <v>3264</v>
      </c>
      <c r="M289" t="b">
        <f t="shared" si="80"/>
        <v>0</v>
      </c>
      <c r="N289" t="b">
        <f t="shared" si="81"/>
        <v>1</v>
      </c>
      <c r="O289" t="b">
        <f t="shared" si="82"/>
        <v>0</v>
      </c>
      <c r="P289" t="b">
        <f t="shared" si="83"/>
        <v>0</v>
      </c>
      <c r="Q289" t="b">
        <f t="shared" si="84"/>
        <v>0</v>
      </c>
      <c r="R289" t="b">
        <f t="shared" si="85"/>
        <v>0</v>
      </c>
      <c r="S289" t="b">
        <f t="shared" si="86"/>
        <v>0</v>
      </c>
      <c r="T289" t="b">
        <f t="shared" si="87"/>
        <v>0</v>
      </c>
      <c r="U289" t="b">
        <f t="shared" si="88"/>
        <v>0</v>
      </c>
      <c r="V289" t="b">
        <f t="shared" si="89"/>
        <v>0</v>
      </c>
    </row>
    <row r="290" spans="1:22" x14ac:dyDescent="0.35">
      <c r="A290" s="2">
        <v>3168</v>
      </c>
      <c r="B290" s="2">
        <f t="shared" si="75"/>
        <v>49</v>
      </c>
      <c r="C290" s="2">
        <f t="shared" si="76"/>
        <v>32</v>
      </c>
      <c r="D290" s="1" t="s">
        <v>182</v>
      </c>
      <c r="E290" t="str">
        <f t="shared" si="77"/>
        <v>1010</v>
      </c>
      <c r="F290" t="str">
        <f t="shared" si="72"/>
        <v>101010</v>
      </c>
      <c r="G290" t="str">
        <f t="shared" si="73"/>
        <v>010001</v>
      </c>
      <c r="H290" t="str">
        <f>LOOKUP(E290,Lookups!$A$1:$A$16,Lookups!$B$1:$B$16)</f>
        <v>u</v>
      </c>
      <c r="I290">
        <f t="shared" si="78"/>
        <v>42</v>
      </c>
      <c r="J290">
        <f t="shared" si="79"/>
        <v>17</v>
      </c>
      <c r="K290">
        <f t="shared" si="74"/>
        <v>2705</v>
      </c>
      <c r="M290" t="b">
        <f t="shared" si="80"/>
        <v>0</v>
      </c>
      <c r="N290" t="b">
        <f t="shared" si="81"/>
        <v>1</v>
      </c>
      <c r="O290" t="b">
        <f t="shared" si="82"/>
        <v>0</v>
      </c>
      <c r="P290" t="b">
        <f t="shared" si="83"/>
        <v>0</v>
      </c>
      <c r="Q290" t="b">
        <f t="shared" si="84"/>
        <v>0</v>
      </c>
      <c r="R290" t="b">
        <f t="shared" si="85"/>
        <v>1</v>
      </c>
      <c r="S290" t="b">
        <f t="shared" si="86"/>
        <v>0</v>
      </c>
      <c r="T290" t="b">
        <f t="shared" si="87"/>
        <v>0</v>
      </c>
      <c r="U290" t="b">
        <f t="shared" si="88"/>
        <v>0</v>
      </c>
      <c r="V290" t="b">
        <f t="shared" si="89"/>
        <v>0</v>
      </c>
    </row>
    <row r="291" spans="1:22" x14ac:dyDescent="0.35">
      <c r="A291" s="2">
        <v>3169</v>
      </c>
      <c r="B291" s="2">
        <f t="shared" si="75"/>
        <v>49</v>
      </c>
      <c r="C291" s="2">
        <f t="shared" si="76"/>
        <v>33</v>
      </c>
      <c r="D291" s="1" t="s">
        <v>183</v>
      </c>
      <c r="E291" t="str">
        <f t="shared" si="77"/>
        <v>1010</v>
      </c>
      <c r="F291" t="str">
        <f t="shared" si="72"/>
        <v>000110</v>
      </c>
      <c r="G291" t="str">
        <f t="shared" si="73"/>
        <v>000100</v>
      </c>
      <c r="H291" t="str">
        <f>LOOKUP(E291,Lookups!$A$1:$A$16,Lookups!$B$1:$B$16)</f>
        <v>u</v>
      </c>
      <c r="I291">
        <f t="shared" si="78"/>
        <v>6</v>
      </c>
      <c r="J291">
        <f t="shared" si="79"/>
        <v>4</v>
      </c>
      <c r="K291">
        <f t="shared" si="74"/>
        <v>388</v>
      </c>
      <c r="M291" t="b">
        <f t="shared" si="80"/>
        <v>0</v>
      </c>
      <c r="N291" t="b">
        <f t="shared" si="81"/>
        <v>1</v>
      </c>
      <c r="O291" t="b">
        <f t="shared" si="82"/>
        <v>0</v>
      </c>
      <c r="P291" t="b">
        <f t="shared" si="83"/>
        <v>0</v>
      </c>
      <c r="Q291" t="b">
        <f t="shared" si="84"/>
        <v>0</v>
      </c>
      <c r="R291" t="b">
        <f t="shared" si="85"/>
        <v>1</v>
      </c>
      <c r="S291" t="b">
        <f t="shared" si="86"/>
        <v>0</v>
      </c>
      <c r="T291" t="b">
        <f t="shared" si="87"/>
        <v>0</v>
      </c>
      <c r="U291" t="b">
        <f t="shared" si="88"/>
        <v>0</v>
      </c>
      <c r="V291" t="b">
        <f t="shared" si="89"/>
        <v>0</v>
      </c>
    </row>
    <row r="292" spans="1:22" x14ac:dyDescent="0.35">
      <c r="A292" s="2">
        <v>3170</v>
      </c>
      <c r="B292" s="2">
        <f t="shared" si="75"/>
        <v>49</v>
      </c>
      <c r="C292" s="2">
        <f t="shared" si="76"/>
        <v>34</v>
      </c>
      <c r="D292" s="1" t="s">
        <v>184</v>
      </c>
      <c r="E292" t="str">
        <f t="shared" si="77"/>
        <v>1000</v>
      </c>
      <c r="F292" t="str">
        <f t="shared" si="72"/>
        <v>000110</v>
      </c>
      <c r="G292" t="str">
        <f t="shared" si="73"/>
        <v>011111</v>
      </c>
      <c r="H292" t="str">
        <f>LOOKUP(E292,Lookups!$A$1:$A$16,Lookups!$B$1:$B$16)</f>
        <v>p</v>
      </c>
      <c r="I292">
        <f t="shared" si="78"/>
        <v>6</v>
      </c>
      <c r="J292">
        <f t="shared" si="79"/>
        <v>31</v>
      </c>
      <c r="K292">
        <f t="shared" si="74"/>
        <v>415</v>
      </c>
      <c r="M292" t="b">
        <f t="shared" si="80"/>
        <v>0</v>
      </c>
      <c r="N292" t="b">
        <f t="shared" si="81"/>
        <v>1</v>
      </c>
      <c r="O292" t="b">
        <f t="shared" si="82"/>
        <v>0</v>
      </c>
      <c r="P292" t="b">
        <f t="shared" si="83"/>
        <v>0</v>
      </c>
      <c r="Q292" t="b">
        <f t="shared" si="84"/>
        <v>0</v>
      </c>
      <c r="R292" t="b">
        <f t="shared" si="85"/>
        <v>1</v>
      </c>
      <c r="S292" t="b">
        <f t="shared" si="86"/>
        <v>0</v>
      </c>
      <c r="T292" t="b">
        <f t="shared" si="87"/>
        <v>0</v>
      </c>
      <c r="U292" t="b">
        <f t="shared" si="88"/>
        <v>0</v>
      </c>
      <c r="V292" t="b">
        <f t="shared" si="89"/>
        <v>0</v>
      </c>
    </row>
    <row r="293" spans="1:22" x14ac:dyDescent="0.35">
      <c r="A293" s="2">
        <v>3171</v>
      </c>
      <c r="B293" s="2">
        <f t="shared" si="75"/>
        <v>49</v>
      </c>
      <c r="C293" s="2">
        <f t="shared" si="76"/>
        <v>35</v>
      </c>
      <c r="D293" s="1" t="s">
        <v>168</v>
      </c>
      <c r="E293" t="str">
        <f t="shared" si="77"/>
        <v>0001</v>
      </c>
      <c r="F293" t="str">
        <f t="shared" si="72"/>
        <v>110010</v>
      </c>
      <c r="G293" t="str">
        <f t="shared" si="73"/>
        <v>011110</v>
      </c>
      <c r="H293" t="str">
        <f>LOOKUP(E293,Lookups!$A$1:$A$16,Lookups!$B$1:$B$16)</f>
        <v>b</v>
      </c>
      <c r="I293">
        <f t="shared" si="78"/>
        <v>50</v>
      </c>
      <c r="J293">
        <f t="shared" si="79"/>
        <v>30</v>
      </c>
      <c r="K293">
        <f t="shared" si="74"/>
        <v>3230</v>
      </c>
      <c r="M293" t="b">
        <f t="shared" si="80"/>
        <v>0</v>
      </c>
      <c r="N293" t="b">
        <f t="shared" si="81"/>
        <v>1</v>
      </c>
      <c r="O293" t="b">
        <f t="shared" si="82"/>
        <v>0</v>
      </c>
      <c r="P293" t="b">
        <f t="shared" si="83"/>
        <v>0</v>
      </c>
      <c r="Q293" t="b">
        <f t="shared" si="84"/>
        <v>0</v>
      </c>
      <c r="R293" t="b">
        <f t="shared" si="85"/>
        <v>1</v>
      </c>
      <c r="S293" t="b">
        <f t="shared" si="86"/>
        <v>0</v>
      </c>
      <c r="T293" t="b">
        <f t="shared" si="87"/>
        <v>0</v>
      </c>
      <c r="U293" t="b">
        <f t="shared" si="88"/>
        <v>0</v>
      </c>
      <c r="V293" t="b">
        <f t="shared" si="89"/>
        <v>0</v>
      </c>
    </row>
    <row r="294" spans="1:22" x14ac:dyDescent="0.35">
      <c r="A294" s="2">
        <v>3172</v>
      </c>
      <c r="B294" s="2">
        <f t="shared" si="75"/>
        <v>49</v>
      </c>
      <c r="C294" s="2">
        <f t="shared" si="76"/>
        <v>36</v>
      </c>
      <c r="D294" s="1" t="s">
        <v>185</v>
      </c>
      <c r="E294" t="str">
        <f t="shared" si="77"/>
        <v>1011</v>
      </c>
      <c r="F294" t="str">
        <f t="shared" si="72"/>
        <v>110001</v>
      </c>
      <c r="G294" t="str">
        <f t="shared" si="73"/>
        <v>110111</v>
      </c>
      <c r="H294" t="str">
        <f>LOOKUP(E294,Lookups!$A$1:$A$16,Lookups!$B$1:$B$16)</f>
        <v>t</v>
      </c>
      <c r="I294">
        <f t="shared" si="78"/>
        <v>49</v>
      </c>
      <c r="J294">
        <f t="shared" si="79"/>
        <v>55</v>
      </c>
      <c r="K294">
        <f t="shared" si="74"/>
        <v>3191</v>
      </c>
      <c r="M294" t="b">
        <f t="shared" si="80"/>
        <v>0</v>
      </c>
      <c r="N294" t="b">
        <f t="shared" si="81"/>
        <v>1</v>
      </c>
      <c r="O294" t="b">
        <f t="shared" si="82"/>
        <v>0</v>
      </c>
      <c r="P294" t="b">
        <f t="shared" si="83"/>
        <v>0</v>
      </c>
      <c r="Q294" t="b">
        <f t="shared" si="84"/>
        <v>0</v>
      </c>
      <c r="R294" t="b">
        <f t="shared" si="85"/>
        <v>1</v>
      </c>
      <c r="S294" t="b">
        <f t="shared" si="86"/>
        <v>0</v>
      </c>
      <c r="T294" t="b">
        <f t="shared" si="87"/>
        <v>0</v>
      </c>
      <c r="U294" t="b">
        <f t="shared" si="88"/>
        <v>0</v>
      </c>
      <c r="V294" t="b">
        <f t="shared" si="89"/>
        <v>0</v>
      </c>
    </row>
    <row r="295" spans="1:22" x14ac:dyDescent="0.35">
      <c r="A295" s="2">
        <v>3173</v>
      </c>
      <c r="B295" s="2">
        <f t="shared" si="75"/>
        <v>49</v>
      </c>
      <c r="C295" s="2">
        <f t="shared" si="76"/>
        <v>37</v>
      </c>
      <c r="D295" s="1" t="s">
        <v>15</v>
      </c>
      <c r="E295" t="str">
        <f t="shared" si="77"/>
        <v>1100</v>
      </c>
      <c r="F295" t="str">
        <f t="shared" si="72"/>
        <v>101101</v>
      </c>
      <c r="G295" t="str">
        <f t="shared" si="73"/>
        <v>100101</v>
      </c>
      <c r="H295" t="str">
        <f>LOOKUP(E295,Lookups!$A$1:$A$16,Lookups!$B$1:$B$16)</f>
        <v>h</v>
      </c>
      <c r="I295">
        <f t="shared" si="78"/>
        <v>45</v>
      </c>
      <c r="J295">
        <f t="shared" si="79"/>
        <v>37</v>
      </c>
      <c r="K295">
        <f t="shared" si="74"/>
        <v>2917</v>
      </c>
      <c r="M295" t="b">
        <f t="shared" si="80"/>
        <v>0</v>
      </c>
      <c r="N295" t="b">
        <f t="shared" si="81"/>
        <v>1</v>
      </c>
      <c r="O295" t="b">
        <f t="shared" si="82"/>
        <v>0</v>
      </c>
      <c r="P295" t="b">
        <f t="shared" si="83"/>
        <v>0</v>
      </c>
      <c r="Q295" t="b">
        <f t="shared" si="84"/>
        <v>0</v>
      </c>
      <c r="R295" t="b">
        <f t="shared" si="85"/>
        <v>1</v>
      </c>
      <c r="S295" t="b">
        <f t="shared" si="86"/>
        <v>0</v>
      </c>
      <c r="T295" t="b">
        <f t="shared" si="87"/>
        <v>0</v>
      </c>
      <c r="U295" t="b">
        <f t="shared" si="88"/>
        <v>1</v>
      </c>
      <c r="V295" t="b">
        <f t="shared" si="89"/>
        <v>0</v>
      </c>
    </row>
    <row r="296" spans="1:22" x14ac:dyDescent="0.35">
      <c r="A296" s="2">
        <v>3174</v>
      </c>
      <c r="B296" s="2">
        <f t="shared" si="75"/>
        <v>49</v>
      </c>
      <c r="C296" s="2">
        <f t="shared" si="76"/>
        <v>38</v>
      </c>
      <c r="D296" s="1" t="s">
        <v>31</v>
      </c>
      <c r="E296" t="str">
        <f t="shared" si="77"/>
        <v>0011</v>
      </c>
      <c r="F296" t="str">
        <f t="shared" si="72"/>
        <v>110011</v>
      </c>
      <c r="G296" t="str">
        <f t="shared" si="73"/>
        <v>000000</v>
      </c>
      <c r="H296" t="str">
        <f>LOOKUP(E296,Lookups!$A$1:$A$16,Lookups!$B$1:$B$16)</f>
        <v>r</v>
      </c>
      <c r="I296">
        <f t="shared" si="78"/>
        <v>51</v>
      </c>
      <c r="J296">
        <f t="shared" si="79"/>
        <v>0</v>
      </c>
      <c r="K296">
        <f t="shared" si="74"/>
        <v>3264</v>
      </c>
      <c r="M296" t="b">
        <f t="shared" si="80"/>
        <v>0</v>
      </c>
      <c r="N296" t="b">
        <f t="shared" si="81"/>
        <v>1</v>
      </c>
      <c r="O296" t="b">
        <f t="shared" si="82"/>
        <v>0</v>
      </c>
      <c r="P296" t="b">
        <f t="shared" si="83"/>
        <v>0</v>
      </c>
      <c r="Q296" t="b">
        <f t="shared" si="84"/>
        <v>0</v>
      </c>
      <c r="R296" t="b">
        <f t="shared" si="85"/>
        <v>0</v>
      </c>
      <c r="S296" t="b">
        <f t="shared" si="86"/>
        <v>0</v>
      </c>
      <c r="T296" t="b">
        <f t="shared" si="87"/>
        <v>0</v>
      </c>
      <c r="U296" t="b">
        <f t="shared" si="88"/>
        <v>0</v>
      </c>
      <c r="V296" t="b">
        <f t="shared" si="89"/>
        <v>0</v>
      </c>
    </row>
    <row r="297" spans="1:22" x14ac:dyDescent="0.35">
      <c r="A297" s="2">
        <v>3175</v>
      </c>
      <c r="B297" s="2">
        <f t="shared" si="75"/>
        <v>49</v>
      </c>
      <c r="C297" s="2">
        <f t="shared" si="76"/>
        <v>39</v>
      </c>
      <c r="D297" s="1" t="s">
        <v>32</v>
      </c>
      <c r="E297" t="str">
        <f t="shared" si="77"/>
        <v>1010</v>
      </c>
      <c r="F297" t="str">
        <f t="shared" si="72"/>
        <v>110011</v>
      </c>
      <c r="G297" t="str">
        <f t="shared" si="73"/>
        <v>000000</v>
      </c>
      <c r="H297" t="str">
        <f>LOOKUP(E297,Lookups!$A$1:$A$16,Lookups!$B$1:$B$16)</f>
        <v>u</v>
      </c>
      <c r="I297">
        <f t="shared" si="78"/>
        <v>51</v>
      </c>
      <c r="J297">
        <f t="shared" si="79"/>
        <v>0</v>
      </c>
      <c r="K297">
        <f t="shared" si="74"/>
        <v>3264</v>
      </c>
      <c r="M297" t="b">
        <f t="shared" si="80"/>
        <v>0</v>
      </c>
      <c r="N297" t="b">
        <f t="shared" si="81"/>
        <v>1</v>
      </c>
      <c r="O297" t="b">
        <f t="shared" si="82"/>
        <v>0</v>
      </c>
      <c r="P297" t="b">
        <f t="shared" si="83"/>
        <v>0</v>
      </c>
      <c r="Q297" t="b">
        <f t="shared" si="84"/>
        <v>0</v>
      </c>
      <c r="R297" t="b">
        <f t="shared" si="85"/>
        <v>0</v>
      </c>
      <c r="S297" t="b">
        <f t="shared" si="86"/>
        <v>0</v>
      </c>
      <c r="T297" t="b">
        <f t="shared" si="87"/>
        <v>0</v>
      </c>
      <c r="U297" t="b">
        <f t="shared" si="88"/>
        <v>0</v>
      </c>
      <c r="V297" t="b">
        <f t="shared" si="89"/>
        <v>0</v>
      </c>
    </row>
    <row r="298" spans="1:22" x14ac:dyDescent="0.35">
      <c r="A298" s="2">
        <v>3176</v>
      </c>
      <c r="B298" s="2">
        <f t="shared" si="75"/>
        <v>49</v>
      </c>
      <c r="C298" s="2">
        <f t="shared" si="76"/>
        <v>40</v>
      </c>
      <c r="D298" s="1" t="s">
        <v>186</v>
      </c>
      <c r="E298" t="str">
        <f t="shared" si="77"/>
        <v>0100</v>
      </c>
      <c r="F298" t="str">
        <f t="shared" si="72"/>
        <v>001000</v>
      </c>
      <c r="G298" t="str">
        <f t="shared" si="73"/>
        <v>011111</v>
      </c>
      <c r="H298" t="str">
        <f>LOOKUP(E298,Lookups!$A$1:$A$16,Lookups!$B$1:$B$16)</f>
        <v>i</v>
      </c>
      <c r="I298">
        <f t="shared" si="78"/>
        <v>8</v>
      </c>
      <c r="J298">
        <f t="shared" si="79"/>
        <v>31</v>
      </c>
      <c r="K298">
        <f t="shared" si="74"/>
        <v>543</v>
      </c>
      <c r="M298" t="b">
        <f t="shared" si="80"/>
        <v>0</v>
      </c>
      <c r="N298" t="b">
        <f t="shared" si="81"/>
        <v>1</v>
      </c>
      <c r="O298" t="b">
        <f t="shared" si="82"/>
        <v>0</v>
      </c>
      <c r="P298" t="b">
        <f t="shared" si="83"/>
        <v>0</v>
      </c>
      <c r="Q298" t="b">
        <f t="shared" si="84"/>
        <v>0</v>
      </c>
      <c r="R298" t="b">
        <f t="shared" si="85"/>
        <v>1</v>
      </c>
      <c r="S298" t="b">
        <f t="shared" si="86"/>
        <v>0</v>
      </c>
      <c r="T298" t="b">
        <f t="shared" si="87"/>
        <v>0</v>
      </c>
      <c r="U298" t="b">
        <f t="shared" si="88"/>
        <v>0</v>
      </c>
      <c r="V298" t="b">
        <f t="shared" si="89"/>
        <v>0</v>
      </c>
    </row>
    <row r="299" spans="1:22" x14ac:dyDescent="0.35">
      <c r="A299" s="2">
        <v>3177</v>
      </c>
      <c r="B299" s="2">
        <f t="shared" si="75"/>
        <v>49</v>
      </c>
      <c r="C299" s="2">
        <f t="shared" si="76"/>
        <v>41</v>
      </c>
      <c r="D299" s="1" t="s">
        <v>61</v>
      </c>
      <c r="E299" t="str">
        <f t="shared" si="77"/>
        <v>0001</v>
      </c>
      <c r="F299" t="str">
        <f t="shared" si="72"/>
        <v>101101</v>
      </c>
      <c r="G299" t="str">
        <f t="shared" si="73"/>
        <v>100101</v>
      </c>
      <c r="H299" t="str">
        <f>LOOKUP(E299,Lookups!$A$1:$A$16,Lookups!$B$1:$B$16)</f>
        <v>b</v>
      </c>
      <c r="I299">
        <f t="shared" si="78"/>
        <v>45</v>
      </c>
      <c r="J299">
        <f t="shared" si="79"/>
        <v>37</v>
      </c>
      <c r="K299">
        <f t="shared" si="74"/>
        <v>2917</v>
      </c>
      <c r="M299" t="b">
        <f t="shared" si="80"/>
        <v>0</v>
      </c>
      <c r="N299" t="b">
        <f t="shared" si="81"/>
        <v>1</v>
      </c>
      <c r="O299" t="b">
        <f t="shared" si="82"/>
        <v>0</v>
      </c>
      <c r="P299" t="b">
        <f t="shared" si="83"/>
        <v>0</v>
      </c>
      <c r="Q299" t="b">
        <f t="shared" si="84"/>
        <v>0</v>
      </c>
      <c r="R299" t="b">
        <f t="shared" si="85"/>
        <v>1</v>
      </c>
      <c r="S299" t="b">
        <f t="shared" si="86"/>
        <v>0</v>
      </c>
      <c r="T299" t="b">
        <f t="shared" si="87"/>
        <v>0</v>
      </c>
      <c r="U299" t="b">
        <f t="shared" si="88"/>
        <v>0</v>
      </c>
      <c r="V299" t="b">
        <f t="shared" si="89"/>
        <v>0</v>
      </c>
    </row>
    <row r="300" spans="1:22" x14ac:dyDescent="0.35">
      <c r="A300" s="2">
        <v>3178</v>
      </c>
      <c r="B300" s="2">
        <f t="shared" si="75"/>
        <v>49</v>
      </c>
      <c r="C300" s="2">
        <f t="shared" si="76"/>
        <v>42</v>
      </c>
      <c r="D300" s="1" t="s">
        <v>173</v>
      </c>
      <c r="E300" t="str">
        <f t="shared" si="77"/>
        <v>0011</v>
      </c>
      <c r="F300" t="str">
        <f t="shared" si="72"/>
        <v>110010</v>
      </c>
      <c r="G300" t="str">
        <f t="shared" si="73"/>
        <v>101110</v>
      </c>
      <c r="H300" t="str">
        <f>LOOKUP(E300,Lookups!$A$1:$A$16,Lookups!$B$1:$B$16)</f>
        <v>r</v>
      </c>
      <c r="I300">
        <f t="shared" si="78"/>
        <v>50</v>
      </c>
      <c r="J300">
        <f t="shared" si="79"/>
        <v>46</v>
      </c>
      <c r="K300">
        <f t="shared" si="74"/>
        <v>3246</v>
      </c>
      <c r="M300" t="b">
        <f t="shared" si="80"/>
        <v>0</v>
      </c>
      <c r="N300" t="b">
        <f t="shared" si="81"/>
        <v>1</v>
      </c>
      <c r="O300" t="b">
        <f t="shared" si="82"/>
        <v>0</v>
      </c>
      <c r="P300" t="b">
        <f t="shared" si="83"/>
        <v>0</v>
      </c>
      <c r="Q300" t="b">
        <f t="shared" si="84"/>
        <v>0</v>
      </c>
      <c r="R300" t="b">
        <f t="shared" si="85"/>
        <v>1</v>
      </c>
      <c r="S300" t="b">
        <f t="shared" si="86"/>
        <v>0</v>
      </c>
      <c r="T300" t="b">
        <f t="shared" si="87"/>
        <v>0</v>
      </c>
      <c r="U300" t="b">
        <f t="shared" si="88"/>
        <v>0</v>
      </c>
      <c r="V300" t="b">
        <f t="shared" si="89"/>
        <v>0</v>
      </c>
    </row>
    <row r="301" spans="1:22" x14ac:dyDescent="0.35">
      <c r="A301" s="2">
        <v>3179</v>
      </c>
      <c r="B301" s="2">
        <f t="shared" si="75"/>
        <v>49</v>
      </c>
      <c r="C301" s="2">
        <f t="shared" si="76"/>
        <v>43</v>
      </c>
      <c r="D301" s="1" t="s">
        <v>174</v>
      </c>
      <c r="E301" t="str">
        <f t="shared" si="77"/>
        <v>1010</v>
      </c>
      <c r="F301" t="str">
        <f t="shared" si="72"/>
        <v>110010</v>
      </c>
      <c r="G301" t="str">
        <f t="shared" si="73"/>
        <v>100000</v>
      </c>
      <c r="H301" t="str">
        <f>LOOKUP(E301,Lookups!$A$1:$A$16,Lookups!$B$1:$B$16)</f>
        <v>u</v>
      </c>
      <c r="I301">
        <f t="shared" si="78"/>
        <v>50</v>
      </c>
      <c r="J301">
        <f t="shared" si="79"/>
        <v>32</v>
      </c>
      <c r="K301">
        <f t="shared" si="74"/>
        <v>3232</v>
      </c>
      <c r="M301" t="b">
        <f t="shared" si="80"/>
        <v>0</v>
      </c>
      <c r="N301" t="b">
        <f t="shared" si="81"/>
        <v>1</v>
      </c>
      <c r="O301" t="b">
        <f t="shared" si="82"/>
        <v>0</v>
      </c>
      <c r="P301" t="b">
        <f t="shared" si="83"/>
        <v>0</v>
      </c>
      <c r="Q301" t="b">
        <f t="shared" si="84"/>
        <v>0</v>
      </c>
      <c r="R301" t="b">
        <f t="shared" si="85"/>
        <v>1</v>
      </c>
      <c r="S301" t="b">
        <f t="shared" si="86"/>
        <v>0</v>
      </c>
      <c r="T301" t="b">
        <f t="shared" si="87"/>
        <v>0</v>
      </c>
      <c r="U301" t="b">
        <f t="shared" si="88"/>
        <v>0</v>
      </c>
      <c r="V301" t="b">
        <f t="shared" si="89"/>
        <v>0</v>
      </c>
    </row>
    <row r="302" spans="1:22" x14ac:dyDescent="0.35">
      <c r="A302" s="2">
        <v>3180</v>
      </c>
      <c r="B302" s="2">
        <f t="shared" si="75"/>
        <v>49</v>
      </c>
      <c r="C302" s="2">
        <f t="shared" si="76"/>
        <v>44</v>
      </c>
      <c r="D302" s="1" t="s">
        <v>31</v>
      </c>
      <c r="E302" t="str">
        <f t="shared" si="77"/>
        <v>0011</v>
      </c>
      <c r="F302" t="str">
        <f t="shared" si="72"/>
        <v>110011</v>
      </c>
      <c r="G302" t="str">
        <f t="shared" si="73"/>
        <v>000000</v>
      </c>
      <c r="H302" t="str">
        <f>LOOKUP(E302,Lookups!$A$1:$A$16,Lookups!$B$1:$B$16)</f>
        <v>r</v>
      </c>
      <c r="I302">
        <f t="shared" si="78"/>
        <v>51</v>
      </c>
      <c r="J302">
        <f t="shared" si="79"/>
        <v>0</v>
      </c>
      <c r="K302">
        <f t="shared" si="74"/>
        <v>3264</v>
      </c>
      <c r="M302" t="b">
        <f t="shared" si="80"/>
        <v>0</v>
      </c>
      <c r="N302" t="b">
        <f t="shared" si="81"/>
        <v>1</v>
      </c>
      <c r="O302" t="b">
        <f t="shared" si="82"/>
        <v>0</v>
      </c>
      <c r="P302" t="b">
        <f t="shared" si="83"/>
        <v>0</v>
      </c>
      <c r="Q302" t="b">
        <f t="shared" si="84"/>
        <v>0</v>
      </c>
      <c r="R302" t="b">
        <f t="shared" si="85"/>
        <v>0</v>
      </c>
      <c r="S302" t="b">
        <f t="shared" si="86"/>
        <v>0</v>
      </c>
      <c r="T302" t="b">
        <f t="shared" si="87"/>
        <v>0</v>
      </c>
      <c r="U302" t="b">
        <f t="shared" si="88"/>
        <v>1</v>
      </c>
      <c r="V302" t="b">
        <f t="shared" si="89"/>
        <v>0</v>
      </c>
    </row>
    <row r="303" spans="1:22" x14ac:dyDescent="0.35">
      <c r="A303" s="2">
        <v>3181</v>
      </c>
      <c r="B303" s="2">
        <f t="shared" si="75"/>
        <v>49</v>
      </c>
      <c r="C303" s="2">
        <f t="shared" si="76"/>
        <v>45</v>
      </c>
      <c r="D303" s="1" t="s">
        <v>32</v>
      </c>
      <c r="E303" t="str">
        <f t="shared" si="77"/>
        <v>1010</v>
      </c>
      <c r="F303" t="str">
        <f t="shared" si="72"/>
        <v>110011</v>
      </c>
      <c r="G303" t="str">
        <f t="shared" si="73"/>
        <v>000000</v>
      </c>
      <c r="H303" t="str">
        <f>LOOKUP(E303,Lookups!$A$1:$A$16,Lookups!$B$1:$B$16)</f>
        <v>u</v>
      </c>
      <c r="I303">
        <f t="shared" si="78"/>
        <v>51</v>
      </c>
      <c r="J303">
        <f t="shared" si="79"/>
        <v>0</v>
      </c>
      <c r="K303">
        <f t="shared" si="74"/>
        <v>3264</v>
      </c>
      <c r="M303" t="b">
        <f t="shared" si="80"/>
        <v>0</v>
      </c>
      <c r="N303" t="b">
        <f t="shared" si="81"/>
        <v>1</v>
      </c>
      <c r="O303" t="b">
        <f t="shared" si="82"/>
        <v>0</v>
      </c>
      <c r="P303" t="b">
        <f t="shared" si="83"/>
        <v>0</v>
      </c>
      <c r="Q303" t="b">
        <f t="shared" si="84"/>
        <v>0</v>
      </c>
      <c r="R303" t="b">
        <f t="shared" si="85"/>
        <v>0</v>
      </c>
      <c r="S303" t="b">
        <f t="shared" si="86"/>
        <v>0</v>
      </c>
      <c r="T303" t="b">
        <f t="shared" si="87"/>
        <v>0</v>
      </c>
      <c r="U303" t="b">
        <f t="shared" si="88"/>
        <v>0</v>
      </c>
      <c r="V303" t="b">
        <f t="shared" si="89"/>
        <v>0</v>
      </c>
    </row>
    <row r="304" spans="1:22" x14ac:dyDescent="0.35">
      <c r="A304" s="2">
        <v>3182</v>
      </c>
      <c r="B304" s="2">
        <f t="shared" si="75"/>
        <v>49</v>
      </c>
      <c r="C304" s="2">
        <f t="shared" si="76"/>
        <v>46</v>
      </c>
      <c r="D304" s="1" t="s">
        <v>187</v>
      </c>
      <c r="E304" t="str">
        <f t="shared" si="77"/>
        <v>0100</v>
      </c>
      <c r="F304" t="str">
        <f t="shared" si="72"/>
        <v>000100</v>
      </c>
      <c r="G304" t="str">
        <f t="shared" si="73"/>
        <v>011111</v>
      </c>
      <c r="H304" t="str">
        <f>LOOKUP(E304,Lookups!$A$1:$A$16,Lookups!$B$1:$B$16)</f>
        <v>i</v>
      </c>
      <c r="I304">
        <f t="shared" si="78"/>
        <v>4</v>
      </c>
      <c r="J304">
        <f t="shared" si="79"/>
        <v>31</v>
      </c>
      <c r="K304">
        <f t="shared" si="74"/>
        <v>287</v>
      </c>
      <c r="M304" t="b">
        <f t="shared" si="80"/>
        <v>0</v>
      </c>
      <c r="N304" t="b">
        <f t="shared" si="81"/>
        <v>1</v>
      </c>
      <c r="O304" t="b">
        <f t="shared" si="82"/>
        <v>0</v>
      </c>
      <c r="P304" t="b">
        <f t="shared" si="83"/>
        <v>0</v>
      </c>
      <c r="Q304" t="b">
        <f t="shared" si="84"/>
        <v>0</v>
      </c>
      <c r="R304" t="b">
        <f t="shared" si="85"/>
        <v>1</v>
      </c>
      <c r="S304" t="b">
        <f t="shared" si="86"/>
        <v>0</v>
      </c>
      <c r="T304" t="b">
        <f t="shared" si="87"/>
        <v>0</v>
      </c>
      <c r="U304" t="b">
        <f t="shared" si="88"/>
        <v>0</v>
      </c>
      <c r="V304" t="b">
        <f t="shared" si="89"/>
        <v>0</v>
      </c>
    </row>
    <row r="305" spans="1:22" x14ac:dyDescent="0.35">
      <c r="A305" s="2">
        <v>3183</v>
      </c>
      <c r="B305" s="2">
        <f t="shared" si="75"/>
        <v>49</v>
      </c>
      <c r="C305" s="2">
        <f t="shared" si="76"/>
        <v>47</v>
      </c>
      <c r="D305" s="1" t="s">
        <v>168</v>
      </c>
      <c r="E305" t="str">
        <f t="shared" si="77"/>
        <v>0001</v>
      </c>
      <c r="F305" t="str">
        <f t="shared" si="72"/>
        <v>110010</v>
      </c>
      <c r="G305" t="str">
        <f t="shared" si="73"/>
        <v>011110</v>
      </c>
      <c r="H305" t="str">
        <f>LOOKUP(E305,Lookups!$A$1:$A$16,Lookups!$B$1:$B$16)</f>
        <v>b</v>
      </c>
      <c r="I305">
        <f t="shared" si="78"/>
        <v>50</v>
      </c>
      <c r="J305">
        <f t="shared" si="79"/>
        <v>30</v>
      </c>
      <c r="K305">
        <f t="shared" si="74"/>
        <v>3230</v>
      </c>
      <c r="M305" t="b">
        <f t="shared" si="80"/>
        <v>0</v>
      </c>
      <c r="N305" t="b">
        <f t="shared" si="81"/>
        <v>1</v>
      </c>
      <c r="O305" t="b">
        <f t="shared" si="82"/>
        <v>0</v>
      </c>
      <c r="P305" t="b">
        <f t="shared" si="83"/>
        <v>0</v>
      </c>
      <c r="Q305" t="b">
        <f t="shared" si="84"/>
        <v>0</v>
      </c>
      <c r="R305" t="b">
        <f t="shared" si="85"/>
        <v>1</v>
      </c>
      <c r="S305" t="b">
        <f t="shared" si="86"/>
        <v>0</v>
      </c>
      <c r="T305" t="b">
        <f t="shared" si="87"/>
        <v>0</v>
      </c>
      <c r="U305" t="b">
        <f t="shared" si="88"/>
        <v>1</v>
      </c>
      <c r="V305" t="b">
        <f t="shared" si="89"/>
        <v>0</v>
      </c>
    </row>
    <row r="306" spans="1:22" x14ac:dyDescent="0.35">
      <c r="A306" s="2">
        <v>3184</v>
      </c>
      <c r="B306" s="2">
        <f t="shared" si="75"/>
        <v>49</v>
      </c>
      <c r="C306" s="2">
        <f t="shared" si="76"/>
        <v>48</v>
      </c>
      <c r="D306" s="1" t="s">
        <v>188</v>
      </c>
      <c r="E306" t="str">
        <f t="shared" si="77"/>
        <v>1011</v>
      </c>
      <c r="F306" t="str">
        <f t="shared" si="72"/>
        <v>110001</v>
      </c>
      <c r="G306" t="str">
        <f t="shared" si="73"/>
        <v>111110</v>
      </c>
      <c r="H306" t="str">
        <f>LOOKUP(E306,Lookups!$A$1:$A$16,Lookups!$B$1:$B$16)</f>
        <v>t</v>
      </c>
      <c r="I306">
        <f t="shared" si="78"/>
        <v>49</v>
      </c>
      <c r="J306">
        <f t="shared" si="79"/>
        <v>62</v>
      </c>
      <c r="K306">
        <f t="shared" si="74"/>
        <v>3198</v>
      </c>
      <c r="M306" t="b">
        <f t="shared" si="80"/>
        <v>0</v>
      </c>
      <c r="N306" t="b">
        <f t="shared" si="81"/>
        <v>1</v>
      </c>
      <c r="O306" t="b">
        <f t="shared" si="82"/>
        <v>0</v>
      </c>
      <c r="P306" t="b">
        <f t="shared" si="83"/>
        <v>0</v>
      </c>
      <c r="Q306" t="b">
        <f t="shared" si="84"/>
        <v>0</v>
      </c>
      <c r="R306" t="b">
        <f t="shared" si="85"/>
        <v>1</v>
      </c>
      <c r="S306" t="b">
        <f t="shared" si="86"/>
        <v>0</v>
      </c>
      <c r="T306" t="b">
        <f t="shared" si="87"/>
        <v>0</v>
      </c>
      <c r="U306" t="b">
        <f t="shared" si="88"/>
        <v>0</v>
      </c>
      <c r="V306" t="b">
        <f t="shared" si="89"/>
        <v>0</v>
      </c>
    </row>
    <row r="307" spans="1:22" x14ac:dyDescent="0.35">
      <c r="A307" s="2">
        <v>3185</v>
      </c>
      <c r="B307" s="2">
        <f t="shared" si="75"/>
        <v>49</v>
      </c>
      <c r="C307" s="2">
        <f t="shared" si="76"/>
        <v>49</v>
      </c>
      <c r="D307" s="1" t="s">
        <v>87</v>
      </c>
      <c r="E307" t="str">
        <f t="shared" si="77"/>
        <v>1000</v>
      </c>
      <c r="F307" t="str">
        <f t="shared" si="72"/>
        <v>010000</v>
      </c>
      <c r="G307" t="str">
        <f t="shared" si="73"/>
        <v>000000</v>
      </c>
      <c r="H307" t="str">
        <f>LOOKUP(E307,Lookups!$A$1:$A$16,Lookups!$B$1:$B$16)</f>
        <v>p</v>
      </c>
      <c r="I307">
        <f t="shared" si="78"/>
        <v>16</v>
      </c>
      <c r="J307">
        <f t="shared" si="79"/>
        <v>0</v>
      </c>
      <c r="K307">
        <f t="shared" si="74"/>
        <v>1024</v>
      </c>
      <c r="M307" t="b">
        <f t="shared" si="80"/>
        <v>0</v>
      </c>
      <c r="N307" t="b">
        <f t="shared" si="81"/>
        <v>1</v>
      </c>
      <c r="O307" t="b">
        <f t="shared" si="82"/>
        <v>0</v>
      </c>
      <c r="P307" t="b">
        <f t="shared" si="83"/>
        <v>0</v>
      </c>
      <c r="Q307" t="b">
        <f t="shared" si="84"/>
        <v>0</v>
      </c>
      <c r="R307" t="b">
        <f t="shared" si="85"/>
        <v>0</v>
      </c>
      <c r="S307" t="b">
        <f t="shared" si="86"/>
        <v>0</v>
      </c>
      <c r="T307" t="b">
        <f t="shared" si="87"/>
        <v>0</v>
      </c>
      <c r="U307" t="b">
        <f t="shared" si="88"/>
        <v>1</v>
      </c>
      <c r="V307" t="b">
        <f t="shared" si="89"/>
        <v>0</v>
      </c>
    </row>
    <row r="308" spans="1:22" x14ac:dyDescent="0.35">
      <c r="A308" s="2">
        <v>3186</v>
      </c>
      <c r="B308" s="2">
        <f t="shared" si="75"/>
        <v>49</v>
      </c>
      <c r="C308" s="2">
        <f t="shared" si="76"/>
        <v>50</v>
      </c>
      <c r="D308" s="1" t="s">
        <v>97</v>
      </c>
      <c r="E308" t="str">
        <f t="shared" si="77"/>
        <v>1101</v>
      </c>
      <c r="F308" t="str">
        <f t="shared" si="72"/>
        <v>110010</v>
      </c>
      <c r="G308" t="str">
        <f t="shared" si="73"/>
        <v>011111</v>
      </c>
      <c r="H308" t="str">
        <f>LOOKUP(E308,Lookups!$A$1:$A$16,Lookups!$B$1:$B$16)</f>
        <v>c</v>
      </c>
      <c r="I308">
        <f t="shared" si="78"/>
        <v>50</v>
      </c>
      <c r="J308">
        <f t="shared" si="79"/>
        <v>31</v>
      </c>
      <c r="K308">
        <f t="shared" si="74"/>
        <v>3231</v>
      </c>
      <c r="M308" t="b">
        <f t="shared" si="80"/>
        <v>0</v>
      </c>
      <c r="N308" t="b">
        <f t="shared" si="81"/>
        <v>1</v>
      </c>
      <c r="O308" t="b">
        <f t="shared" si="82"/>
        <v>0</v>
      </c>
      <c r="P308" t="b">
        <f t="shared" si="83"/>
        <v>0</v>
      </c>
      <c r="Q308" t="b">
        <f t="shared" si="84"/>
        <v>0</v>
      </c>
      <c r="R308" t="b">
        <f t="shared" si="85"/>
        <v>1</v>
      </c>
      <c r="S308" t="b">
        <f t="shared" si="86"/>
        <v>0</v>
      </c>
      <c r="T308" t="b">
        <f t="shared" si="87"/>
        <v>0</v>
      </c>
      <c r="U308" t="b">
        <f t="shared" si="88"/>
        <v>0</v>
      </c>
      <c r="V308" t="b">
        <f t="shared" si="89"/>
        <v>0</v>
      </c>
    </row>
    <row r="309" spans="1:22" x14ac:dyDescent="0.35">
      <c r="A309" s="2">
        <v>3187</v>
      </c>
      <c r="B309" s="2">
        <f t="shared" si="75"/>
        <v>49</v>
      </c>
      <c r="C309" s="2">
        <f t="shared" si="76"/>
        <v>51</v>
      </c>
      <c r="D309" s="1" t="s">
        <v>97</v>
      </c>
      <c r="E309" t="str">
        <f t="shared" si="77"/>
        <v>1101</v>
      </c>
      <c r="F309" t="str">
        <f t="shared" si="72"/>
        <v>110010</v>
      </c>
      <c r="G309" t="str">
        <f t="shared" si="73"/>
        <v>011111</v>
      </c>
      <c r="H309" t="str">
        <f>LOOKUP(E309,Lookups!$A$1:$A$16,Lookups!$B$1:$B$16)</f>
        <v>c</v>
      </c>
      <c r="I309">
        <f t="shared" si="78"/>
        <v>50</v>
      </c>
      <c r="J309">
        <f t="shared" si="79"/>
        <v>31</v>
      </c>
      <c r="K309">
        <f t="shared" si="74"/>
        <v>3231</v>
      </c>
      <c r="M309" t="b">
        <f t="shared" si="80"/>
        <v>0</v>
      </c>
      <c r="N309" t="b">
        <f t="shared" si="81"/>
        <v>1</v>
      </c>
      <c r="O309" t="b">
        <f t="shared" si="82"/>
        <v>0</v>
      </c>
      <c r="P309" t="b">
        <f t="shared" si="83"/>
        <v>0</v>
      </c>
      <c r="Q309" t="b">
        <f t="shared" si="84"/>
        <v>0</v>
      </c>
      <c r="R309" t="b">
        <f t="shared" si="85"/>
        <v>1</v>
      </c>
      <c r="S309" t="b">
        <f t="shared" si="86"/>
        <v>0</v>
      </c>
      <c r="T309" t="b">
        <f t="shared" si="87"/>
        <v>0</v>
      </c>
      <c r="U309" t="b">
        <f t="shared" si="88"/>
        <v>0</v>
      </c>
      <c r="V309" t="b">
        <f t="shared" si="89"/>
        <v>0</v>
      </c>
    </row>
    <row r="310" spans="1:22" x14ac:dyDescent="0.35">
      <c r="A310" s="2">
        <v>3188</v>
      </c>
      <c r="B310" s="2">
        <f t="shared" si="75"/>
        <v>49</v>
      </c>
      <c r="C310" s="2">
        <f t="shared" si="76"/>
        <v>52</v>
      </c>
      <c r="D310" s="1" t="s">
        <v>107</v>
      </c>
      <c r="E310" t="str">
        <f t="shared" si="77"/>
        <v>1101</v>
      </c>
      <c r="F310" t="str">
        <f t="shared" si="72"/>
        <v>101111</v>
      </c>
      <c r="G310" t="str">
        <f t="shared" si="73"/>
        <v>010111</v>
      </c>
      <c r="H310" t="str">
        <f>LOOKUP(E310,Lookups!$A$1:$A$16,Lookups!$B$1:$B$16)</f>
        <v>c</v>
      </c>
      <c r="I310">
        <f t="shared" si="78"/>
        <v>47</v>
      </c>
      <c r="J310">
        <f t="shared" si="79"/>
        <v>23</v>
      </c>
      <c r="K310">
        <f t="shared" si="74"/>
        <v>3031</v>
      </c>
      <c r="M310" t="b">
        <f t="shared" si="80"/>
        <v>0</v>
      </c>
      <c r="N310" t="b">
        <f t="shared" si="81"/>
        <v>1</v>
      </c>
      <c r="O310" t="b">
        <f t="shared" si="82"/>
        <v>0</v>
      </c>
      <c r="P310" t="b">
        <f t="shared" si="83"/>
        <v>0</v>
      </c>
      <c r="Q310" t="b">
        <f t="shared" si="84"/>
        <v>0</v>
      </c>
      <c r="R310" t="b">
        <f t="shared" si="85"/>
        <v>1</v>
      </c>
      <c r="S310" t="b">
        <f t="shared" si="86"/>
        <v>0</v>
      </c>
      <c r="T310" t="b">
        <f t="shared" si="87"/>
        <v>0</v>
      </c>
      <c r="U310" t="b">
        <f t="shared" si="88"/>
        <v>0</v>
      </c>
      <c r="V310" t="b">
        <f t="shared" si="89"/>
        <v>0</v>
      </c>
    </row>
    <row r="311" spans="1:22" x14ac:dyDescent="0.35">
      <c r="A311" s="2">
        <v>3189</v>
      </c>
      <c r="B311" s="2">
        <f t="shared" si="75"/>
        <v>49</v>
      </c>
      <c r="C311" s="2">
        <f t="shared" si="76"/>
        <v>53</v>
      </c>
      <c r="D311" s="1" t="s">
        <v>189</v>
      </c>
      <c r="E311" t="str">
        <f t="shared" si="77"/>
        <v>0000</v>
      </c>
      <c r="F311" t="str">
        <f t="shared" si="72"/>
        <v>000000</v>
      </c>
      <c r="G311" t="str">
        <f t="shared" si="73"/>
        <v>011010</v>
      </c>
      <c r="H311" t="str">
        <f>LOOKUP(E311,Lookups!$A$1:$A$16,Lookups!$B$1:$B$16)</f>
        <v>z</v>
      </c>
      <c r="I311">
        <f t="shared" si="78"/>
        <v>0</v>
      </c>
      <c r="J311">
        <f t="shared" si="79"/>
        <v>26</v>
      </c>
      <c r="K311">
        <f t="shared" si="74"/>
        <v>26</v>
      </c>
      <c r="M311" t="b">
        <f t="shared" si="80"/>
        <v>1</v>
      </c>
      <c r="N311" t="b">
        <f t="shared" si="81"/>
        <v>0</v>
      </c>
      <c r="O311" t="b">
        <f t="shared" si="82"/>
        <v>0</v>
      </c>
      <c r="P311" t="b">
        <f t="shared" si="83"/>
        <v>1</v>
      </c>
      <c r="Q311" t="b">
        <f t="shared" si="84"/>
        <v>1</v>
      </c>
      <c r="R311" t="b">
        <f t="shared" si="85"/>
        <v>1</v>
      </c>
      <c r="S311" t="b">
        <f t="shared" si="86"/>
        <v>1</v>
      </c>
      <c r="T311" t="b">
        <f t="shared" si="87"/>
        <v>0</v>
      </c>
      <c r="U311" t="b">
        <f t="shared" si="88"/>
        <v>1</v>
      </c>
      <c r="V311" t="b">
        <f t="shared" si="89"/>
        <v>0</v>
      </c>
    </row>
    <row r="312" spans="1:22" x14ac:dyDescent="0.35">
      <c r="A312" s="2">
        <v>3190</v>
      </c>
      <c r="B312" s="2">
        <f t="shared" si="75"/>
        <v>49</v>
      </c>
      <c r="C312" s="2">
        <f t="shared" si="76"/>
        <v>54</v>
      </c>
      <c r="D312" s="1" t="s">
        <v>190</v>
      </c>
      <c r="E312" t="str">
        <f t="shared" si="77"/>
        <v>1010</v>
      </c>
      <c r="F312" t="str">
        <f t="shared" si="72"/>
        <v>110010</v>
      </c>
      <c r="G312" t="str">
        <f t="shared" si="73"/>
        <v>111101</v>
      </c>
      <c r="H312" t="str">
        <f>LOOKUP(E312,Lookups!$A$1:$A$16,Lookups!$B$1:$B$16)</f>
        <v>u</v>
      </c>
      <c r="I312">
        <f t="shared" si="78"/>
        <v>50</v>
      </c>
      <c r="J312">
        <f t="shared" si="79"/>
        <v>61</v>
      </c>
      <c r="K312">
        <f t="shared" si="74"/>
        <v>3261</v>
      </c>
      <c r="M312" t="b">
        <f t="shared" si="80"/>
        <v>0</v>
      </c>
      <c r="N312" t="b">
        <f t="shared" si="81"/>
        <v>1</v>
      </c>
      <c r="O312" t="b">
        <f t="shared" si="82"/>
        <v>0</v>
      </c>
      <c r="P312" t="b">
        <f t="shared" si="83"/>
        <v>0</v>
      </c>
      <c r="Q312" t="b">
        <f t="shared" si="84"/>
        <v>0</v>
      </c>
      <c r="R312" t="b">
        <f t="shared" si="85"/>
        <v>1</v>
      </c>
      <c r="S312" t="b">
        <f t="shared" si="86"/>
        <v>0</v>
      </c>
      <c r="T312" t="b">
        <f t="shared" si="87"/>
        <v>0</v>
      </c>
      <c r="U312" t="b">
        <f t="shared" si="88"/>
        <v>0</v>
      </c>
      <c r="V312" t="b">
        <f t="shared" si="89"/>
        <v>0</v>
      </c>
    </row>
    <row r="313" spans="1:22" x14ac:dyDescent="0.35">
      <c r="A313" s="2">
        <v>3191</v>
      </c>
      <c r="B313" s="2">
        <f t="shared" si="75"/>
        <v>49</v>
      </c>
      <c r="C313" s="2">
        <f t="shared" si="76"/>
        <v>55</v>
      </c>
      <c r="D313" s="1" t="s">
        <v>92</v>
      </c>
      <c r="E313" t="str">
        <f t="shared" si="77"/>
        <v>1000</v>
      </c>
      <c r="F313" t="str">
        <f t="shared" si="72"/>
        <v>001100</v>
      </c>
      <c r="G313" t="str">
        <f t="shared" si="73"/>
        <v>000000</v>
      </c>
      <c r="H313" t="str">
        <f>LOOKUP(E313,Lookups!$A$1:$A$16,Lookups!$B$1:$B$16)</f>
        <v>p</v>
      </c>
      <c r="I313">
        <f t="shared" si="78"/>
        <v>12</v>
      </c>
      <c r="J313">
        <f t="shared" si="79"/>
        <v>0</v>
      </c>
      <c r="K313">
        <f t="shared" si="74"/>
        <v>768</v>
      </c>
      <c r="M313" t="b">
        <f t="shared" si="80"/>
        <v>0</v>
      </c>
      <c r="N313" t="b">
        <f t="shared" si="81"/>
        <v>1</v>
      </c>
      <c r="O313" t="b">
        <f t="shared" si="82"/>
        <v>0</v>
      </c>
      <c r="P313" t="b">
        <f t="shared" si="83"/>
        <v>0</v>
      </c>
      <c r="Q313" t="b">
        <f t="shared" si="84"/>
        <v>0</v>
      </c>
      <c r="R313" t="b">
        <f t="shared" si="85"/>
        <v>0</v>
      </c>
      <c r="S313" t="b">
        <f t="shared" si="86"/>
        <v>0</v>
      </c>
      <c r="T313" t="b">
        <f t="shared" si="87"/>
        <v>0</v>
      </c>
      <c r="U313" t="b">
        <f t="shared" si="88"/>
        <v>1</v>
      </c>
      <c r="V313" t="b">
        <f t="shared" si="89"/>
        <v>0</v>
      </c>
    </row>
    <row r="314" spans="1:22" x14ac:dyDescent="0.35">
      <c r="A314" s="2">
        <v>3192</v>
      </c>
      <c r="B314" s="2">
        <f t="shared" si="75"/>
        <v>49</v>
      </c>
      <c r="C314" s="2">
        <f t="shared" si="76"/>
        <v>56</v>
      </c>
      <c r="D314" s="1" t="s">
        <v>191</v>
      </c>
      <c r="E314" t="str">
        <f t="shared" si="77"/>
        <v>0000</v>
      </c>
      <c r="F314" t="str">
        <f t="shared" si="72"/>
        <v>000000</v>
      </c>
      <c r="G314" t="str">
        <f t="shared" si="73"/>
        <v>000011</v>
      </c>
      <c r="H314" t="str">
        <f>LOOKUP(E314,Lookups!$A$1:$A$16,Lookups!$B$1:$B$16)</f>
        <v>z</v>
      </c>
      <c r="I314">
        <f t="shared" si="78"/>
        <v>0</v>
      </c>
      <c r="J314">
        <f t="shared" si="79"/>
        <v>3</v>
      </c>
      <c r="K314">
        <f t="shared" si="74"/>
        <v>3</v>
      </c>
      <c r="M314" t="b">
        <f t="shared" si="80"/>
        <v>1</v>
      </c>
      <c r="N314" t="b">
        <f t="shared" si="81"/>
        <v>0</v>
      </c>
      <c r="O314" t="b">
        <f t="shared" si="82"/>
        <v>0</v>
      </c>
      <c r="P314" t="b">
        <f t="shared" si="83"/>
        <v>1</v>
      </c>
      <c r="Q314" t="b">
        <f t="shared" si="84"/>
        <v>1</v>
      </c>
      <c r="R314" t="b">
        <f t="shared" si="85"/>
        <v>1</v>
      </c>
      <c r="S314" t="b">
        <f t="shared" si="86"/>
        <v>1</v>
      </c>
      <c r="T314" t="b">
        <f t="shared" si="87"/>
        <v>0</v>
      </c>
      <c r="U314" t="b">
        <f t="shared" si="88"/>
        <v>1</v>
      </c>
      <c r="V314" t="b">
        <f t="shared" si="89"/>
        <v>0</v>
      </c>
    </row>
    <row r="315" spans="1:22" x14ac:dyDescent="0.35">
      <c r="A315" s="2">
        <v>3193</v>
      </c>
      <c r="B315" s="2">
        <f t="shared" si="75"/>
        <v>49</v>
      </c>
      <c r="C315" s="2">
        <f t="shared" si="76"/>
        <v>57</v>
      </c>
      <c r="D315" s="1" t="s">
        <v>1</v>
      </c>
      <c r="E315" t="str">
        <f t="shared" si="77"/>
        <v>1101</v>
      </c>
      <c r="F315" t="str">
        <f t="shared" si="72"/>
        <v>110010</v>
      </c>
      <c r="G315" t="str">
        <f t="shared" si="73"/>
        <v>011110</v>
      </c>
      <c r="H315" t="str">
        <f>LOOKUP(E315,Lookups!$A$1:$A$16,Lookups!$B$1:$B$16)</f>
        <v>c</v>
      </c>
      <c r="I315">
        <f t="shared" si="78"/>
        <v>50</v>
      </c>
      <c r="J315">
        <f t="shared" si="79"/>
        <v>30</v>
      </c>
      <c r="K315">
        <f t="shared" si="74"/>
        <v>3230</v>
      </c>
      <c r="M315" t="b">
        <f t="shared" si="80"/>
        <v>0</v>
      </c>
      <c r="N315" t="b">
        <f t="shared" si="81"/>
        <v>1</v>
      </c>
      <c r="O315" t="b">
        <f t="shared" si="82"/>
        <v>0</v>
      </c>
      <c r="P315" t="b">
        <f t="shared" si="83"/>
        <v>0</v>
      </c>
      <c r="Q315" t="b">
        <f t="shared" si="84"/>
        <v>0</v>
      </c>
      <c r="R315" t="b">
        <f t="shared" si="85"/>
        <v>1</v>
      </c>
      <c r="S315" t="b">
        <f t="shared" si="86"/>
        <v>0</v>
      </c>
      <c r="T315" t="b">
        <f t="shared" si="87"/>
        <v>0</v>
      </c>
      <c r="U315" t="b">
        <f t="shared" si="88"/>
        <v>0</v>
      </c>
      <c r="V315" t="b">
        <f t="shared" si="89"/>
        <v>0</v>
      </c>
    </row>
    <row r="316" spans="1:22" x14ac:dyDescent="0.35">
      <c r="A316" s="2">
        <v>3194</v>
      </c>
      <c r="B316" s="2">
        <f t="shared" si="75"/>
        <v>49</v>
      </c>
      <c r="C316" s="2">
        <f t="shared" si="76"/>
        <v>58</v>
      </c>
      <c r="D316" s="1" t="s">
        <v>192</v>
      </c>
      <c r="E316" t="str">
        <f t="shared" si="77"/>
        <v>1111</v>
      </c>
      <c r="F316" t="str">
        <f t="shared" si="72"/>
        <v>110010</v>
      </c>
      <c r="G316" t="str">
        <f t="shared" si="73"/>
        <v>011110</v>
      </c>
      <c r="H316" t="str">
        <f>LOOKUP(E316,Lookups!$A$1:$A$16,Lookups!$B$1:$B$16)</f>
        <v>s</v>
      </c>
      <c r="I316">
        <f t="shared" si="78"/>
        <v>50</v>
      </c>
      <c r="J316">
        <f t="shared" si="79"/>
        <v>30</v>
      </c>
      <c r="K316">
        <f t="shared" si="74"/>
        <v>3230</v>
      </c>
      <c r="M316" t="b">
        <f t="shared" si="80"/>
        <v>0</v>
      </c>
      <c r="N316" t="b">
        <f t="shared" si="81"/>
        <v>1</v>
      </c>
      <c r="O316" t="b">
        <f t="shared" si="82"/>
        <v>0</v>
      </c>
      <c r="P316" t="b">
        <f t="shared" si="83"/>
        <v>0</v>
      </c>
      <c r="Q316" t="b">
        <f t="shared" si="84"/>
        <v>0</v>
      </c>
      <c r="R316" t="b">
        <f t="shared" si="85"/>
        <v>1</v>
      </c>
      <c r="S316" t="b">
        <f t="shared" si="86"/>
        <v>0</v>
      </c>
      <c r="T316" t="b">
        <f t="shared" si="87"/>
        <v>0</v>
      </c>
      <c r="U316" t="b">
        <f t="shared" si="88"/>
        <v>0</v>
      </c>
      <c r="V316" t="b">
        <f t="shared" si="89"/>
        <v>0</v>
      </c>
    </row>
    <row r="317" spans="1:22" x14ac:dyDescent="0.35">
      <c r="A317" s="2">
        <v>3195</v>
      </c>
      <c r="B317" s="2">
        <f t="shared" si="75"/>
        <v>49</v>
      </c>
      <c r="C317" s="2">
        <f t="shared" si="76"/>
        <v>59</v>
      </c>
      <c r="D317" s="1" t="s">
        <v>193</v>
      </c>
      <c r="E317" t="str">
        <f t="shared" si="77"/>
        <v>1000</v>
      </c>
      <c r="F317" t="str">
        <f t="shared" si="72"/>
        <v>000111</v>
      </c>
      <c r="G317" t="str">
        <f t="shared" si="73"/>
        <v>000000</v>
      </c>
      <c r="H317" t="str">
        <f>LOOKUP(E317,Lookups!$A$1:$A$16,Lookups!$B$1:$B$16)</f>
        <v>p</v>
      </c>
      <c r="I317">
        <f t="shared" si="78"/>
        <v>7</v>
      </c>
      <c r="J317">
        <f t="shared" si="79"/>
        <v>0</v>
      </c>
      <c r="K317">
        <f t="shared" si="74"/>
        <v>448</v>
      </c>
      <c r="M317" t="b">
        <f t="shared" si="80"/>
        <v>0</v>
      </c>
      <c r="N317" t="b">
        <f t="shared" si="81"/>
        <v>1</v>
      </c>
      <c r="O317" t="b">
        <f t="shared" si="82"/>
        <v>0</v>
      </c>
      <c r="P317" t="b">
        <f t="shared" si="83"/>
        <v>0</v>
      </c>
      <c r="Q317" t="b">
        <f t="shared" si="84"/>
        <v>0</v>
      </c>
      <c r="R317" t="b">
        <f t="shared" si="85"/>
        <v>0</v>
      </c>
      <c r="S317" t="b">
        <f t="shared" si="86"/>
        <v>0</v>
      </c>
      <c r="T317" t="b">
        <f t="shared" si="87"/>
        <v>0</v>
      </c>
      <c r="U317" t="b">
        <f t="shared" si="88"/>
        <v>0</v>
      </c>
      <c r="V317" t="b">
        <f t="shared" si="89"/>
        <v>0</v>
      </c>
    </row>
    <row r="318" spans="1:22" x14ac:dyDescent="0.35">
      <c r="A318" s="2">
        <v>3196</v>
      </c>
      <c r="B318" s="2">
        <f t="shared" si="75"/>
        <v>49</v>
      </c>
      <c r="C318" s="2">
        <f t="shared" si="76"/>
        <v>60</v>
      </c>
      <c r="D318" s="1" t="s">
        <v>194</v>
      </c>
      <c r="E318" t="str">
        <f t="shared" si="77"/>
        <v>0000</v>
      </c>
      <c r="F318" t="str">
        <f t="shared" si="72"/>
        <v>000000</v>
      </c>
      <c r="G318" t="str">
        <f t="shared" si="73"/>
        <v>001111</v>
      </c>
      <c r="H318" t="str">
        <f>LOOKUP(E318,Lookups!$A$1:$A$16,Lookups!$B$1:$B$16)</f>
        <v>z</v>
      </c>
      <c r="I318">
        <f t="shared" si="78"/>
        <v>0</v>
      </c>
      <c r="J318">
        <f t="shared" si="79"/>
        <v>15</v>
      </c>
      <c r="K318">
        <f t="shared" si="74"/>
        <v>15</v>
      </c>
      <c r="M318" t="b">
        <f t="shared" si="80"/>
        <v>1</v>
      </c>
      <c r="N318" t="b">
        <f t="shared" si="81"/>
        <v>0</v>
      </c>
      <c r="O318" t="b">
        <f t="shared" si="82"/>
        <v>0</v>
      </c>
      <c r="P318" t="b">
        <f t="shared" si="83"/>
        <v>1</v>
      </c>
      <c r="Q318" t="b">
        <f t="shared" si="84"/>
        <v>1</v>
      </c>
      <c r="R318" t="b">
        <f t="shared" si="85"/>
        <v>1</v>
      </c>
      <c r="S318" t="b">
        <f t="shared" si="86"/>
        <v>1</v>
      </c>
      <c r="T318" t="b">
        <f t="shared" si="87"/>
        <v>0</v>
      </c>
      <c r="U318" t="b">
        <f t="shared" si="88"/>
        <v>1</v>
      </c>
      <c r="V318" t="b">
        <f t="shared" si="89"/>
        <v>0</v>
      </c>
    </row>
    <row r="319" spans="1:22" x14ac:dyDescent="0.35">
      <c r="A319" s="2">
        <v>3197</v>
      </c>
      <c r="B319" s="2">
        <f t="shared" si="75"/>
        <v>49</v>
      </c>
      <c r="C319" s="2">
        <f t="shared" si="76"/>
        <v>61</v>
      </c>
      <c r="D319" s="1" t="s">
        <v>195</v>
      </c>
      <c r="E319" t="str">
        <f t="shared" si="77"/>
        <v>1010</v>
      </c>
      <c r="F319" t="str">
        <f t="shared" si="72"/>
        <v>110001</v>
      </c>
      <c r="G319" t="str">
        <f t="shared" si="73"/>
        <v>100101</v>
      </c>
      <c r="H319" t="str">
        <f>LOOKUP(E319,Lookups!$A$1:$A$16,Lookups!$B$1:$B$16)</f>
        <v>u</v>
      </c>
      <c r="I319">
        <f t="shared" si="78"/>
        <v>49</v>
      </c>
      <c r="J319">
        <f t="shared" si="79"/>
        <v>37</v>
      </c>
      <c r="K319">
        <f t="shared" si="74"/>
        <v>3173</v>
      </c>
      <c r="M319" t="b">
        <f t="shared" si="80"/>
        <v>0</v>
      </c>
      <c r="N319" t="b">
        <f t="shared" si="81"/>
        <v>1</v>
      </c>
      <c r="O319" t="b">
        <f t="shared" si="82"/>
        <v>0</v>
      </c>
      <c r="P319" t="b">
        <f t="shared" si="83"/>
        <v>0</v>
      </c>
      <c r="Q319" t="b">
        <f t="shared" si="84"/>
        <v>0</v>
      </c>
      <c r="R319" t="b">
        <f t="shared" si="85"/>
        <v>1</v>
      </c>
      <c r="S319" t="b">
        <f t="shared" si="86"/>
        <v>0</v>
      </c>
      <c r="T319" t="b">
        <f t="shared" si="87"/>
        <v>0</v>
      </c>
      <c r="U319" t="b">
        <f t="shared" si="88"/>
        <v>0</v>
      </c>
      <c r="V319" t="b">
        <f t="shared" si="89"/>
        <v>0</v>
      </c>
    </row>
    <row r="320" spans="1:22" x14ac:dyDescent="0.35">
      <c r="A320" s="2">
        <v>3198</v>
      </c>
      <c r="B320" s="2">
        <f t="shared" si="75"/>
        <v>49</v>
      </c>
      <c r="C320" s="2">
        <f t="shared" si="76"/>
        <v>62</v>
      </c>
      <c r="D320" s="1" t="s">
        <v>92</v>
      </c>
      <c r="E320" t="str">
        <f t="shared" si="77"/>
        <v>1000</v>
      </c>
      <c r="F320" t="str">
        <f t="shared" si="72"/>
        <v>001100</v>
      </c>
      <c r="G320" t="str">
        <f t="shared" si="73"/>
        <v>000000</v>
      </c>
      <c r="H320" t="str">
        <f>LOOKUP(E320,Lookups!$A$1:$A$16,Lookups!$B$1:$B$16)</f>
        <v>p</v>
      </c>
      <c r="I320">
        <f t="shared" si="78"/>
        <v>12</v>
      </c>
      <c r="J320">
        <f t="shared" si="79"/>
        <v>0</v>
      </c>
      <c r="K320">
        <f t="shared" si="74"/>
        <v>768</v>
      </c>
      <c r="M320" t="b">
        <f t="shared" si="80"/>
        <v>0</v>
      </c>
      <c r="N320" t="b">
        <f t="shared" si="81"/>
        <v>1</v>
      </c>
      <c r="O320" t="b">
        <f t="shared" si="82"/>
        <v>0</v>
      </c>
      <c r="P320" t="b">
        <f t="shared" si="83"/>
        <v>0</v>
      </c>
      <c r="Q320" t="b">
        <f t="shared" si="84"/>
        <v>0</v>
      </c>
      <c r="R320" t="b">
        <f t="shared" si="85"/>
        <v>0</v>
      </c>
      <c r="S320" t="b">
        <f t="shared" si="86"/>
        <v>0</v>
      </c>
      <c r="T320" t="b">
        <f t="shared" si="87"/>
        <v>0</v>
      </c>
      <c r="U320" t="b">
        <f t="shared" si="88"/>
        <v>1</v>
      </c>
      <c r="V320" t="b">
        <f t="shared" si="89"/>
        <v>0</v>
      </c>
    </row>
    <row r="321" spans="1:22" x14ac:dyDescent="0.35">
      <c r="A321" s="2">
        <v>3199</v>
      </c>
      <c r="B321" s="2">
        <f t="shared" si="75"/>
        <v>49</v>
      </c>
      <c r="C321" s="2">
        <f t="shared" si="76"/>
        <v>63</v>
      </c>
      <c r="D321" s="1" t="s">
        <v>196</v>
      </c>
      <c r="E321" t="str">
        <f t="shared" si="77"/>
        <v>0000</v>
      </c>
      <c r="F321" t="str">
        <f t="shared" si="72"/>
        <v>000000</v>
      </c>
      <c r="G321" t="str">
        <f t="shared" si="73"/>
        <v>000010</v>
      </c>
      <c r="H321" t="str">
        <f>LOOKUP(E321,Lookups!$A$1:$A$16,Lookups!$B$1:$B$16)</f>
        <v>z</v>
      </c>
      <c r="I321">
        <f t="shared" si="78"/>
        <v>0</v>
      </c>
      <c r="J321">
        <f t="shared" si="79"/>
        <v>2</v>
      </c>
      <c r="K321">
        <f t="shared" si="74"/>
        <v>2</v>
      </c>
      <c r="M321" t="b">
        <f t="shared" si="80"/>
        <v>1</v>
      </c>
      <c r="N321" t="b">
        <f t="shared" si="81"/>
        <v>0</v>
      </c>
      <c r="O321" t="b">
        <f t="shared" si="82"/>
        <v>0</v>
      </c>
      <c r="P321" t="b">
        <f t="shared" si="83"/>
        <v>1</v>
      </c>
      <c r="Q321" t="b">
        <f t="shared" si="84"/>
        <v>1</v>
      </c>
      <c r="R321" t="b">
        <f t="shared" si="85"/>
        <v>1</v>
      </c>
      <c r="S321" t="b">
        <f t="shared" si="86"/>
        <v>1</v>
      </c>
      <c r="T321" t="b">
        <f t="shared" si="87"/>
        <v>0</v>
      </c>
      <c r="U321" t="b">
        <f t="shared" si="88"/>
        <v>1</v>
      </c>
      <c r="V321" t="b">
        <f t="shared" si="89"/>
        <v>0</v>
      </c>
    </row>
    <row r="322" spans="1:22" x14ac:dyDescent="0.35">
      <c r="A322" s="2">
        <v>3200</v>
      </c>
      <c r="B322" s="2">
        <f t="shared" si="75"/>
        <v>50</v>
      </c>
      <c r="C322" s="2">
        <f t="shared" si="76"/>
        <v>0</v>
      </c>
      <c r="D322" s="1" t="s">
        <v>2</v>
      </c>
      <c r="E322" t="str">
        <f t="shared" si="77"/>
        <v>1010</v>
      </c>
      <c r="F322" t="str">
        <f t="shared" ref="F322:F385" si="90">MID(D322,19,6)</f>
        <v>110001</v>
      </c>
      <c r="G322" t="str">
        <f t="shared" ref="G322:G385" si="91">MID(D322,25,6)</f>
        <v>110001</v>
      </c>
      <c r="H322" t="str">
        <f>LOOKUP(E322,Lookups!$A$1:$A$16,Lookups!$B$1:$B$16)</f>
        <v>u</v>
      </c>
      <c r="I322">
        <f t="shared" si="78"/>
        <v>49</v>
      </c>
      <c r="J322">
        <f t="shared" si="79"/>
        <v>49</v>
      </c>
      <c r="K322">
        <f t="shared" ref="K322:K385" si="92">I322*64+J322</f>
        <v>3185</v>
      </c>
      <c r="M322" t="b">
        <f t="shared" si="80"/>
        <v>0</v>
      </c>
      <c r="N322" t="b">
        <f t="shared" si="81"/>
        <v>1</v>
      </c>
      <c r="O322" t="b">
        <f t="shared" si="82"/>
        <v>0</v>
      </c>
      <c r="P322" t="b">
        <f t="shared" si="83"/>
        <v>0</v>
      </c>
      <c r="Q322" t="b">
        <f t="shared" si="84"/>
        <v>0</v>
      </c>
      <c r="R322" t="b">
        <f t="shared" si="85"/>
        <v>1</v>
      </c>
      <c r="S322" t="b">
        <f t="shared" si="86"/>
        <v>0</v>
      </c>
      <c r="T322" t="b">
        <f t="shared" si="87"/>
        <v>0</v>
      </c>
      <c r="U322" t="b">
        <f t="shared" si="88"/>
        <v>0</v>
      </c>
      <c r="V322" t="b">
        <f t="shared" si="89"/>
        <v>0</v>
      </c>
    </row>
    <row r="323" spans="1:22" x14ac:dyDescent="0.35">
      <c r="A323" s="2">
        <v>3201</v>
      </c>
      <c r="B323" s="2">
        <f t="shared" ref="B323:B386" si="93">QUOTIENT(A323,64)</f>
        <v>50</v>
      </c>
      <c r="C323" s="2">
        <f t="shared" ref="C323:C386" si="94">MOD(A323,64)</f>
        <v>1</v>
      </c>
      <c r="D323" s="1" t="s">
        <v>14</v>
      </c>
      <c r="E323" t="str">
        <f t="shared" ref="E323:E386" si="95">MID(D323,13,4)</f>
        <v>1110</v>
      </c>
      <c r="F323" t="str">
        <f t="shared" si="90"/>
        <v>101110</v>
      </c>
      <c r="G323" t="str">
        <f t="shared" si="91"/>
        <v>100011</v>
      </c>
      <c r="H323" t="str">
        <f>LOOKUP(E323,Lookups!$A$1:$A$16,Lookups!$B$1:$B$16)</f>
        <v>a</v>
      </c>
      <c r="I323">
        <f t="shared" ref="I323:I386" si="96">BIN2DEC(F323)</f>
        <v>46</v>
      </c>
      <c r="J323">
        <f t="shared" ref="J323:J386" si="97">BIN2DEC(G323)</f>
        <v>35</v>
      </c>
      <c r="K323">
        <f t="shared" si="92"/>
        <v>2979</v>
      </c>
      <c r="M323" t="b">
        <f t="shared" ref="M323:M386" si="98">IF(H323="z", TRUE,FALSE)</f>
        <v>0</v>
      </c>
      <c r="N323" t="b">
        <f t="shared" ref="N323:N386" si="99">IF(AND(I323,60),TRUE,FALSE)</f>
        <v>1</v>
      </c>
      <c r="O323" t="b">
        <f t="shared" ref="O323:O386" si="100">IF(AND(M323,N323),TRUE,FALSE)</f>
        <v>0</v>
      </c>
      <c r="P323" t="b">
        <f t="shared" ref="P323:P386" si="101">IF(I323=0,TRUE, FALSE)</f>
        <v>0</v>
      </c>
      <c r="Q323" t="b">
        <f t="shared" ref="Q323:Q386" si="102">IF(AND(M323,P323),TRUE,FALSE)</f>
        <v>0</v>
      </c>
      <c r="R323" t="b">
        <f t="shared" ref="R323:R386" si="103">IF(J323&lt;&gt;0,TRUE,FALSE)</f>
        <v>1</v>
      </c>
      <c r="S323" t="b">
        <f t="shared" ref="S323:S386" si="104">IF(AND(M323,R323),TRUE,FALSE)</f>
        <v>0</v>
      </c>
      <c r="T323" t="b">
        <f t="shared" ref="T323:T386" si="105">IF(AND(OR(O323,Q323),NOT(S323)),TRUE,FALSE)</f>
        <v>0</v>
      </c>
      <c r="U323" t="b">
        <f t="shared" ref="U323:U386" si="106">IF(AND(A323,COUNTIF($K$2:$K$449,A323)),TRUE,FALSE)</f>
        <v>1</v>
      </c>
      <c r="V323" t="b">
        <f t="shared" ref="V323:V386" si="107">IF(AND(T323,U323),TRUE,FALSE)</f>
        <v>0</v>
      </c>
    </row>
    <row r="324" spans="1:22" x14ac:dyDescent="0.35">
      <c r="A324" s="2">
        <v>3202</v>
      </c>
      <c r="B324" s="2">
        <f t="shared" si="93"/>
        <v>50</v>
      </c>
      <c r="C324" s="2">
        <f t="shared" si="94"/>
        <v>2</v>
      </c>
      <c r="D324" s="1" t="s">
        <v>197</v>
      </c>
      <c r="E324" t="str">
        <f t="shared" si="95"/>
        <v>1011</v>
      </c>
      <c r="F324" t="str">
        <f t="shared" si="90"/>
        <v>110010</v>
      </c>
      <c r="G324" t="str">
        <f t="shared" si="91"/>
        <v>010000</v>
      </c>
      <c r="H324" t="str">
        <f>LOOKUP(E324,Lookups!$A$1:$A$16,Lookups!$B$1:$B$16)</f>
        <v>t</v>
      </c>
      <c r="I324">
        <f t="shared" si="96"/>
        <v>50</v>
      </c>
      <c r="J324">
        <f t="shared" si="97"/>
        <v>16</v>
      </c>
      <c r="K324">
        <f t="shared" si="92"/>
        <v>3216</v>
      </c>
      <c r="M324" t="b">
        <f t="shared" si="98"/>
        <v>0</v>
      </c>
      <c r="N324" t="b">
        <f t="shared" si="99"/>
        <v>1</v>
      </c>
      <c r="O324" t="b">
        <f t="shared" si="100"/>
        <v>0</v>
      </c>
      <c r="P324" t="b">
        <f t="shared" si="101"/>
        <v>0</v>
      </c>
      <c r="Q324" t="b">
        <f t="shared" si="102"/>
        <v>0</v>
      </c>
      <c r="R324" t="b">
        <f t="shared" si="103"/>
        <v>1</v>
      </c>
      <c r="S324" t="b">
        <f t="shared" si="104"/>
        <v>0</v>
      </c>
      <c r="T324" t="b">
        <f t="shared" si="105"/>
        <v>0</v>
      </c>
      <c r="U324" t="b">
        <f t="shared" si="106"/>
        <v>0</v>
      </c>
      <c r="V324" t="b">
        <f t="shared" si="107"/>
        <v>0</v>
      </c>
    </row>
    <row r="325" spans="1:22" x14ac:dyDescent="0.35">
      <c r="A325" s="2">
        <v>3203</v>
      </c>
      <c r="B325" s="2">
        <f t="shared" si="93"/>
        <v>50</v>
      </c>
      <c r="C325" s="2">
        <f t="shared" si="94"/>
        <v>3</v>
      </c>
      <c r="D325" s="1" t="s">
        <v>157</v>
      </c>
      <c r="E325" t="str">
        <f t="shared" si="95"/>
        <v>0001</v>
      </c>
      <c r="F325" t="str">
        <f t="shared" si="90"/>
        <v>101110</v>
      </c>
      <c r="G325" t="str">
        <f t="shared" si="91"/>
        <v>100011</v>
      </c>
      <c r="H325" t="str">
        <f>LOOKUP(E325,Lookups!$A$1:$A$16,Lookups!$B$1:$B$16)</f>
        <v>b</v>
      </c>
      <c r="I325">
        <f t="shared" si="96"/>
        <v>46</v>
      </c>
      <c r="J325">
        <f t="shared" si="97"/>
        <v>35</v>
      </c>
      <c r="K325">
        <f t="shared" si="92"/>
        <v>2979</v>
      </c>
      <c r="M325" t="b">
        <f t="shared" si="98"/>
        <v>0</v>
      </c>
      <c r="N325" t="b">
        <f t="shared" si="99"/>
        <v>1</v>
      </c>
      <c r="O325" t="b">
        <f t="shared" si="100"/>
        <v>0</v>
      </c>
      <c r="P325" t="b">
        <f t="shared" si="101"/>
        <v>0</v>
      </c>
      <c r="Q325" t="b">
        <f t="shared" si="102"/>
        <v>0</v>
      </c>
      <c r="R325" t="b">
        <f t="shared" si="103"/>
        <v>1</v>
      </c>
      <c r="S325" t="b">
        <f t="shared" si="104"/>
        <v>0</v>
      </c>
      <c r="T325" t="b">
        <f t="shared" si="105"/>
        <v>0</v>
      </c>
      <c r="U325" t="b">
        <f t="shared" si="106"/>
        <v>0</v>
      </c>
      <c r="V325" t="b">
        <f t="shared" si="107"/>
        <v>0</v>
      </c>
    </row>
    <row r="326" spans="1:22" x14ac:dyDescent="0.35">
      <c r="A326" s="2">
        <v>3204</v>
      </c>
      <c r="B326" s="2">
        <f t="shared" si="93"/>
        <v>50</v>
      </c>
      <c r="C326" s="2">
        <f t="shared" si="94"/>
        <v>4</v>
      </c>
      <c r="D326" s="1" t="s">
        <v>198</v>
      </c>
      <c r="E326" t="str">
        <f t="shared" si="95"/>
        <v>1111</v>
      </c>
      <c r="F326" t="str">
        <f t="shared" si="90"/>
        <v>101111</v>
      </c>
      <c r="G326" t="str">
        <f t="shared" si="91"/>
        <v>010111</v>
      </c>
      <c r="H326" t="str">
        <f>LOOKUP(E326,Lookups!$A$1:$A$16,Lookups!$B$1:$B$16)</f>
        <v>s</v>
      </c>
      <c r="I326">
        <f t="shared" si="96"/>
        <v>47</v>
      </c>
      <c r="J326">
        <f t="shared" si="97"/>
        <v>23</v>
      </c>
      <c r="K326">
        <f t="shared" si="92"/>
        <v>3031</v>
      </c>
      <c r="M326" t="b">
        <f t="shared" si="98"/>
        <v>0</v>
      </c>
      <c r="N326" t="b">
        <f t="shared" si="99"/>
        <v>1</v>
      </c>
      <c r="O326" t="b">
        <f t="shared" si="100"/>
        <v>0</v>
      </c>
      <c r="P326" t="b">
        <f t="shared" si="101"/>
        <v>0</v>
      </c>
      <c r="Q326" t="b">
        <f t="shared" si="102"/>
        <v>0</v>
      </c>
      <c r="R326" t="b">
        <f t="shared" si="103"/>
        <v>1</v>
      </c>
      <c r="S326" t="b">
        <f t="shared" si="104"/>
        <v>0</v>
      </c>
      <c r="T326" t="b">
        <f t="shared" si="105"/>
        <v>0</v>
      </c>
      <c r="U326" t="b">
        <f t="shared" si="106"/>
        <v>0</v>
      </c>
      <c r="V326" t="b">
        <f t="shared" si="107"/>
        <v>0</v>
      </c>
    </row>
    <row r="327" spans="1:22" x14ac:dyDescent="0.35">
      <c r="A327" s="2">
        <v>3205</v>
      </c>
      <c r="B327" s="2">
        <f t="shared" si="93"/>
        <v>50</v>
      </c>
      <c r="C327" s="2">
        <f t="shared" si="94"/>
        <v>5</v>
      </c>
      <c r="D327" s="1" t="s">
        <v>197</v>
      </c>
      <c r="E327" t="str">
        <f t="shared" si="95"/>
        <v>1011</v>
      </c>
      <c r="F327" t="str">
        <f t="shared" si="90"/>
        <v>110010</v>
      </c>
      <c r="G327" t="str">
        <f t="shared" si="91"/>
        <v>010000</v>
      </c>
      <c r="H327" t="str">
        <f>LOOKUP(E327,Lookups!$A$1:$A$16,Lookups!$B$1:$B$16)</f>
        <v>t</v>
      </c>
      <c r="I327">
        <f t="shared" si="96"/>
        <v>50</v>
      </c>
      <c r="J327">
        <f t="shared" si="97"/>
        <v>16</v>
      </c>
      <c r="K327">
        <f t="shared" si="92"/>
        <v>3216</v>
      </c>
      <c r="M327" t="b">
        <f t="shared" si="98"/>
        <v>0</v>
      </c>
      <c r="N327" t="b">
        <f t="shared" si="99"/>
        <v>1</v>
      </c>
      <c r="O327" t="b">
        <f t="shared" si="100"/>
        <v>0</v>
      </c>
      <c r="P327" t="b">
        <f t="shared" si="101"/>
        <v>0</v>
      </c>
      <c r="Q327" t="b">
        <f t="shared" si="102"/>
        <v>0</v>
      </c>
      <c r="R327" t="b">
        <f t="shared" si="103"/>
        <v>1</v>
      </c>
      <c r="S327" t="b">
        <f t="shared" si="104"/>
        <v>0</v>
      </c>
      <c r="T327" t="b">
        <f t="shared" si="105"/>
        <v>0</v>
      </c>
      <c r="U327" t="b">
        <f t="shared" si="106"/>
        <v>0</v>
      </c>
      <c r="V327" t="b">
        <f t="shared" si="107"/>
        <v>0</v>
      </c>
    </row>
    <row r="328" spans="1:22" x14ac:dyDescent="0.35">
      <c r="A328" s="2">
        <v>3206</v>
      </c>
      <c r="B328" s="2">
        <f t="shared" si="93"/>
        <v>50</v>
      </c>
      <c r="C328" s="2">
        <f t="shared" si="94"/>
        <v>6</v>
      </c>
      <c r="D328" s="1" t="s">
        <v>31</v>
      </c>
      <c r="E328" t="str">
        <f t="shared" si="95"/>
        <v>0011</v>
      </c>
      <c r="F328" t="str">
        <f t="shared" si="90"/>
        <v>110011</v>
      </c>
      <c r="G328" t="str">
        <f t="shared" si="91"/>
        <v>000000</v>
      </c>
      <c r="H328" t="str">
        <f>LOOKUP(E328,Lookups!$A$1:$A$16,Lookups!$B$1:$B$16)</f>
        <v>r</v>
      </c>
      <c r="I328">
        <f t="shared" si="96"/>
        <v>51</v>
      </c>
      <c r="J328">
        <f t="shared" si="97"/>
        <v>0</v>
      </c>
      <c r="K328">
        <f t="shared" si="92"/>
        <v>3264</v>
      </c>
      <c r="M328" t="b">
        <f t="shared" si="98"/>
        <v>0</v>
      </c>
      <c r="N328" t="b">
        <f t="shared" si="99"/>
        <v>1</v>
      </c>
      <c r="O328" t="b">
        <f t="shared" si="100"/>
        <v>0</v>
      </c>
      <c r="P328" t="b">
        <f t="shared" si="101"/>
        <v>0</v>
      </c>
      <c r="Q328" t="b">
        <f t="shared" si="102"/>
        <v>0</v>
      </c>
      <c r="R328" t="b">
        <f t="shared" si="103"/>
        <v>0</v>
      </c>
      <c r="S328" t="b">
        <f t="shared" si="104"/>
        <v>0</v>
      </c>
      <c r="T328" t="b">
        <f t="shared" si="105"/>
        <v>0</v>
      </c>
      <c r="U328" t="b">
        <f t="shared" si="106"/>
        <v>0</v>
      </c>
      <c r="V328" t="b">
        <f t="shared" si="107"/>
        <v>0</v>
      </c>
    </row>
    <row r="329" spans="1:22" x14ac:dyDescent="0.35">
      <c r="A329" s="2">
        <v>3207</v>
      </c>
      <c r="B329" s="2">
        <f t="shared" si="93"/>
        <v>50</v>
      </c>
      <c r="C329" s="2">
        <f t="shared" si="94"/>
        <v>7</v>
      </c>
      <c r="D329" s="1" t="s">
        <v>32</v>
      </c>
      <c r="E329" t="str">
        <f t="shared" si="95"/>
        <v>1010</v>
      </c>
      <c r="F329" t="str">
        <f t="shared" si="90"/>
        <v>110011</v>
      </c>
      <c r="G329" t="str">
        <f t="shared" si="91"/>
        <v>000000</v>
      </c>
      <c r="H329" t="str">
        <f>LOOKUP(E329,Lookups!$A$1:$A$16,Lookups!$B$1:$B$16)</f>
        <v>u</v>
      </c>
      <c r="I329">
        <f t="shared" si="96"/>
        <v>51</v>
      </c>
      <c r="J329">
        <f t="shared" si="97"/>
        <v>0</v>
      </c>
      <c r="K329">
        <f t="shared" si="92"/>
        <v>3264</v>
      </c>
      <c r="M329" t="b">
        <f t="shared" si="98"/>
        <v>0</v>
      </c>
      <c r="N329" t="b">
        <f t="shared" si="99"/>
        <v>1</v>
      </c>
      <c r="O329" t="b">
        <f t="shared" si="100"/>
        <v>0</v>
      </c>
      <c r="P329" t="b">
        <f t="shared" si="101"/>
        <v>0</v>
      </c>
      <c r="Q329" t="b">
        <f t="shared" si="102"/>
        <v>0</v>
      </c>
      <c r="R329" t="b">
        <f t="shared" si="103"/>
        <v>0</v>
      </c>
      <c r="S329" t="b">
        <f t="shared" si="104"/>
        <v>0</v>
      </c>
      <c r="T329" t="b">
        <f t="shared" si="105"/>
        <v>0</v>
      </c>
      <c r="U329" t="b">
        <f t="shared" si="106"/>
        <v>0</v>
      </c>
      <c r="V329" t="b">
        <f t="shared" si="107"/>
        <v>0</v>
      </c>
    </row>
    <row r="330" spans="1:22" x14ac:dyDescent="0.35">
      <c r="A330" s="2">
        <v>3208</v>
      </c>
      <c r="B330" s="2">
        <f t="shared" si="93"/>
        <v>50</v>
      </c>
      <c r="C330" s="2">
        <f t="shared" si="94"/>
        <v>8</v>
      </c>
      <c r="D330" s="1" t="s">
        <v>199</v>
      </c>
      <c r="E330" t="str">
        <f t="shared" si="95"/>
        <v>1000</v>
      </c>
      <c r="F330" t="str">
        <f t="shared" si="90"/>
        <v>001010</v>
      </c>
      <c r="G330" t="str">
        <f t="shared" si="91"/>
        <v>000011</v>
      </c>
      <c r="H330" t="str">
        <f>LOOKUP(E330,Lookups!$A$1:$A$16,Lookups!$B$1:$B$16)</f>
        <v>p</v>
      </c>
      <c r="I330">
        <f t="shared" si="96"/>
        <v>10</v>
      </c>
      <c r="J330">
        <f t="shared" si="97"/>
        <v>3</v>
      </c>
      <c r="K330">
        <f t="shared" si="92"/>
        <v>643</v>
      </c>
      <c r="M330" t="b">
        <f t="shared" si="98"/>
        <v>0</v>
      </c>
      <c r="N330" t="b">
        <f t="shared" si="99"/>
        <v>1</v>
      </c>
      <c r="O330" t="b">
        <f t="shared" si="100"/>
        <v>0</v>
      </c>
      <c r="P330" t="b">
        <f t="shared" si="101"/>
        <v>0</v>
      </c>
      <c r="Q330" t="b">
        <f t="shared" si="102"/>
        <v>0</v>
      </c>
      <c r="R330" t="b">
        <f t="shared" si="103"/>
        <v>1</v>
      </c>
      <c r="S330" t="b">
        <f t="shared" si="104"/>
        <v>0</v>
      </c>
      <c r="T330" t="b">
        <f t="shared" si="105"/>
        <v>0</v>
      </c>
      <c r="U330" t="b">
        <f t="shared" si="106"/>
        <v>0</v>
      </c>
      <c r="V330" t="b">
        <f t="shared" si="107"/>
        <v>0</v>
      </c>
    </row>
    <row r="331" spans="1:22" x14ac:dyDescent="0.35">
      <c r="A331" s="2">
        <v>3209</v>
      </c>
      <c r="B331" s="2">
        <f t="shared" si="93"/>
        <v>50</v>
      </c>
      <c r="C331" s="2">
        <f t="shared" si="94"/>
        <v>9</v>
      </c>
      <c r="D331" s="1" t="s">
        <v>160</v>
      </c>
      <c r="E331" t="str">
        <f t="shared" si="95"/>
        <v>1010</v>
      </c>
      <c r="F331" t="str">
        <f t="shared" si="90"/>
        <v>101100</v>
      </c>
      <c r="G331" t="str">
        <f t="shared" si="91"/>
        <v>011001</v>
      </c>
      <c r="H331" t="str">
        <f>LOOKUP(E331,Lookups!$A$1:$A$16,Lookups!$B$1:$B$16)</f>
        <v>u</v>
      </c>
      <c r="I331">
        <f t="shared" si="96"/>
        <v>44</v>
      </c>
      <c r="J331">
        <f t="shared" si="97"/>
        <v>25</v>
      </c>
      <c r="K331">
        <f t="shared" si="92"/>
        <v>2841</v>
      </c>
      <c r="M331" t="b">
        <f t="shared" si="98"/>
        <v>0</v>
      </c>
      <c r="N331" t="b">
        <f t="shared" si="99"/>
        <v>1</v>
      </c>
      <c r="O331" t="b">
        <f t="shared" si="100"/>
        <v>0</v>
      </c>
      <c r="P331" t="b">
        <f t="shared" si="101"/>
        <v>0</v>
      </c>
      <c r="Q331" t="b">
        <f t="shared" si="102"/>
        <v>0</v>
      </c>
      <c r="R331" t="b">
        <f t="shared" si="103"/>
        <v>1</v>
      </c>
      <c r="S331" t="b">
        <f t="shared" si="104"/>
        <v>0</v>
      </c>
      <c r="T331" t="b">
        <f t="shared" si="105"/>
        <v>0</v>
      </c>
      <c r="U331" t="b">
        <f t="shared" si="106"/>
        <v>0</v>
      </c>
      <c r="V331" t="b">
        <f t="shared" si="107"/>
        <v>0</v>
      </c>
    </row>
    <row r="332" spans="1:22" x14ac:dyDescent="0.35">
      <c r="A332" s="2">
        <v>3210</v>
      </c>
      <c r="B332" s="2">
        <f t="shared" si="93"/>
        <v>50</v>
      </c>
      <c r="C332" s="2">
        <f t="shared" si="94"/>
        <v>10</v>
      </c>
      <c r="D332" s="1" t="s">
        <v>161</v>
      </c>
      <c r="E332" t="str">
        <f t="shared" si="95"/>
        <v>1010</v>
      </c>
      <c r="F332" t="str">
        <f t="shared" si="90"/>
        <v>101100</v>
      </c>
      <c r="G332" t="str">
        <f t="shared" si="91"/>
        <v>011111</v>
      </c>
      <c r="H332" t="str">
        <f>LOOKUP(E332,Lookups!$A$1:$A$16,Lookups!$B$1:$B$16)</f>
        <v>u</v>
      </c>
      <c r="I332">
        <f t="shared" si="96"/>
        <v>44</v>
      </c>
      <c r="J332">
        <f t="shared" si="97"/>
        <v>31</v>
      </c>
      <c r="K332">
        <f t="shared" si="92"/>
        <v>2847</v>
      </c>
      <c r="M332" t="b">
        <f t="shared" si="98"/>
        <v>0</v>
      </c>
      <c r="N332" t="b">
        <f t="shared" si="99"/>
        <v>1</v>
      </c>
      <c r="O332" t="b">
        <f t="shared" si="100"/>
        <v>0</v>
      </c>
      <c r="P332" t="b">
        <f t="shared" si="101"/>
        <v>0</v>
      </c>
      <c r="Q332" t="b">
        <f t="shared" si="102"/>
        <v>0</v>
      </c>
      <c r="R332" t="b">
        <f t="shared" si="103"/>
        <v>1</v>
      </c>
      <c r="S332" t="b">
        <f t="shared" si="104"/>
        <v>0</v>
      </c>
      <c r="T332" t="b">
        <f t="shared" si="105"/>
        <v>0</v>
      </c>
      <c r="U332" t="b">
        <f t="shared" si="106"/>
        <v>0</v>
      </c>
      <c r="V332" t="b">
        <f t="shared" si="107"/>
        <v>0</v>
      </c>
    </row>
    <row r="333" spans="1:22" x14ac:dyDescent="0.35">
      <c r="A333" s="2">
        <v>3211</v>
      </c>
      <c r="B333" s="2">
        <f t="shared" si="93"/>
        <v>50</v>
      </c>
      <c r="C333" s="2">
        <f t="shared" si="94"/>
        <v>11</v>
      </c>
      <c r="D333" s="1" t="s">
        <v>92</v>
      </c>
      <c r="E333" t="str">
        <f t="shared" si="95"/>
        <v>1000</v>
      </c>
      <c r="F333" t="str">
        <f t="shared" si="90"/>
        <v>001100</v>
      </c>
      <c r="G333" t="str">
        <f t="shared" si="91"/>
        <v>000000</v>
      </c>
      <c r="H333" t="str">
        <f>LOOKUP(E333,Lookups!$A$1:$A$16,Lookups!$B$1:$B$16)</f>
        <v>p</v>
      </c>
      <c r="I333">
        <f t="shared" si="96"/>
        <v>12</v>
      </c>
      <c r="J333">
        <f t="shared" si="97"/>
        <v>0</v>
      </c>
      <c r="K333">
        <f t="shared" si="92"/>
        <v>768</v>
      </c>
      <c r="M333" t="b">
        <f t="shared" si="98"/>
        <v>0</v>
      </c>
      <c r="N333" t="b">
        <f t="shared" si="99"/>
        <v>1</v>
      </c>
      <c r="O333" t="b">
        <f t="shared" si="100"/>
        <v>0</v>
      </c>
      <c r="P333" t="b">
        <f t="shared" si="101"/>
        <v>0</v>
      </c>
      <c r="Q333" t="b">
        <f t="shared" si="102"/>
        <v>0</v>
      </c>
      <c r="R333" t="b">
        <f t="shared" si="103"/>
        <v>0</v>
      </c>
      <c r="S333" t="b">
        <f t="shared" si="104"/>
        <v>0</v>
      </c>
      <c r="T333" t="b">
        <f t="shared" si="105"/>
        <v>0</v>
      </c>
      <c r="U333" t="b">
        <f t="shared" si="106"/>
        <v>0</v>
      </c>
      <c r="V333" t="b">
        <f t="shared" si="107"/>
        <v>0</v>
      </c>
    </row>
    <row r="334" spans="1:22" x14ac:dyDescent="0.35">
      <c r="A334" s="2">
        <v>3212</v>
      </c>
      <c r="B334" s="2">
        <f t="shared" si="93"/>
        <v>50</v>
      </c>
      <c r="C334" s="2">
        <f t="shared" si="94"/>
        <v>12</v>
      </c>
      <c r="D334" s="1" t="s">
        <v>113</v>
      </c>
      <c r="E334" t="str">
        <f t="shared" si="95"/>
        <v>0001</v>
      </c>
      <c r="F334" t="str">
        <f t="shared" si="90"/>
        <v>110011</v>
      </c>
      <c r="G334" t="str">
        <f t="shared" si="91"/>
        <v>101101</v>
      </c>
      <c r="H334" t="str">
        <f>LOOKUP(E334,Lookups!$A$1:$A$16,Lookups!$B$1:$B$16)</f>
        <v>b</v>
      </c>
      <c r="I334">
        <f t="shared" si="96"/>
        <v>51</v>
      </c>
      <c r="J334">
        <f t="shared" si="97"/>
        <v>45</v>
      </c>
      <c r="K334">
        <f t="shared" si="92"/>
        <v>3309</v>
      </c>
      <c r="M334" t="b">
        <f t="shared" si="98"/>
        <v>0</v>
      </c>
      <c r="N334" t="b">
        <f t="shared" si="99"/>
        <v>1</v>
      </c>
      <c r="O334" t="b">
        <f t="shared" si="100"/>
        <v>0</v>
      </c>
      <c r="P334" t="b">
        <f t="shared" si="101"/>
        <v>0</v>
      </c>
      <c r="Q334" t="b">
        <f t="shared" si="102"/>
        <v>0</v>
      </c>
      <c r="R334" t="b">
        <f t="shared" si="103"/>
        <v>1</v>
      </c>
      <c r="S334" t="b">
        <f t="shared" si="104"/>
        <v>0</v>
      </c>
      <c r="T334" t="b">
        <f t="shared" si="105"/>
        <v>0</v>
      </c>
      <c r="U334" t="b">
        <f t="shared" si="106"/>
        <v>0</v>
      </c>
      <c r="V334" t="b">
        <f t="shared" si="107"/>
        <v>0</v>
      </c>
    </row>
    <row r="335" spans="1:22" x14ac:dyDescent="0.35">
      <c r="A335" s="2">
        <v>3213</v>
      </c>
      <c r="B335" s="2">
        <f t="shared" si="93"/>
        <v>50</v>
      </c>
      <c r="C335" s="2">
        <f t="shared" si="94"/>
        <v>13</v>
      </c>
      <c r="D335" s="1" t="s">
        <v>103</v>
      </c>
      <c r="E335" t="str">
        <f t="shared" si="95"/>
        <v>1111</v>
      </c>
      <c r="F335" t="str">
        <f t="shared" si="90"/>
        <v>101110</v>
      </c>
      <c r="G335" t="str">
        <f t="shared" si="91"/>
        <v>101001</v>
      </c>
      <c r="H335" t="str">
        <f>LOOKUP(E335,Lookups!$A$1:$A$16,Lookups!$B$1:$B$16)</f>
        <v>s</v>
      </c>
      <c r="I335">
        <f t="shared" si="96"/>
        <v>46</v>
      </c>
      <c r="J335">
        <f t="shared" si="97"/>
        <v>41</v>
      </c>
      <c r="K335">
        <f t="shared" si="92"/>
        <v>2985</v>
      </c>
      <c r="M335" t="b">
        <f t="shared" si="98"/>
        <v>0</v>
      </c>
      <c r="N335" t="b">
        <f t="shared" si="99"/>
        <v>1</v>
      </c>
      <c r="O335" t="b">
        <f t="shared" si="100"/>
        <v>0</v>
      </c>
      <c r="P335" t="b">
        <f t="shared" si="101"/>
        <v>0</v>
      </c>
      <c r="Q335" t="b">
        <f t="shared" si="102"/>
        <v>0</v>
      </c>
      <c r="R335" t="b">
        <f t="shared" si="103"/>
        <v>1</v>
      </c>
      <c r="S335" t="b">
        <f t="shared" si="104"/>
        <v>0</v>
      </c>
      <c r="T335" t="b">
        <f t="shared" si="105"/>
        <v>0</v>
      </c>
      <c r="U335" t="b">
        <f t="shared" si="106"/>
        <v>0</v>
      </c>
      <c r="V335" t="b">
        <f t="shared" si="107"/>
        <v>0</v>
      </c>
    </row>
    <row r="336" spans="1:22" x14ac:dyDescent="0.35">
      <c r="A336" s="2">
        <v>3214</v>
      </c>
      <c r="B336" s="2">
        <f t="shared" si="93"/>
        <v>50</v>
      </c>
      <c r="C336" s="2">
        <f t="shared" si="94"/>
        <v>14</v>
      </c>
      <c r="D336" s="1" t="s">
        <v>200</v>
      </c>
      <c r="E336" t="str">
        <f t="shared" si="95"/>
        <v>1011</v>
      </c>
      <c r="F336" t="str">
        <f t="shared" si="90"/>
        <v>110011</v>
      </c>
      <c r="G336" t="str">
        <f t="shared" si="91"/>
        <v>111101</v>
      </c>
      <c r="H336" t="str">
        <f>LOOKUP(E336,Lookups!$A$1:$A$16,Lookups!$B$1:$B$16)</f>
        <v>t</v>
      </c>
      <c r="I336">
        <f t="shared" si="96"/>
        <v>51</v>
      </c>
      <c r="J336">
        <f t="shared" si="97"/>
        <v>61</v>
      </c>
      <c r="K336">
        <f t="shared" si="92"/>
        <v>3325</v>
      </c>
      <c r="M336" t="b">
        <f t="shared" si="98"/>
        <v>0</v>
      </c>
      <c r="N336" t="b">
        <f t="shared" si="99"/>
        <v>1</v>
      </c>
      <c r="O336" t="b">
        <f t="shared" si="100"/>
        <v>0</v>
      </c>
      <c r="P336" t="b">
        <f t="shared" si="101"/>
        <v>0</v>
      </c>
      <c r="Q336" t="b">
        <f t="shared" si="102"/>
        <v>0</v>
      </c>
      <c r="R336" t="b">
        <f t="shared" si="103"/>
        <v>1</v>
      </c>
      <c r="S336" t="b">
        <f t="shared" si="104"/>
        <v>0</v>
      </c>
      <c r="T336" t="b">
        <f t="shared" si="105"/>
        <v>0</v>
      </c>
      <c r="U336" t="b">
        <f t="shared" si="106"/>
        <v>0</v>
      </c>
      <c r="V336" t="b">
        <f t="shared" si="107"/>
        <v>0</v>
      </c>
    </row>
    <row r="337" spans="1:22" x14ac:dyDescent="0.35">
      <c r="A337" s="2">
        <v>3215</v>
      </c>
      <c r="B337" s="2">
        <f t="shared" si="93"/>
        <v>50</v>
      </c>
      <c r="C337" s="2">
        <f t="shared" si="94"/>
        <v>15</v>
      </c>
      <c r="D337" s="1" t="s">
        <v>201</v>
      </c>
      <c r="E337" t="str">
        <f t="shared" si="95"/>
        <v>1010</v>
      </c>
      <c r="F337" t="str">
        <f t="shared" si="90"/>
        <v>110011</v>
      </c>
      <c r="G337" t="str">
        <f t="shared" si="91"/>
        <v>111010</v>
      </c>
      <c r="H337" t="str">
        <f>LOOKUP(E337,Lookups!$A$1:$A$16,Lookups!$B$1:$B$16)</f>
        <v>u</v>
      </c>
      <c r="I337">
        <f t="shared" si="96"/>
        <v>51</v>
      </c>
      <c r="J337">
        <f t="shared" si="97"/>
        <v>58</v>
      </c>
      <c r="K337">
        <f t="shared" si="92"/>
        <v>3322</v>
      </c>
      <c r="M337" t="b">
        <f t="shared" si="98"/>
        <v>0</v>
      </c>
      <c r="N337" t="b">
        <f t="shared" si="99"/>
        <v>1</v>
      </c>
      <c r="O337" t="b">
        <f t="shared" si="100"/>
        <v>0</v>
      </c>
      <c r="P337" t="b">
        <f t="shared" si="101"/>
        <v>0</v>
      </c>
      <c r="Q337" t="b">
        <f t="shared" si="102"/>
        <v>0</v>
      </c>
      <c r="R337" t="b">
        <f t="shared" si="103"/>
        <v>1</v>
      </c>
      <c r="S337" t="b">
        <f t="shared" si="104"/>
        <v>0</v>
      </c>
      <c r="T337" t="b">
        <f t="shared" si="105"/>
        <v>0</v>
      </c>
      <c r="U337" t="b">
        <f t="shared" si="106"/>
        <v>0</v>
      </c>
      <c r="V337" t="b">
        <f t="shared" si="107"/>
        <v>0</v>
      </c>
    </row>
    <row r="338" spans="1:22" x14ac:dyDescent="0.35">
      <c r="A338" s="2">
        <v>3216</v>
      </c>
      <c r="B338" s="2">
        <f t="shared" si="93"/>
        <v>50</v>
      </c>
      <c r="C338" s="2">
        <f t="shared" si="94"/>
        <v>16</v>
      </c>
      <c r="D338" s="1" t="s">
        <v>31</v>
      </c>
      <c r="E338" t="str">
        <f t="shared" si="95"/>
        <v>0011</v>
      </c>
      <c r="F338" t="str">
        <f t="shared" si="90"/>
        <v>110011</v>
      </c>
      <c r="G338" t="str">
        <f t="shared" si="91"/>
        <v>000000</v>
      </c>
      <c r="H338" t="str">
        <f>LOOKUP(E338,Lookups!$A$1:$A$16,Lookups!$B$1:$B$16)</f>
        <v>r</v>
      </c>
      <c r="I338">
        <f t="shared" si="96"/>
        <v>51</v>
      </c>
      <c r="J338">
        <f t="shared" si="97"/>
        <v>0</v>
      </c>
      <c r="K338">
        <f t="shared" si="92"/>
        <v>3264</v>
      </c>
      <c r="M338" t="b">
        <f t="shared" si="98"/>
        <v>0</v>
      </c>
      <c r="N338" t="b">
        <f t="shared" si="99"/>
        <v>1</v>
      </c>
      <c r="O338" t="b">
        <f t="shared" si="100"/>
        <v>0</v>
      </c>
      <c r="P338" t="b">
        <f t="shared" si="101"/>
        <v>0</v>
      </c>
      <c r="Q338" t="b">
        <f t="shared" si="102"/>
        <v>0</v>
      </c>
      <c r="R338" t="b">
        <f t="shared" si="103"/>
        <v>0</v>
      </c>
      <c r="S338" t="b">
        <f t="shared" si="104"/>
        <v>0</v>
      </c>
      <c r="T338" t="b">
        <f t="shared" si="105"/>
        <v>0</v>
      </c>
      <c r="U338" t="b">
        <f t="shared" si="106"/>
        <v>1</v>
      </c>
      <c r="V338" t="b">
        <f t="shared" si="107"/>
        <v>0</v>
      </c>
    </row>
    <row r="339" spans="1:22" x14ac:dyDescent="0.35">
      <c r="A339" s="2">
        <v>3217</v>
      </c>
      <c r="B339" s="2">
        <f t="shared" si="93"/>
        <v>50</v>
      </c>
      <c r="C339" s="2">
        <f t="shared" si="94"/>
        <v>17</v>
      </c>
      <c r="D339" s="1" t="s">
        <v>32</v>
      </c>
      <c r="E339" t="str">
        <f t="shared" si="95"/>
        <v>1010</v>
      </c>
      <c r="F339" t="str">
        <f t="shared" si="90"/>
        <v>110011</v>
      </c>
      <c r="G339" t="str">
        <f t="shared" si="91"/>
        <v>000000</v>
      </c>
      <c r="H339" t="str">
        <f>LOOKUP(E339,Lookups!$A$1:$A$16,Lookups!$B$1:$B$16)</f>
        <v>u</v>
      </c>
      <c r="I339">
        <f t="shared" si="96"/>
        <v>51</v>
      </c>
      <c r="J339">
        <f t="shared" si="97"/>
        <v>0</v>
      </c>
      <c r="K339">
        <f t="shared" si="92"/>
        <v>3264</v>
      </c>
      <c r="M339" t="b">
        <f t="shared" si="98"/>
        <v>0</v>
      </c>
      <c r="N339" t="b">
        <f t="shared" si="99"/>
        <v>1</v>
      </c>
      <c r="O339" t="b">
        <f t="shared" si="100"/>
        <v>0</v>
      </c>
      <c r="P339" t="b">
        <f t="shared" si="101"/>
        <v>0</v>
      </c>
      <c r="Q339" t="b">
        <f t="shared" si="102"/>
        <v>0</v>
      </c>
      <c r="R339" t="b">
        <f t="shared" si="103"/>
        <v>0</v>
      </c>
      <c r="S339" t="b">
        <f t="shared" si="104"/>
        <v>0</v>
      </c>
      <c r="T339" t="b">
        <f t="shared" si="105"/>
        <v>0</v>
      </c>
      <c r="U339" t="b">
        <f t="shared" si="106"/>
        <v>0</v>
      </c>
      <c r="V339" t="b">
        <f t="shared" si="107"/>
        <v>0</v>
      </c>
    </row>
    <row r="340" spans="1:22" x14ac:dyDescent="0.35">
      <c r="A340" s="2">
        <v>3218</v>
      </c>
      <c r="B340" s="2">
        <f t="shared" si="93"/>
        <v>50</v>
      </c>
      <c r="C340" s="2">
        <f t="shared" si="94"/>
        <v>18</v>
      </c>
      <c r="D340" s="1" t="s">
        <v>202</v>
      </c>
      <c r="E340" t="str">
        <f t="shared" si="95"/>
        <v>1000</v>
      </c>
      <c r="F340" t="str">
        <f t="shared" si="90"/>
        <v>011010</v>
      </c>
      <c r="G340" t="str">
        <f t="shared" si="91"/>
        <v>010001</v>
      </c>
      <c r="H340" t="str">
        <f>LOOKUP(E340,Lookups!$A$1:$A$16,Lookups!$B$1:$B$16)</f>
        <v>p</v>
      </c>
      <c r="I340">
        <f t="shared" si="96"/>
        <v>26</v>
      </c>
      <c r="J340">
        <f t="shared" si="97"/>
        <v>17</v>
      </c>
      <c r="K340">
        <f t="shared" si="92"/>
        <v>1681</v>
      </c>
      <c r="M340" t="b">
        <f t="shared" si="98"/>
        <v>0</v>
      </c>
      <c r="N340" t="b">
        <f t="shared" si="99"/>
        <v>1</v>
      </c>
      <c r="O340" t="b">
        <f t="shared" si="100"/>
        <v>0</v>
      </c>
      <c r="P340" t="b">
        <f t="shared" si="101"/>
        <v>0</v>
      </c>
      <c r="Q340" t="b">
        <f t="shared" si="102"/>
        <v>0</v>
      </c>
      <c r="R340" t="b">
        <f t="shared" si="103"/>
        <v>1</v>
      </c>
      <c r="S340" t="b">
        <f t="shared" si="104"/>
        <v>0</v>
      </c>
      <c r="T340" t="b">
        <f t="shared" si="105"/>
        <v>0</v>
      </c>
      <c r="U340" t="b">
        <f t="shared" si="106"/>
        <v>0</v>
      </c>
      <c r="V340" t="b">
        <f t="shared" si="107"/>
        <v>0</v>
      </c>
    </row>
    <row r="341" spans="1:22" x14ac:dyDescent="0.35">
      <c r="A341" s="2">
        <v>3219</v>
      </c>
      <c r="B341" s="2">
        <f t="shared" si="93"/>
        <v>50</v>
      </c>
      <c r="C341" s="2">
        <f t="shared" si="94"/>
        <v>19</v>
      </c>
      <c r="D341" s="1" t="s">
        <v>171</v>
      </c>
      <c r="E341" t="str">
        <f t="shared" si="95"/>
        <v>0010</v>
      </c>
      <c r="F341" t="str">
        <f t="shared" si="90"/>
        <v>001100</v>
      </c>
      <c r="G341" t="str">
        <f t="shared" si="91"/>
        <v>000001</v>
      </c>
      <c r="H341" t="str">
        <f>LOOKUP(E341,Lookups!$A$1:$A$16,Lookups!$B$1:$B$16)</f>
        <v>y</v>
      </c>
      <c r="I341">
        <f t="shared" si="96"/>
        <v>12</v>
      </c>
      <c r="J341">
        <f t="shared" si="97"/>
        <v>1</v>
      </c>
      <c r="K341">
        <f t="shared" si="92"/>
        <v>769</v>
      </c>
      <c r="M341" t="b">
        <f t="shared" si="98"/>
        <v>0</v>
      </c>
      <c r="N341" t="b">
        <f t="shared" si="99"/>
        <v>1</v>
      </c>
      <c r="O341" t="b">
        <f t="shared" si="100"/>
        <v>0</v>
      </c>
      <c r="P341" t="b">
        <f t="shared" si="101"/>
        <v>0</v>
      </c>
      <c r="Q341" t="b">
        <f t="shared" si="102"/>
        <v>0</v>
      </c>
      <c r="R341" t="b">
        <f t="shared" si="103"/>
        <v>1</v>
      </c>
      <c r="S341" t="b">
        <f t="shared" si="104"/>
        <v>0</v>
      </c>
      <c r="T341" t="b">
        <f t="shared" si="105"/>
        <v>0</v>
      </c>
      <c r="U341" t="b">
        <f t="shared" si="106"/>
        <v>0</v>
      </c>
      <c r="V341" t="b">
        <f t="shared" si="107"/>
        <v>0</v>
      </c>
    </row>
    <row r="342" spans="1:22" x14ac:dyDescent="0.35">
      <c r="A342" s="2">
        <v>3220</v>
      </c>
      <c r="B342" s="2">
        <f t="shared" si="93"/>
        <v>50</v>
      </c>
      <c r="C342" s="2">
        <f t="shared" si="94"/>
        <v>20</v>
      </c>
      <c r="D342" s="1" t="s">
        <v>172</v>
      </c>
      <c r="E342" t="str">
        <f t="shared" si="95"/>
        <v>0110</v>
      </c>
      <c r="F342" t="str">
        <f t="shared" si="90"/>
        <v>111110</v>
      </c>
      <c r="G342" t="str">
        <f t="shared" si="91"/>
        <v>011111</v>
      </c>
      <c r="H342" t="str">
        <f>LOOKUP(E342,Lookups!$A$1:$A$16,Lookups!$B$1:$B$16)</f>
        <v>n</v>
      </c>
      <c r="I342">
        <f t="shared" si="96"/>
        <v>62</v>
      </c>
      <c r="J342">
        <f t="shared" si="97"/>
        <v>31</v>
      </c>
      <c r="K342">
        <f t="shared" si="92"/>
        <v>3999</v>
      </c>
      <c r="M342" t="b">
        <f t="shared" si="98"/>
        <v>0</v>
      </c>
      <c r="N342" t="b">
        <f t="shared" si="99"/>
        <v>1</v>
      </c>
      <c r="O342" t="b">
        <f t="shared" si="100"/>
        <v>0</v>
      </c>
      <c r="P342" t="b">
        <f t="shared" si="101"/>
        <v>0</v>
      </c>
      <c r="Q342" t="b">
        <f t="shared" si="102"/>
        <v>0</v>
      </c>
      <c r="R342" t="b">
        <f t="shared" si="103"/>
        <v>1</v>
      </c>
      <c r="S342" t="b">
        <f t="shared" si="104"/>
        <v>0</v>
      </c>
      <c r="T342" t="b">
        <f t="shared" si="105"/>
        <v>0</v>
      </c>
      <c r="U342" t="b">
        <f t="shared" si="106"/>
        <v>0</v>
      </c>
      <c r="V342" t="b">
        <f t="shared" si="107"/>
        <v>0</v>
      </c>
    </row>
    <row r="343" spans="1:22" x14ac:dyDescent="0.35">
      <c r="A343" s="2">
        <v>3221</v>
      </c>
      <c r="B343" s="2">
        <f t="shared" si="93"/>
        <v>50</v>
      </c>
      <c r="C343" s="2">
        <f t="shared" si="94"/>
        <v>21</v>
      </c>
      <c r="D343" s="1" t="s">
        <v>116</v>
      </c>
      <c r="E343" t="str">
        <f t="shared" si="95"/>
        <v>0001</v>
      </c>
      <c r="F343" t="str">
        <f t="shared" si="90"/>
        <v>110010</v>
      </c>
      <c r="G343" t="str">
        <f t="shared" si="91"/>
        <v>011101</v>
      </c>
      <c r="H343" t="str">
        <f>LOOKUP(E343,Lookups!$A$1:$A$16,Lookups!$B$1:$B$16)</f>
        <v>b</v>
      </c>
      <c r="I343">
        <f t="shared" si="96"/>
        <v>50</v>
      </c>
      <c r="J343">
        <f t="shared" si="97"/>
        <v>29</v>
      </c>
      <c r="K343">
        <f t="shared" si="92"/>
        <v>3229</v>
      </c>
      <c r="M343" t="b">
        <f t="shared" si="98"/>
        <v>0</v>
      </c>
      <c r="N343" t="b">
        <f t="shared" si="99"/>
        <v>1</v>
      </c>
      <c r="O343" t="b">
        <f t="shared" si="100"/>
        <v>0</v>
      </c>
      <c r="P343" t="b">
        <f t="shared" si="101"/>
        <v>0</v>
      </c>
      <c r="Q343" t="b">
        <f t="shared" si="102"/>
        <v>0</v>
      </c>
      <c r="R343" t="b">
        <f t="shared" si="103"/>
        <v>1</v>
      </c>
      <c r="S343" t="b">
        <f t="shared" si="104"/>
        <v>0</v>
      </c>
      <c r="T343" t="b">
        <f t="shared" si="105"/>
        <v>0</v>
      </c>
      <c r="U343" t="b">
        <f t="shared" si="106"/>
        <v>0</v>
      </c>
      <c r="V343" t="b">
        <f t="shared" si="107"/>
        <v>0</v>
      </c>
    </row>
    <row r="344" spans="1:22" x14ac:dyDescent="0.35">
      <c r="A344" s="2">
        <v>3222</v>
      </c>
      <c r="B344" s="2">
        <f t="shared" si="93"/>
        <v>50</v>
      </c>
      <c r="C344" s="2">
        <f t="shared" si="94"/>
        <v>22</v>
      </c>
      <c r="D344" s="1" t="s">
        <v>173</v>
      </c>
      <c r="E344" t="str">
        <f t="shared" si="95"/>
        <v>0011</v>
      </c>
      <c r="F344" t="str">
        <f t="shared" si="90"/>
        <v>110010</v>
      </c>
      <c r="G344" t="str">
        <f t="shared" si="91"/>
        <v>101110</v>
      </c>
      <c r="H344" t="str">
        <f>LOOKUP(E344,Lookups!$A$1:$A$16,Lookups!$B$1:$B$16)</f>
        <v>r</v>
      </c>
      <c r="I344">
        <f t="shared" si="96"/>
        <v>50</v>
      </c>
      <c r="J344">
        <f t="shared" si="97"/>
        <v>46</v>
      </c>
      <c r="K344">
        <f t="shared" si="92"/>
        <v>3246</v>
      </c>
      <c r="M344" t="b">
        <f t="shared" si="98"/>
        <v>0</v>
      </c>
      <c r="N344" t="b">
        <f t="shared" si="99"/>
        <v>1</v>
      </c>
      <c r="O344" t="b">
        <f t="shared" si="100"/>
        <v>0</v>
      </c>
      <c r="P344" t="b">
        <f t="shared" si="101"/>
        <v>0</v>
      </c>
      <c r="Q344" t="b">
        <f t="shared" si="102"/>
        <v>0</v>
      </c>
      <c r="R344" t="b">
        <f t="shared" si="103"/>
        <v>1</v>
      </c>
      <c r="S344" t="b">
        <f t="shared" si="104"/>
        <v>0</v>
      </c>
      <c r="T344" t="b">
        <f t="shared" si="105"/>
        <v>0</v>
      </c>
      <c r="U344" t="b">
        <f t="shared" si="106"/>
        <v>0</v>
      </c>
      <c r="V344" t="b">
        <f t="shared" si="107"/>
        <v>0</v>
      </c>
    </row>
    <row r="345" spans="1:22" x14ac:dyDescent="0.35">
      <c r="A345" s="2">
        <v>3223</v>
      </c>
      <c r="B345" s="2">
        <f t="shared" si="93"/>
        <v>50</v>
      </c>
      <c r="C345" s="2">
        <f t="shared" si="94"/>
        <v>23</v>
      </c>
      <c r="D345" s="1" t="s">
        <v>174</v>
      </c>
      <c r="E345" t="str">
        <f t="shared" si="95"/>
        <v>1010</v>
      </c>
      <c r="F345" t="str">
        <f t="shared" si="90"/>
        <v>110010</v>
      </c>
      <c r="G345" t="str">
        <f t="shared" si="91"/>
        <v>100000</v>
      </c>
      <c r="H345" t="str">
        <f>LOOKUP(E345,Lookups!$A$1:$A$16,Lookups!$B$1:$B$16)</f>
        <v>u</v>
      </c>
      <c r="I345">
        <f t="shared" si="96"/>
        <v>50</v>
      </c>
      <c r="J345">
        <f t="shared" si="97"/>
        <v>32</v>
      </c>
      <c r="K345">
        <f t="shared" si="92"/>
        <v>3232</v>
      </c>
      <c r="M345" t="b">
        <f t="shared" si="98"/>
        <v>0</v>
      </c>
      <c r="N345" t="b">
        <f t="shared" si="99"/>
        <v>1</v>
      </c>
      <c r="O345" t="b">
        <f t="shared" si="100"/>
        <v>0</v>
      </c>
      <c r="P345" t="b">
        <f t="shared" si="101"/>
        <v>0</v>
      </c>
      <c r="Q345" t="b">
        <f t="shared" si="102"/>
        <v>0</v>
      </c>
      <c r="R345" t="b">
        <f t="shared" si="103"/>
        <v>1</v>
      </c>
      <c r="S345" t="b">
        <f t="shared" si="104"/>
        <v>0</v>
      </c>
      <c r="T345" t="b">
        <f t="shared" si="105"/>
        <v>0</v>
      </c>
      <c r="U345" t="b">
        <f t="shared" si="106"/>
        <v>0</v>
      </c>
      <c r="V345" t="b">
        <f t="shared" si="107"/>
        <v>0</v>
      </c>
    </row>
    <row r="346" spans="1:22" x14ac:dyDescent="0.35">
      <c r="A346" s="2">
        <v>3224</v>
      </c>
      <c r="B346" s="2">
        <f t="shared" si="93"/>
        <v>50</v>
      </c>
      <c r="C346" s="2">
        <f t="shared" si="94"/>
        <v>24</v>
      </c>
      <c r="D346" s="1" t="s">
        <v>92</v>
      </c>
      <c r="E346" t="str">
        <f t="shared" si="95"/>
        <v>1000</v>
      </c>
      <c r="F346" t="str">
        <f t="shared" si="90"/>
        <v>001100</v>
      </c>
      <c r="G346" t="str">
        <f t="shared" si="91"/>
        <v>000000</v>
      </c>
      <c r="H346" t="str">
        <f>LOOKUP(E346,Lookups!$A$1:$A$16,Lookups!$B$1:$B$16)</f>
        <v>p</v>
      </c>
      <c r="I346">
        <f t="shared" si="96"/>
        <v>12</v>
      </c>
      <c r="J346">
        <f t="shared" si="97"/>
        <v>0</v>
      </c>
      <c r="K346">
        <f t="shared" si="92"/>
        <v>768</v>
      </c>
      <c r="M346" t="b">
        <f t="shared" si="98"/>
        <v>0</v>
      </c>
      <c r="N346" t="b">
        <f t="shared" si="99"/>
        <v>1</v>
      </c>
      <c r="O346" t="b">
        <f t="shared" si="100"/>
        <v>0</v>
      </c>
      <c r="P346" t="b">
        <f t="shared" si="101"/>
        <v>0</v>
      </c>
      <c r="Q346" t="b">
        <f t="shared" si="102"/>
        <v>0</v>
      </c>
      <c r="R346" t="b">
        <f t="shared" si="103"/>
        <v>0</v>
      </c>
      <c r="S346" t="b">
        <f t="shared" si="104"/>
        <v>0</v>
      </c>
      <c r="T346" t="b">
        <f t="shared" si="105"/>
        <v>0</v>
      </c>
      <c r="U346" t="b">
        <f t="shared" si="106"/>
        <v>0</v>
      </c>
      <c r="V346" t="b">
        <f t="shared" si="107"/>
        <v>0</v>
      </c>
    </row>
    <row r="347" spans="1:22" x14ac:dyDescent="0.35">
      <c r="A347" s="2">
        <v>3225</v>
      </c>
      <c r="B347" s="2">
        <f t="shared" si="93"/>
        <v>50</v>
      </c>
      <c r="C347" s="2">
        <f t="shared" si="94"/>
        <v>25</v>
      </c>
      <c r="D347" s="1" t="s">
        <v>203</v>
      </c>
      <c r="E347" t="str">
        <f t="shared" si="95"/>
        <v>1010</v>
      </c>
      <c r="F347" t="str">
        <f t="shared" si="90"/>
        <v>110001</v>
      </c>
      <c r="G347" t="str">
        <f t="shared" si="91"/>
        <v>011000</v>
      </c>
      <c r="H347" t="str">
        <f>LOOKUP(E347,Lookups!$A$1:$A$16,Lookups!$B$1:$B$16)</f>
        <v>u</v>
      </c>
      <c r="I347">
        <f t="shared" si="96"/>
        <v>49</v>
      </c>
      <c r="J347">
        <f t="shared" si="97"/>
        <v>24</v>
      </c>
      <c r="K347">
        <f t="shared" si="92"/>
        <v>3160</v>
      </c>
      <c r="M347" t="b">
        <f t="shared" si="98"/>
        <v>0</v>
      </c>
      <c r="N347" t="b">
        <f t="shared" si="99"/>
        <v>1</v>
      </c>
      <c r="O347" t="b">
        <f t="shared" si="100"/>
        <v>0</v>
      </c>
      <c r="P347" t="b">
        <f t="shared" si="101"/>
        <v>0</v>
      </c>
      <c r="Q347" t="b">
        <f t="shared" si="102"/>
        <v>0</v>
      </c>
      <c r="R347" t="b">
        <f t="shared" si="103"/>
        <v>1</v>
      </c>
      <c r="S347" t="b">
        <f t="shared" si="104"/>
        <v>0</v>
      </c>
      <c r="T347" t="b">
        <f t="shared" si="105"/>
        <v>0</v>
      </c>
      <c r="U347" t="b">
        <f t="shared" si="106"/>
        <v>0</v>
      </c>
      <c r="V347" t="b">
        <f t="shared" si="107"/>
        <v>0</v>
      </c>
    </row>
    <row r="348" spans="1:22" x14ac:dyDescent="0.35">
      <c r="A348" s="2">
        <v>3226</v>
      </c>
      <c r="B348" s="2">
        <f t="shared" si="93"/>
        <v>50</v>
      </c>
      <c r="C348" s="2">
        <f t="shared" si="94"/>
        <v>26</v>
      </c>
      <c r="D348" s="1" t="s">
        <v>168</v>
      </c>
      <c r="E348" t="str">
        <f t="shared" si="95"/>
        <v>0001</v>
      </c>
      <c r="F348" t="str">
        <f t="shared" si="90"/>
        <v>110010</v>
      </c>
      <c r="G348" t="str">
        <f t="shared" si="91"/>
        <v>011110</v>
      </c>
      <c r="H348" t="str">
        <f>LOOKUP(E348,Lookups!$A$1:$A$16,Lookups!$B$1:$B$16)</f>
        <v>b</v>
      </c>
      <c r="I348">
        <f t="shared" si="96"/>
        <v>50</v>
      </c>
      <c r="J348">
        <f t="shared" si="97"/>
        <v>30</v>
      </c>
      <c r="K348">
        <f t="shared" si="92"/>
        <v>3230</v>
      </c>
      <c r="M348" t="b">
        <f t="shared" si="98"/>
        <v>0</v>
      </c>
      <c r="N348" t="b">
        <f t="shared" si="99"/>
        <v>1</v>
      </c>
      <c r="O348" t="b">
        <f t="shared" si="100"/>
        <v>0</v>
      </c>
      <c r="P348" t="b">
        <f t="shared" si="101"/>
        <v>0</v>
      </c>
      <c r="Q348" t="b">
        <f t="shared" si="102"/>
        <v>0</v>
      </c>
      <c r="R348" t="b">
        <f t="shared" si="103"/>
        <v>1</v>
      </c>
      <c r="S348" t="b">
        <f t="shared" si="104"/>
        <v>0</v>
      </c>
      <c r="T348" t="b">
        <f t="shared" si="105"/>
        <v>0</v>
      </c>
      <c r="U348" t="b">
        <f t="shared" si="106"/>
        <v>1</v>
      </c>
      <c r="V348" t="b">
        <f t="shared" si="107"/>
        <v>0</v>
      </c>
    </row>
    <row r="349" spans="1:22" x14ac:dyDescent="0.35">
      <c r="A349" s="2">
        <v>3227</v>
      </c>
      <c r="B349" s="2">
        <f t="shared" si="93"/>
        <v>50</v>
      </c>
      <c r="C349" s="2">
        <f t="shared" si="94"/>
        <v>27</v>
      </c>
      <c r="D349" s="1" t="s">
        <v>14</v>
      </c>
      <c r="E349" t="str">
        <f t="shared" si="95"/>
        <v>1110</v>
      </c>
      <c r="F349" t="str">
        <f t="shared" si="90"/>
        <v>101110</v>
      </c>
      <c r="G349" t="str">
        <f t="shared" si="91"/>
        <v>100011</v>
      </c>
      <c r="H349" t="str">
        <f>LOOKUP(E349,Lookups!$A$1:$A$16,Lookups!$B$1:$B$16)</f>
        <v>a</v>
      </c>
      <c r="I349">
        <f t="shared" si="96"/>
        <v>46</v>
      </c>
      <c r="J349">
        <f t="shared" si="97"/>
        <v>35</v>
      </c>
      <c r="K349">
        <f t="shared" si="92"/>
        <v>2979</v>
      </c>
      <c r="M349" t="b">
        <f t="shared" si="98"/>
        <v>0</v>
      </c>
      <c r="N349" t="b">
        <f t="shared" si="99"/>
        <v>1</v>
      </c>
      <c r="O349" t="b">
        <f t="shared" si="100"/>
        <v>0</v>
      </c>
      <c r="P349" t="b">
        <f t="shared" si="101"/>
        <v>0</v>
      </c>
      <c r="Q349" t="b">
        <f t="shared" si="102"/>
        <v>0</v>
      </c>
      <c r="R349" t="b">
        <f t="shared" si="103"/>
        <v>1</v>
      </c>
      <c r="S349" t="b">
        <f t="shared" si="104"/>
        <v>0</v>
      </c>
      <c r="T349" t="b">
        <f t="shared" si="105"/>
        <v>0</v>
      </c>
      <c r="U349" t="b">
        <f t="shared" si="106"/>
        <v>0</v>
      </c>
      <c r="V349" t="b">
        <f t="shared" si="107"/>
        <v>0</v>
      </c>
    </row>
    <row r="350" spans="1:22" x14ac:dyDescent="0.35">
      <c r="A350" s="2">
        <v>3228</v>
      </c>
      <c r="B350" s="2">
        <f t="shared" si="93"/>
        <v>50</v>
      </c>
      <c r="C350" s="2">
        <f t="shared" si="94"/>
        <v>28</v>
      </c>
      <c r="D350" s="1" t="s">
        <v>204</v>
      </c>
      <c r="E350" t="str">
        <f t="shared" si="95"/>
        <v>1010</v>
      </c>
      <c r="F350" t="str">
        <f t="shared" si="90"/>
        <v>110001</v>
      </c>
      <c r="G350" t="str">
        <f t="shared" si="91"/>
        <v>011101</v>
      </c>
      <c r="H350" t="str">
        <f>LOOKUP(E350,Lookups!$A$1:$A$16,Lookups!$B$1:$B$16)</f>
        <v>u</v>
      </c>
      <c r="I350">
        <f t="shared" si="96"/>
        <v>49</v>
      </c>
      <c r="J350">
        <f t="shared" si="97"/>
        <v>29</v>
      </c>
      <c r="K350">
        <f t="shared" si="92"/>
        <v>3165</v>
      </c>
      <c r="M350" t="b">
        <f t="shared" si="98"/>
        <v>0</v>
      </c>
      <c r="N350" t="b">
        <f t="shared" si="99"/>
        <v>1</v>
      </c>
      <c r="O350" t="b">
        <f t="shared" si="100"/>
        <v>0</v>
      </c>
      <c r="P350" t="b">
        <f t="shared" si="101"/>
        <v>0</v>
      </c>
      <c r="Q350" t="b">
        <f t="shared" si="102"/>
        <v>0</v>
      </c>
      <c r="R350" t="b">
        <f t="shared" si="103"/>
        <v>1</v>
      </c>
      <c r="S350" t="b">
        <f t="shared" si="104"/>
        <v>0</v>
      </c>
      <c r="T350" t="b">
        <f t="shared" si="105"/>
        <v>0</v>
      </c>
      <c r="U350" t="b">
        <f t="shared" si="106"/>
        <v>0</v>
      </c>
      <c r="V350" t="b">
        <f t="shared" si="107"/>
        <v>0</v>
      </c>
    </row>
    <row r="351" spans="1:22" x14ac:dyDescent="0.35">
      <c r="A351" s="2">
        <v>3229</v>
      </c>
      <c r="B351" s="2">
        <f t="shared" si="93"/>
        <v>50</v>
      </c>
      <c r="C351" s="2">
        <f t="shared" si="94"/>
        <v>29</v>
      </c>
      <c r="D351" s="1" t="s">
        <v>205</v>
      </c>
      <c r="E351" t="str">
        <f t="shared" si="95"/>
        <v>0000</v>
      </c>
      <c r="F351" t="str">
        <f t="shared" si="90"/>
        <v>000000</v>
      </c>
      <c r="G351" t="str">
        <f t="shared" si="91"/>
        <v>010100</v>
      </c>
      <c r="H351" t="str">
        <f>LOOKUP(E351,Lookups!$A$1:$A$16,Lookups!$B$1:$B$16)</f>
        <v>z</v>
      </c>
      <c r="I351">
        <f t="shared" si="96"/>
        <v>0</v>
      </c>
      <c r="J351">
        <f t="shared" si="97"/>
        <v>20</v>
      </c>
      <c r="K351">
        <f t="shared" si="92"/>
        <v>20</v>
      </c>
      <c r="M351" t="b">
        <f t="shared" si="98"/>
        <v>1</v>
      </c>
      <c r="N351" t="b">
        <f t="shared" si="99"/>
        <v>0</v>
      </c>
      <c r="O351" t="b">
        <f t="shared" si="100"/>
        <v>0</v>
      </c>
      <c r="P351" t="b">
        <f t="shared" si="101"/>
        <v>1</v>
      </c>
      <c r="Q351" t="b">
        <f t="shared" si="102"/>
        <v>1</v>
      </c>
      <c r="R351" t="b">
        <f t="shared" si="103"/>
        <v>1</v>
      </c>
      <c r="S351" t="b">
        <f t="shared" si="104"/>
        <v>1</v>
      </c>
      <c r="T351" t="b">
        <f t="shared" si="105"/>
        <v>0</v>
      </c>
      <c r="U351" t="b">
        <f t="shared" si="106"/>
        <v>1</v>
      </c>
      <c r="V351" t="b">
        <f t="shared" si="107"/>
        <v>0</v>
      </c>
    </row>
    <row r="352" spans="1:22" x14ac:dyDescent="0.35">
      <c r="A352" s="2">
        <v>3230</v>
      </c>
      <c r="B352" s="2">
        <f t="shared" si="93"/>
        <v>50</v>
      </c>
      <c r="C352" s="2">
        <f t="shared" si="94"/>
        <v>30</v>
      </c>
      <c r="D352" s="1" t="s">
        <v>206</v>
      </c>
      <c r="E352" t="str">
        <f t="shared" si="95"/>
        <v>1111</v>
      </c>
      <c r="F352" t="str">
        <f t="shared" si="90"/>
        <v>111111</v>
      </c>
      <c r="G352" t="str">
        <f t="shared" si="91"/>
        <v>111010</v>
      </c>
      <c r="H352" t="str">
        <f>LOOKUP(E352,Lookups!$A$1:$A$16,Lookups!$B$1:$B$16)</f>
        <v>s</v>
      </c>
      <c r="I352">
        <f t="shared" si="96"/>
        <v>63</v>
      </c>
      <c r="J352">
        <f t="shared" si="97"/>
        <v>58</v>
      </c>
      <c r="K352">
        <f t="shared" si="92"/>
        <v>4090</v>
      </c>
      <c r="M352" t="b">
        <f t="shared" si="98"/>
        <v>0</v>
      </c>
      <c r="N352" t="b">
        <f t="shared" si="99"/>
        <v>1</v>
      </c>
      <c r="O352" t="b">
        <f t="shared" si="100"/>
        <v>0</v>
      </c>
      <c r="P352" t="b">
        <f t="shared" si="101"/>
        <v>0</v>
      </c>
      <c r="Q352" t="b">
        <f t="shared" si="102"/>
        <v>0</v>
      </c>
      <c r="R352" t="b">
        <f t="shared" si="103"/>
        <v>1</v>
      </c>
      <c r="S352" t="b">
        <f t="shared" si="104"/>
        <v>0</v>
      </c>
      <c r="T352" t="b">
        <f t="shared" si="105"/>
        <v>0</v>
      </c>
      <c r="U352" t="b">
        <f t="shared" si="106"/>
        <v>1</v>
      </c>
      <c r="V352" t="b">
        <f t="shared" si="107"/>
        <v>0</v>
      </c>
    </row>
    <row r="353" spans="1:22" x14ac:dyDescent="0.35">
      <c r="A353" s="2">
        <v>3231</v>
      </c>
      <c r="B353" s="2">
        <f t="shared" si="93"/>
        <v>50</v>
      </c>
      <c r="C353" s="2">
        <f t="shared" si="94"/>
        <v>31</v>
      </c>
      <c r="D353" s="1" t="s">
        <v>119</v>
      </c>
      <c r="E353" t="str">
        <f t="shared" si="95"/>
        <v>0000</v>
      </c>
      <c r="F353" t="str">
        <f t="shared" si="90"/>
        <v>000000</v>
      </c>
      <c r="G353" t="str">
        <f t="shared" si="91"/>
        <v>000000</v>
      </c>
      <c r="H353" t="str">
        <f>LOOKUP(E353,Lookups!$A$1:$A$16,Lookups!$B$1:$B$16)</f>
        <v>z</v>
      </c>
      <c r="I353">
        <f t="shared" si="96"/>
        <v>0</v>
      </c>
      <c r="J353">
        <f t="shared" si="97"/>
        <v>0</v>
      </c>
      <c r="K353">
        <f t="shared" si="92"/>
        <v>0</v>
      </c>
      <c r="M353" t="b">
        <f t="shared" si="98"/>
        <v>1</v>
      </c>
      <c r="N353" t="b">
        <f t="shared" si="99"/>
        <v>0</v>
      </c>
      <c r="O353" t="b">
        <f t="shared" si="100"/>
        <v>0</v>
      </c>
      <c r="P353" t="b">
        <f t="shared" si="101"/>
        <v>1</v>
      </c>
      <c r="Q353" t="b">
        <f t="shared" si="102"/>
        <v>1</v>
      </c>
      <c r="R353" t="b">
        <f t="shared" si="103"/>
        <v>0</v>
      </c>
      <c r="S353" t="b">
        <f t="shared" si="104"/>
        <v>0</v>
      </c>
      <c r="T353" t="b">
        <f t="shared" si="105"/>
        <v>1</v>
      </c>
      <c r="U353" t="b">
        <f t="shared" si="106"/>
        <v>1</v>
      </c>
      <c r="V353" t="b">
        <f t="shared" si="107"/>
        <v>1</v>
      </c>
    </row>
    <row r="354" spans="1:22" x14ac:dyDescent="0.35">
      <c r="A354" s="2">
        <v>3232</v>
      </c>
      <c r="B354" s="2">
        <f t="shared" si="93"/>
        <v>50</v>
      </c>
      <c r="C354" s="2">
        <f t="shared" si="94"/>
        <v>32</v>
      </c>
      <c r="D354" s="1" t="s">
        <v>207</v>
      </c>
      <c r="E354" t="str">
        <f t="shared" si="95"/>
        <v>1111</v>
      </c>
      <c r="F354" t="str">
        <f t="shared" si="90"/>
        <v>101111</v>
      </c>
      <c r="G354" t="str">
        <f t="shared" si="91"/>
        <v>110001</v>
      </c>
      <c r="H354" t="str">
        <f>LOOKUP(E354,Lookups!$A$1:$A$16,Lookups!$B$1:$B$16)</f>
        <v>s</v>
      </c>
      <c r="I354">
        <f t="shared" si="96"/>
        <v>47</v>
      </c>
      <c r="J354">
        <f t="shared" si="97"/>
        <v>49</v>
      </c>
      <c r="K354">
        <f t="shared" si="92"/>
        <v>3057</v>
      </c>
      <c r="M354" t="b">
        <f t="shared" si="98"/>
        <v>0</v>
      </c>
      <c r="N354" t="b">
        <f t="shared" si="99"/>
        <v>1</v>
      </c>
      <c r="O354" t="b">
        <f t="shared" si="100"/>
        <v>0</v>
      </c>
      <c r="P354" t="b">
        <f t="shared" si="101"/>
        <v>0</v>
      </c>
      <c r="Q354" t="b">
        <f t="shared" si="102"/>
        <v>0</v>
      </c>
      <c r="R354" t="b">
        <f t="shared" si="103"/>
        <v>1</v>
      </c>
      <c r="S354" t="b">
        <f t="shared" si="104"/>
        <v>0</v>
      </c>
      <c r="T354" t="b">
        <f t="shared" si="105"/>
        <v>0</v>
      </c>
      <c r="U354" t="b">
        <f t="shared" si="106"/>
        <v>1</v>
      </c>
      <c r="V354" t="b">
        <f t="shared" si="107"/>
        <v>0</v>
      </c>
    </row>
    <row r="355" spans="1:22" x14ac:dyDescent="0.35">
      <c r="A355" s="2">
        <v>3233</v>
      </c>
      <c r="B355" s="2">
        <f t="shared" si="93"/>
        <v>50</v>
      </c>
      <c r="C355" s="2">
        <f t="shared" si="94"/>
        <v>33</v>
      </c>
      <c r="D355" s="1" t="s">
        <v>208</v>
      </c>
      <c r="E355" t="str">
        <f t="shared" si="95"/>
        <v>1011</v>
      </c>
      <c r="F355" t="str">
        <f t="shared" si="90"/>
        <v>110010</v>
      </c>
      <c r="G355" t="str">
        <f t="shared" si="91"/>
        <v>101000</v>
      </c>
      <c r="H355" t="str">
        <f>LOOKUP(E355,Lookups!$A$1:$A$16,Lookups!$B$1:$B$16)</f>
        <v>t</v>
      </c>
      <c r="I355">
        <f t="shared" si="96"/>
        <v>50</v>
      </c>
      <c r="J355">
        <f t="shared" si="97"/>
        <v>40</v>
      </c>
      <c r="K355">
        <f t="shared" si="92"/>
        <v>3240</v>
      </c>
      <c r="M355" t="b">
        <f t="shared" si="98"/>
        <v>0</v>
      </c>
      <c r="N355" t="b">
        <f t="shared" si="99"/>
        <v>1</v>
      </c>
      <c r="O355" t="b">
        <f t="shared" si="100"/>
        <v>0</v>
      </c>
      <c r="P355" t="b">
        <f t="shared" si="101"/>
        <v>0</v>
      </c>
      <c r="Q355" t="b">
        <f t="shared" si="102"/>
        <v>0</v>
      </c>
      <c r="R355" t="b">
        <f t="shared" si="103"/>
        <v>1</v>
      </c>
      <c r="S355" t="b">
        <f t="shared" si="104"/>
        <v>0</v>
      </c>
      <c r="T355" t="b">
        <f t="shared" si="105"/>
        <v>0</v>
      </c>
      <c r="U355" t="b">
        <f t="shared" si="106"/>
        <v>0</v>
      </c>
      <c r="V355" t="b">
        <f t="shared" si="107"/>
        <v>0</v>
      </c>
    </row>
    <row r="356" spans="1:22" x14ac:dyDescent="0.35">
      <c r="A356" s="2">
        <v>3234</v>
      </c>
      <c r="B356" s="2">
        <f t="shared" si="93"/>
        <v>50</v>
      </c>
      <c r="C356" s="2">
        <f t="shared" si="94"/>
        <v>34</v>
      </c>
      <c r="D356" s="1" t="s">
        <v>207</v>
      </c>
      <c r="E356" t="str">
        <f t="shared" si="95"/>
        <v>1111</v>
      </c>
      <c r="F356" t="str">
        <f t="shared" si="90"/>
        <v>101111</v>
      </c>
      <c r="G356" t="str">
        <f t="shared" si="91"/>
        <v>110001</v>
      </c>
      <c r="H356" t="str">
        <f>LOOKUP(E356,Lookups!$A$1:$A$16,Lookups!$B$1:$B$16)</f>
        <v>s</v>
      </c>
      <c r="I356">
        <f t="shared" si="96"/>
        <v>47</v>
      </c>
      <c r="J356">
        <f t="shared" si="97"/>
        <v>49</v>
      </c>
      <c r="K356">
        <f t="shared" si="92"/>
        <v>3057</v>
      </c>
      <c r="M356" t="b">
        <f t="shared" si="98"/>
        <v>0</v>
      </c>
      <c r="N356" t="b">
        <f t="shared" si="99"/>
        <v>1</v>
      </c>
      <c r="O356" t="b">
        <f t="shared" si="100"/>
        <v>0</v>
      </c>
      <c r="P356" t="b">
        <f t="shared" si="101"/>
        <v>0</v>
      </c>
      <c r="Q356" t="b">
        <f t="shared" si="102"/>
        <v>0</v>
      </c>
      <c r="R356" t="b">
        <f t="shared" si="103"/>
        <v>1</v>
      </c>
      <c r="S356" t="b">
        <f t="shared" si="104"/>
        <v>0</v>
      </c>
      <c r="T356" t="b">
        <f t="shared" si="105"/>
        <v>0</v>
      </c>
      <c r="U356" t="b">
        <f t="shared" si="106"/>
        <v>0</v>
      </c>
      <c r="V356" t="b">
        <f t="shared" si="107"/>
        <v>0</v>
      </c>
    </row>
    <row r="357" spans="1:22" x14ac:dyDescent="0.35">
      <c r="A357" s="2">
        <v>3235</v>
      </c>
      <c r="B357" s="2">
        <f t="shared" si="93"/>
        <v>50</v>
      </c>
      <c r="C357" s="2">
        <f t="shared" si="94"/>
        <v>35</v>
      </c>
      <c r="D357" s="1" t="s">
        <v>209</v>
      </c>
      <c r="E357" t="str">
        <f t="shared" si="95"/>
        <v>1011</v>
      </c>
      <c r="F357" t="str">
        <f t="shared" si="90"/>
        <v>110010</v>
      </c>
      <c r="G357" t="str">
        <f t="shared" si="91"/>
        <v>101111</v>
      </c>
      <c r="H357" t="str">
        <f>LOOKUP(E357,Lookups!$A$1:$A$16,Lookups!$B$1:$B$16)</f>
        <v>t</v>
      </c>
      <c r="I357">
        <f t="shared" si="96"/>
        <v>50</v>
      </c>
      <c r="J357">
        <f t="shared" si="97"/>
        <v>47</v>
      </c>
      <c r="K357">
        <f t="shared" si="92"/>
        <v>3247</v>
      </c>
      <c r="M357" t="b">
        <f t="shared" si="98"/>
        <v>0</v>
      </c>
      <c r="N357" t="b">
        <f t="shared" si="99"/>
        <v>1</v>
      </c>
      <c r="O357" t="b">
        <f t="shared" si="100"/>
        <v>0</v>
      </c>
      <c r="P357" t="b">
        <f t="shared" si="101"/>
        <v>0</v>
      </c>
      <c r="Q357" t="b">
        <f t="shared" si="102"/>
        <v>0</v>
      </c>
      <c r="R357" t="b">
        <f t="shared" si="103"/>
        <v>1</v>
      </c>
      <c r="S357" t="b">
        <f t="shared" si="104"/>
        <v>0</v>
      </c>
      <c r="T357" t="b">
        <f t="shared" si="105"/>
        <v>0</v>
      </c>
      <c r="U357" t="b">
        <f t="shared" si="106"/>
        <v>0</v>
      </c>
      <c r="V357" t="b">
        <f t="shared" si="107"/>
        <v>0</v>
      </c>
    </row>
    <row r="358" spans="1:22" x14ac:dyDescent="0.35">
      <c r="A358" s="2">
        <v>3236</v>
      </c>
      <c r="B358" s="2">
        <f t="shared" si="93"/>
        <v>50</v>
      </c>
      <c r="C358" s="2">
        <f t="shared" si="94"/>
        <v>36</v>
      </c>
      <c r="D358" s="1" t="s">
        <v>207</v>
      </c>
      <c r="E358" t="str">
        <f t="shared" si="95"/>
        <v>1111</v>
      </c>
      <c r="F358" t="str">
        <f t="shared" si="90"/>
        <v>101111</v>
      </c>
      <c r="G358" t="str">
        <f t="shared" si="91"/>
        <v>110001</v>
      </c>
      <c r="H358" t="str">
        <f>LOOKUP(E358,Lookups!$A$1:$A$16,Lookups!$B$1:$B$16)</f>
        <v>s</v>
      </c>
      <c r="I358">
        <f t="shared" si="96"/>
        <v>47</v>
      </c>
      <c r="J358">
        <f t="shared" si="97"/>
        <v>49</v>
      </c>
      <c r="K358">
        <f t="shared" si="92"/>
        <v>3057</v>
      </c>
      <c r="M358" t="b">
        <f t="shared" si="98"/>
        <v>0</v>
      </c>
      <c r="N358" t="b">
        <f t="shared" si="99"/>
        <v>1</v>
      </c>
      <c r="O358" t="b">
        <f t="shared" si="100"/>
        <v>0</v>
      </c>
      <c r="P358" t="b">
        <f t="shared" si="101"/>
        <v>0</v>
      </c>
      <c r="Q358" t="b">
        <f t="shared" si="102"/>
        <v>0</v>
      </c>
      <c r="R358" t="b">
        <f t="shared" si="103"/>
        <v>1</v>
      </c>
      <c r="S358" t="b">
        <f t="shared" si="104"/>
        <v>0</v>
      </c>
      <c r="T358" t="b">
        <f t="shared" si="105"/>
        <v>0</v>
      </c>
      <c r="U358" t="b">
        <f t="shared" si="106"/>
        <v>0</v>
      </c>
      <c r="V358" t="b">
        <f t="shared" si="107"/>
        <v>0</v>
      </c>
    </row>
    <row r="359" spans="1:22" x14ac:dyDescent="0.35">
      <c r="A359" s="2">
        <v>3237</v>
      </c>
      <c r="B359" s="2">
        <f t="shared" si="93"/>
        <v>50</v>
      </c>
      <c r="C359" s="2">
        <f t="shared" si="94"/>
        <v>37</v>
      </c>
      <c r="D359" s="1" t="s">
        <v>210</v>
      </c>
      <c r="E359" t="str">
        <f t="shared" si="95"/>
        <v>1011</v>
      </c>
      <c r="F359" t="str">
        <f t="shared" si="90"/>
        <v>110010</v>
      </c>
      <c r="G359" t="str">
        <f t="shared" si="91"/>
        <v>110001</v>
      </c>
      <c r="H359" t="str">
        <f>LOOKUP(E359,Lookups!$A$1:$A$16,Lookups!$B$1:$B$16)</f>
        <v>t</v>
      </c>
      <c r="I359">
        <f t="shared" si="96"/>
        <v>50</v>
      </c>
      <c r="J359">
        <f t="shared" si="97"/>
        <v>49</v>
      </c>
      <c r="K359">
        <f t="shared" si="92"/>
        <v>3249</v>
      </c>
      <c r="M359" t="b">
        <f t="shared" si="98"/>
        <v>0</v>
      </c>
      <c r="N359" t="b">
        <f t="shared" si="99"/>
        <v>1</v>
      </c>
      <c r="O359" t="b">
        <f t="shared" si="100"/>
        <v>0</v>
      </c>
      <c r="P359" t="b">
        <f t="shared" si="101"/>
        <v>0</v>
      </c>
      <c r="Q359" t="b">
        <f t="shared" si="102"/>
        <v>0</v>
      </c>
      <c r="R359" t="b">
        <f t="shared" si="103"/>
        <v>1</v>
      </c>
      <c r="S359" t="b">
        <f t="shared" si="104"/>
        <v>0</v>
      </c>
      <c r="T359" t="b">
        <f t="shared" si="105"/>
        <v>0</v>
      </c>
      <c r="U359" t="b">
        <f t="shared" si="106"/>
        <v>0</v>
      </c>
      <c r="V359" t="b">
        <f t="shared" si="107"/>
        <v>0</v>
      </c>
    </row>
    <row r="360" spans="1:22" x14ac:dyDescent="0.35">
      <c r="A360" s="2">
        <v>3238</v>
      </c>
      <c r="B360" s="2">
        <f t="shared" si="93"/>
        <v>50</v>
      </c>
      <c r="C360" s="2">
        <f t="shared" si="94"/>
        <v>38</v>
      </c>
      <c r="D360" s="1" t="s">
        <v>211</v>
      </c>
      <c r="E360" t="str">
        <f t="shared" si="95"/>
        <v>1000</v>
      </c>
      <c r="F360" t="str">
        <f t="shared" si="90"/>
        <v>001110</v>
      </c>
      <c r="G360" t="str">
        <f t="shared" si="91"/>
        <v>000000</v>
      </c>
      <c r="H360" t="str">
        <f>LOOKUP(E360,Lookups!$A$1:$A$16,Lookups!$B$1:$B$16)</f>
        <v>p</v>
      </c>
      <c r="I360">
        <f t="shared" si="96"/>
        <v>14</v>
      </c>
      <c r="J360">
        <f t="shared" si="97"/>
        <v>0</v>
      </c>
      <c r="K360">
        <f t="shared" si="92"/>
        <v>896</v>
      </c>
      <c r="M360" t="b">
        <f t="shared" si="98"/>
        <v>0</v>
      </c>
      <c r="N360" t="b">
        <f t="shared" si="99"/>
        <v>1</v>
      </c>
      <c r="O360" t="b">
        <f t="shared" si="100"/>
        <v>0</v>
      </c>
      <c r="P360" t="b">
        <f t="shared" si="101"/>
        <v>0</v>
      </c>
      <c r="Q360" t="b">
        <f t="shared" si="102"/>
        <v>0</v>
      </c>
      <c r="R360" t="b">
        <f t="shared" si="103"/>
        <v>0</v>
      </c>
      <c r="S360" t="b">
        <f t="shared" si="104"/>
        <v>0</v>
      </c>
      <c r="T360" t="b">
        <f t="shared" si="105"/>
        <v>0</v>
      </c>
      <c r="U360" t="b">
        <f t="shared" si="106"/>
        <v>0</v>
      </c>
      <c r="V360" t="b">
        <f t="shared" si="107"/>
        <v>0</v>
      </c>
    </row>
    <row r="361" spans="1:22" x14ac:dyDescent="0.35">
      <c r="A361" s="2">
        <v>3239</v>
      </c>
      <c r="B361" s="2">
        <f t="shared" si="93"/>
        <v>50</v>
      </c>
      <c r="C361" s="2">
        <f t="shared" si="94"/>
        <v>39</v>
      </c>
      <c r="D361" s="1" t="s">
        <v>212</v>
      </c>
      <c r="E361" t="str">
        <f t="shared" si="95"/>
        <v>0000</v>
      </c>
      <c r="F361" t="str">
        <f t="shared" si="90"/>
        <v>000000</v>
      </c>
      <c r="G361" t="str">
        <f t="shared" si="91"/>
        <v>001001</v>
      </c>
      <c r="H361" t="str">
        <f>LOOKUP(E361,Lookups!$A$1:$A$16,Lookups!$B$1:$B$16)</f>
        <v>z</v>
      </c>
      <c r="I361">
        <f t="shared" si="96"/>
        <v>0</v>
      </c>
      <c r="J361">
        <f t="shared" si="97"/>
        <v>9</v>
      </c>
      <c r="K361">
        <f t="shared" si="92"/>
        <v>9</v>
      </c>
      <c r="M361" t="b">
        <f t="shared" si="98"/>
        <v>1</v>
      </c>
      <c r="N361" t="b">
        <f t="shared" si="99"/>
        <v>0</v>
      </c>
      <c r="O361" t="b">
        <f t="shared" si="100"/>
        <v>0</v>
      </c>
      <c r="P361" t="b">
        <f t="shared" si="101"/>
        <v>1</v>
      </c>
      <c r="Q361" t="b">
        <f t="shared" si="102"/>
        <v>1</v>
      </c>
      <c r="R361" t="b">
        <f t="shared" si="103"/>
        <v>1</v>
      </c>
      <c r="S361" t="b">
        <f t="shared" si="104"/>
        <v>1</v>
      </c>
      <c r="T361" t="b">
        <f t="shared" si="105"/>
        <v>0</v>
      </c>
      <c r="U361" t="b">
        <f t="shared" si="106"/>
        <v>1</v>
      </c>
      <c r="V361" t="b">
        <f t="shared" si="107"/>
        <v>0</v>
      </c>
    </row>
    <row r="362" spans="1:22" x14ac:dyDescent="0.35">
      <c r="A362" s="2">
        <v>3240</v>
      </c>
      <c r="B362" s="2">
        <f t="shared" si="93"/>
        <v>50</v>
      </c>
      <c r="C362" s="2">
        <f t="shared" si="94"/>
        <v>40</v>
      </c>
      <c r="D362" s="1" t="s">
        <v>151</v>
      </c>
      <c r="E362" t="str">
        <f t="shared" si="95"/>
        <v>1110</v>
      </c>
      <c r="F362" t="str">
        <f t="shared" si="90"/>
        <v>101111</v>
      </c>
      <c r="G362" t="str">
        <f t="shared" si="91"/>
        <v>110001</v>
      </c>
      <c r="H362" t="str">
        <f>LOOKUP(E362,Lookups!$A$1:$A$16,Lookups!$B$1:$B$16)</f>
        <v>a</v>
      </c>
      <c r="I362">
        <f t="shared" si="96"/>
        <v>47</v>
      </c>
      <c r="J362">
        <f t="shared" si="97"/>
        <v>49</v>
      </c>
      <c r="K362">
        <f t="shared" si="92"/>
        <v>3057</v>
      </c>
      <c r="M362" t="b">
        <f t="shared" si="98"/>
        <v>0</v>
      </c>
      <c r="N362" t="b">
        <f t="shared" si="99"/>
        <v>1</v>
      </c>
      <c r="O362" t="b">
        <f t="shared" si="100"/>
        <v>0</v>
      </c>
      <c r="P362" t="b">
        <f t="shared" si="101"/>
        <v>0</v>
      </c>
      <c r="Q362" t="b">
        <f t="shared" si="102"/>
        <v>0</v>
      </c>
      <c r="R362" t="b">
        <f t="shared" si="103"/>
        <v>1</v>
      </c>
      <c r="S362" t="b">
        <f t="shared" si="104"/>
        <v>0</v>
      </c>
      <c r="T362" t="b">
        <f t="shared" si="105"/>
        <v>0</v>
      </c>
      <c r="U362" t="b">
        <f t="shared" si="106"/>
        <v>1</v>
      </c>
      <c r="V362" t="b">
        <f t="shared" si="107"/>
        <v>0</v>
      </c>
    </row>
    <row r="363" spans="1:22" x14ac:dyDescent="0.35">
      <c r="A363" s="2">
        <v>3241</v>
      </c>
      <c r="B363" s="2">
        <f t="shared" si="93"/>
        <v>50</v>
      </c>
      <c r="C363" s="2">
        <f t="shared" si="94"/>
        <v>41</v>
      </c>
      <c r="D363" s="1" t="s">
        <v>213</v>
      </c>
      <c r="E363" t="str">
        <f t="shared" si="95"/>
        <v>0110</v>
      </c>
      <c r="F363" t="str">
        <f t="shared" si="90"/>
        <v>110001</v>
      </c>
      <c r="G363" t="str">
        <f t="shared" si="91"/>
        <v>000011</v>
      </c>
      <c r="H363" t="str">
        <f>LOOKUP(E363,Lookups!$A$1:$A$16,Lookups!$B$1:$B$16)</f>
        <v>n</v>
      </c>
      <c r="I363">
        <f t="shared" si="96"/>
        <v>49</v>
      </c>
      <c r="J363">
        <f t="shared" si="97"/>
        <v>3</v>
      </c>
      <c r="K363">
        <f t="shared" si="92"/>
        <v>3139</v>
      </c>
      <c r="M363" t="b">
        <f t="shared" si="98"/>
        <v>0</v>
      </c>
      <c r="N363" t="b">
        <f t="shared" si="99"/>
        <v>1</v>
      </c>
      <c r="O363" t="b">
        <f t="shared" si="100"/>
        <v>0</v>
      </c>
      <c r="P363" t="b">
        <f t="shared" si="101"/>
        <v>0</v>
      </c>
      <c r="Q363" t="b">
        <f t="shared" si="102"/>
        <v>0</v>
      </c>
      <c r="R363" t="b">
        <f t="shared" si="103"/>
        <v>1</v>
      </c>
      <c r="S363" t="b">
        <f t="shared" si="104"/>
        <v>0</v>
      </c>
      <c r="T363" t="b">
        <f t="shared" si="105"/>
        <v>0</v>
      </c>
      <c r="U363" t="b">
        <f t="shared" si="106"/>
        <v>0</v>
      </c>
      <c r="V363" t="b">
        <f t="shared" si="107"/>
        <v>0</v>
      </c>
    </row>
    <row r="364" spans="1:22" x14ac:dyDescent="0.35">
      <c r="A364" s="2">
        <v>3242</v>
      </c>
      <c r="B364" s="2">
        <f t="shared" si="93"/>
        <v>50</v>
      </c>
      <c r="C364" s="2">
        <f t="shared" si="94"/>
        <v>42</v>
      </c>
      <c r="D364" s="1" t="s">
        <v>214</v>
      </c>
      <c r="E364" t="str">
        <f t="shared" si="95"/>
        <v>1110</v>
      </c>
      <c r="F364" t="str">
        <f t="shared" si="90"/>
        <v>110010</v>
      </c>
      <c r="G364" t="str">
        <f t="shared" si="91"/>
        <v>101101</v>
      </c>
      <c r="H364" t="str">
        <f>LOOKUP(E364,Lookups!$A$1:$A$16,Lookups!$B$1:$B$16)</f>
        <v>a</v>
      </c>
      <c r="I364">
        <f t="shared" si="96"/>
        <v>50</v>
      </c>
      <c r="J364">
        <f t="shared" si="97"/>
        <v>45</v>
      </c>
      <c r="K364">
        <f t="shared" si="92"/>
        <v>3245</v>
      </c>
      <c r="M364" t="b">
        <f t="shared" si="98"/>
        <v>0</v>
      </c>
      <c r="N364" t="b">
        <f t="shared" si="99"/>
        <v>1</v>
      </c>
      <c r="O364" t="b">
        <f t="shared" si="100"/>
        <v>0</v>
      </c>
      <c r="P364" t="b">
        <f t="shared" si="101"/>
        <v>0</v>
      </c>
      <c r="Q364" t="b">
        <f t="shared" si="102"/>
        <v>0</v>
      </c>
      <c r="R364" t="b">
        <f t="shared" si="103"/>
        <v>1</v>
      </c>
      <c r="S364" t="b">
        <f t="shared" si="104"/>
        <v>0</v>
      </c>
      <c r="T364" t="b">
        <f t="shared" si="105"/>
        <v>0</v>
      </c>
      <c r="U364" t="b">
        <f t="shared" si="106"/>
        <v>0</v>
      </c>
      <c r="V364" t="b">
        <f t="shared" si="107"/>
        <v>0</v>
      </c>
    </row>
    <row r="365" spans="1:22" x14ac:dyDescent="0.35">
      <c r="A365" s="2">
        <v>3243</v>
      </c>
      <c r="B365" s="2">
        <f t="shared" si="93"/>
        <v>50</v>
      </c>
      <c r="C365" s="2">
        <f t="shared" si="94"/>
        <v>43</v>
      </c>
      <c r="D365" s="1" t="s">
        <v>215</v>
      </c>
      <c r="E365" t="str">
        <f t="shared" si="95"/>
        <v>0010</v>
      </c>
      <c r="F365" t="str">
        <f t="shared" si="90"/>
        <v>110010</v>
      </c>
      <c r="G365" t="str">
        <f t="shared" si="91"/>
        <v>101100</v>
      </c>
      <c r="H365" t="str">
        <f>LOOKUP(E365,Lookups!$A$1:$A$16,Lookups!$B$1:$B$16)</f>
        <v>y</v>
      </c>
      <c r="I365">
        <f t="shared" si="96"/>
        <v>50</v>
      </c>
      <c r="J365">
        <f t="shared" si="97"/>
        <v>44</v>
      </c>
      <c r="K365">
        <f t="shared" si="92"/>
        <v>3244</v>
      </c>
      <c r="M365" t="b">
        <f t="shared" si="98"/>
        <v>0</v>
      </c>
      <c r="N365" t="b">
        <f t="shared" si="99"/>
        <v>1</v>
      </c>
      <c r="O365" t="b">
        <f t="shared" si="100"/>
        <v>0</v>
      </c>
      <c r="P365" t="b">
        <f t="shared" si="101"/>
        <v>0</v>
      </c>
      <c r="Q365" t="b">
        <f t="shared" si="102"/>
        <v>0</v>
      </c>
      <c r="R365" t="b">
        <f t="shared" si="103"/>
        <v>1</v>
      </c>
      <c r="S365" t="b">
        <f t="shared" si="104"/>
        <v>0</v>
      </c>
      <c r="T365" t="b">
        <f t="shared" si="105"/>
        <v>0</v>
      </c>
      <c r="U365" t="b">
        <f t="shared" si="106"/>
        <v>0</v>
      </c>
      <c r="V365" t="b">
        <f t="shared" si="107"/>
        <v>0</v>
      </c>
    </row>
    <row r="366" spans="1:22" x14ac:dyDescent="0.35">
      <c r="A366" s="2">
        <v>3244</v>
      </c>
      <c r="B366" s="2">
        <f t="shared" si="93"/>
        <v>50</v>
      </c>
      <c r="C366" s="2">
        <f t="shared" si="94"/>
        <v>44</v>
      </c>
      <c r="D366" s="1" t="s">
        <v>216</v>
      </c>
      <c r="E366" t="str">
        <f t="shared" si="95"/>
        <v>1000</v>
      </c>
      <c r="F366" t="str">
        <f t="shared" si="90"/>
        <v>011010</v>
      </c>
      <c r="G366" t="str">
        <f t="shared" si="91"/>
        <v>000000</v>
      </c>
      <c r="H366" t="str">
        <f>LOOKUP(E366,Lookups!$A$1:$A$16,Lookups!$B$1:$B$16)</f>
        <v>p</v>
      </c>
      <c r="I366">
        <f t="shared" si="96"/>
        <v>26</v>
      </c>
      <c r="J366">
        <f t="shared" si="97"/>
        <v>0</v>
      </c>
      <c r="K366">
        <f t="shared" si="92"/>
        <v>1664</v>
      </c>
      <c r="M366" t="b">
        <f t="shared" si="98"/>
        <v>0</v>
      </c>
      <c r="N366" t="b">
        <f t="shared" si="99"/>
        <v>1</v>
      </c>
      <c r="O366" t="b">
        <f t="shared" si="100"/>
        <v>0</v>
      </c>
      <c r="P366" t="b">
        <f t="shared" si="101"/>
        <v>0</v>
      </c>
      <c r="Q366" t="b">
        <f t="shared" si="102"/>
        <v>0</v>
      </c>
      <c r="R366" t="b">
        <f t="shared" si="103"/>
        <v>0</v>
      </c>
      <c r="S366" t="b">
        <f t="shared" si="104"/>
        <v>0</v>
      </c>
      <c r="T366" t="b">
        <f t="shared" si="105"/>
        <v>0</v>
      </c>
      <c r="U366" t="b">
        <f t="shared" si="106"/>
        <v>1</v>
      </c>
      <c r="V366" t="b">
        <f t="shared" si="107"/>
        <v>0</v>
      </c>
    </row>
    <row r="367" spans="1:22" x14ac:dyDescent="0.35">
      <c r="A367" s="2">
        <v>3245</v>
      </c>
      <c r="B367" s="2">
        <f t="shared" si="93"/>
        <v>50</v>
      </c>
      <c r="C367" s="2">
        <f t="shared" si="94"/>
        <v>45</v>
      </c>
      <c r="D367" s="1" t="s">
        <v>217</v>
      </c>
      <c r="E367" t="str">
        <f t="shared" si="95"/>
        <v>0000</v>
      </c>
      <c r="F367" t="str">
        <f t="shared" si="90"/>
        <v>000010</v>
      </c>
      <c r="G367" t="str">
        <f t="shared" si="91"/>
        <v>000000</v>
      </c>
      <c r="H367" t="str">
        <f>LOOKUP(E367,Lookups!$A$1:$A$16,Lookups!$B$1:$B$16)</f>
        <v>z</v>
      </c>
      <c r="I367">
        <f t="shared" si="96"/>
        <v>2</v>
      </c>
      <c r="J367">
        <f t="shared" si="97"/>
        <v>0</v>
      </c>
      <c r="K367">
        <f t="shared" si="92"/>
        <v>128</v>
      </c>
      <c r="M367" t="b">
        <f t="shared" si="98"/>
        <v>1</v>
      </c>
      <c r="N367" t="b">
        <f t="shared" si="99"/>
        <v>1</v>
      </c>
      <c r="O367" t="b">
        <f t="shared" si="100"/>
        <v>1</v>
      </c>
      <c r="P367" t="b">
        <f t="shared" si="101"/>
        <v>0</v>
      </c>
      <c r="Q367" t="b">
        <f t="shared" si="102"/>
        <v>0</v>
      </c>
      <c r="R367" t="b">
        <f t="shared" si="103"/>
        <v>0</v>
      </c>
      <c r="S367" t="b">
        <f t="shared" si="104"/>
        <v>0</v>
      </c>
      <c r="T367" t="b">
        <f t="shared" si="105"/>
        <v>1</v>
      </c>
      <c r="U367" t="b">
        <f t="shared" si="106"/>
        <v>1</v>
      </c>
      <c r="V367" t="b">
        <f t="shared" si="107"/>
        <v>1</v>
      </c>
    </row>
    <row r="368" spans="1:22" x14ac:dyDescent="0.35">
      <c r="A368" s="2">
        <v>3246</v>
      </c>
      <c r="B368" s="2">
        <f t="shared" si="93"/>
        <v>50</v>
      </c>
      <c r="C368" s="2">
        <f t="shared" si="94"/>
        <v>46</v>
      </c>
      <c r="D368" s="1" t="s">
        <v>218</v>
      </c>
      <c r="E368" t="str">
        <f t="shared" si="95"/>
        <v>1010</v>
      </c>
      <c r="F368" t="str">
        <f t="shared" si="90"/>
        <v>110001</v>
      </c>
      <c r="G368" t="str">
        <f t="shared" si="91"/>
        <v>101100</v>
      </c>
      <c r="H368" t="str">
        <f>LOOKUP(E368,Lookups!$A$1:$A$16,Lookups!$B$1:$B$16)</f>
        <v>u</v>
      </c>
      <c r="I368">
        <f t="shared" si="96"/>
        <v>49</v>
      </c>
      <c r="J368">
        <f t="shared" si="97"/>
        <v>44</v>
      </c>
      <c r="K368">
        <f t="shared" si="92"/>
        <v>3180</v>
      </c>
      <c r="M368" t="b">
        <f t="shared" si="98"/>
        <v>0</v>
      </c>
      <c r="N368" t="b">
        <f t="shared" si="99"/>
        <v>1</v>
      </c>
      <c r="O368" t="b">
        <f t="shared" si="100"/>
        <v>0</v>
      </c>
      <c r="P368" t="b">
        <f t="shared" si="101"/>
        <v>0</v>
      </c>
      <c r="Q368" t="b">
        <f t="shared" si="102"/>
        <v>0</v>
      </c>
      <c r="R368" t="b">
        <f t="shared" si="103"/>
        <v>1</v>
      </c>
      <c r="S368" t="b">
        <f t="shared" si="104"/>
        <v>0</v>
      </c>
      <c r="T368" t="b">
        <f t="shared" si="105"/>
        <v>0</v>
      </c>
      <c r="U368" t="b">
        <f t="shared" si="106"/>
        <v>1</v>
      </c>
      <c r="V368" t="b">
        <f t="shared" si="107"/>
        <v>0</v>
      </c>
    </row>
    <row r="369" spans="1:22" x14ac:dyDescent="0.35">
      <c r="A369" s="2">
        <v>3247</v>
      </c>
      <c r="B369" s="2">
        <f t="shared" si="93"/>
        <v>50</v>
      </c>
      <c r="C369" s="2">
        <f t="shared" si="94"/>
        <v>47</v>
      </c>
      <c r="D369" s="1" t="s">
        <v>219</v>
      </c>
      <c r="E369" t="str">
        <f t="shared" si="95"/>
        <v>1000</v>
      </c>
      <c r="F369" t="str">
        <f t="shared" si="90"/>
        <v>000110</v>
      </c>
      <c r="G369" t="str">
        <f t="shared" si="91"/>
        <v>000000</v>
      </c>
      <c r="H369" t="str">
        <f>LOOKUP(E369,Lookups!$A$1:$A$16,Lookups!$B$1:$B$16)</f>
        <v>p</v>
      </c>
      <c r="I369">
        <f t="shared" si="96"/>
        <v>6</v>
      </c>
      <c r="J369">
        <f t="shared" si="97"/>
        <v>0</v>
      </c>
      <c r="K369">
        <f t="shared" si="92"/>
        <v>384</v>
      </c>
      <c r="M369" t="b">
        <f t="shared" si="98"/>
        <v>0</v>
      </c>
      <c r="N369" t="b">
        <f t="shared" si="99"/>
        <v>1</v>
      </c>
      <c r="O369" t="b">
        <f t="shared" si="100"/>
        <v>0</v>
      </c>
      <c r="P369" t="b">
        <f t="shared" si="101"/>
        <v>0</v>
      </c>
      <c r="Q369" t="b">
        <f t="shared" si="102"/>
        <v>0</v>
      </c>
      <c r="R369" t="b">
        <f t="shared" si="103"/>
        <v>0</v>
      </c>
      <c r="S369" t="b">
        <f t="shared" si="104"/>
        <v>0</v>
      </c>
      <c r="T369" t="b">
        <f t="shared" si="105"/>
        <v>0</v>
      </c>
      <c r="U369" t="b">
        <f t="shared" si="106"/>
        <v>1</v>
      </c>
      <c r="V369" t="b">
        <f t="shared" si="107"/>
        <v>0</v>
      </c>
    </row>
    <row r="370" spans="1:22" x14ac:dyDescent="0.35">
      <c r="A370" s="2">
        <v>3248</v>
      </c>
      <c r="B370" s="2">
        <f t="shared" si="93"/>
        <v>50</v>
      </c>
      <c r="C370" s="2">
        <f t="shared" si="94"/>
        <v>48</v>
      </c>
      <c r="D370" s="1" t="s">
        <v>220</v>
      </c>
      <c r="E370" t="str">
        <f t="shared" si="95"/>
        <v>1010</v>
      </c>
      <c r="F370" t="str">
        <f t="shared" si="90"/>
        <v>110010</v>
      </c>
      <c r="G370" t="str">
        <f t="shared" si="91"/>
        <v>100111</v>
      </c>
      <c r="H370" t="str">
        <f>LOOKUP(E370,Lookups!$A$1:$A$16,Lookups!$B$1:$B$16)</f>
        <v>u</v>
      </c>
      <c r="I370">
        <f t="shared" si="96"/>
        <v>50</v>
      </c>
      <c r="J370">
        <f t="shared" si="97"/>
        <v>39</v>
      </c>
      <c r="K370">
        <f t="shared" si="92"/>
        <v>3239</v>
      </c>
      <c r="M370" t="b">
        <f t="shared" si="98"/>
        <v>0</v>
      </c>
      <c r="N370" t="b">
        <f t="shared" si="99"/>
        <v>1</v>
      </c>
      <c r="O370" t="b">
        <f t="shared" si="100"/>
        <v>0</v>
      </c>
      <c r="P370" t="b">
        <f t="shared" si="101"/>
        <v>0</v>
      </c>
      <c r="Q370" t="b">
        <f t="shared" si="102"/>
        <v>0</v>
      </c>
      <c r="R370" t="b">
        <f t="shared" si="103"/>
        <v>1</v>
      </c>
      <c r="S370" t="b">
        <f t="shared" si="104"/>
        <v>0</v>
      </c>
      <c r="T370" t="b">
        <f t="shared" si="105"/>
        <v>0</v>
      </c>
      <c r="U370" t="b">
        <f t="shared" si="106"/>
        <v>0</v>
      </c>
      <c r="V370" t="b">
        <f t="shared" si="107"/>
        <v>0</v>
      </c>
    </row>
    <row r="371" spans="1:22" x14ac:dyDescent="0.35">
      <c r="A371" s="2">
        <v>3249</v>
      </c>
      <c r="B371" s="2">
        <f t="shared" si="93"/>
        <v>50</v>
      </c>
      <c r="C371" s="2">
        <f t="shared" si="94"/>
        <v>49</v>
      </c>
      <c r="D371" s="1" t="s">
        <v>221</v>
      </c>
      <c r="E371" t="str">
        <f t="shared" si="95"/>
        <v>1000</v>
      </c>
      <c r="F371" t="str">
        <f t="shared" si="90"/>
        <v>001010</v>
      </c>
      <c r="G371" t="str">
        <f t="shared" si="91"/>
        <v>000000</v>
      </c>
      <c r="H371" t="str">
        <f>LOOKUP(E371,Lookups!$A$1:$A$16,Lookups!$B$1:$B$16)</f>
        <v>p</v>
      </c>
      <c r="I371">
        <f t="shared" si="96"/>
        <v>10</v>
      </c>
      <c r="J371">
        <f t="shared" si="97"/>
        <v>0</v>
      </c>
      <c r="K371">
        <f t="shared" si="92"/>
        <v>640</v>
      </c>
      <c r="M371" t="b">
        <f t="shared" si="98"/>
        <v>0</v>
      </c>
      <c r="N371" t="b">
        <f t="shared" si="99"/>
        <v>1</v>
      </c>
      <c r="O371" t="b">
        <f t="shared" si="100"/>
        <v>0</v>
      </c>
      <c r="P371" t="b">
        <f t="shared" si="101"/>
        <v>0</v>
      </c>
      <c r="Q371" t="b">
        <f t="shared" si="102"/>
        <v>0</v>
      </c>
      <c r="R371" t="b">
        <f t="shared" si="103"/>
        <v>0</v>
      </c>
      <c r="S371" t="b">
        <f t="shared" si="104"/>
        <v>0</v>
      </c>
      <c r="T371" t="b">
        <f t="shared" si="105"/>
        <v>0</v>
      </c>
      <c r="U371" t="b">
        <f t="shared" si="106"/>
        <v>1</v>
      </c>
      <c r="V371" t="b">
        <f t="shared" si="107"/>
        <v>0</v>
      </c>
    </row>
    <row r="372" spans="1:22" x14ac:dyDescent="0.35">
      <c r="A372" s="2">
        <v>3250</v>
      </c>
      <c r="B372" s="2">
        <f t="shared" si="93"/>
        <v>50</v>
      </c>
      <c r="C372" s="2">
        <f t="shared" si="94"/>
        <v>50</v>
      </c>
      <c r="D372" s="1" t="s">
        <v>220</v>
      </c>
      <c r="E372" t="str">
        <f t="shared" si="95"/>
        <v>1010</v>
      </c>
      <c r="F372" t="str">
        <f t="shared" si="90"/>
        <v>110010</v>
      </c>
      <c r="G372" t="str">
        <f t="shared" si="91"/>
        <v>100111</v>
      </c>
      <c r="H372" t="str">
        <f>LOOKUP(E372,Lookups!$A$1:$A$16,Lookups!$B$1:$B$16)</f>
        <v>u</v>
      </c>
      <c r="I372">
        <f t="shared" si="96"/>
        <v>50</v>
      </c>
      <c r="J372">
        <f t="shared" si="97"/>
        <v>39</v>
      </c>
      <c r="K372">
        <f t="shared" si="92"/>
        <v>3239</v>
      </c>
      <c r="M372" t="b">
        <f t="shared" si="98"/>
        <v>0</v>
      </c>
      <c r="N372" t="b">
        <f t="shared" si="99"/>
        <v>1</v>
      </c>
      <c r="O372" t="b">
        <f t="shared" si="100"/>
        <v>0</v>
      </c>
      <c r="P372" t="b">
        <f t="shared" si="101"/>
        <v>0</v>
      </c>
      <c r="Q372" t="b">
        <f t="shared" si="102"/>
        <v>0</v>
      </c>
      <c r="R372" t="b">
        <f t="shared" si="103"/>
        <v>1</v>
      </c>
      <c r="S372" t="b">
        <f t="shared" si="104"/>
        <v>0</v>
      </c>
      <c r="T372" t="b">
        <f t="shared" si="105"/>
        <v>0</v>
      </c>
      <c r="U372" t="b">
        <f t="shared" si="106"/>
        <v>0</v>
      </c>
      <c r="V372" t="b">
        <f t="shared" si="107"/>
        <v>0</v>
      </c>
    </row>
    <row r="373" spans="1:22" x14ac:dyDescent="0.35">
      <c r="A373" s="2">
        <v>3251</v>
      </c>
      <c r="B373" s="2">
        <f t="shared" si="93"/>
        <v>50</v>
      </c>
      <c r="C373" s="2">
        <f t="shared" si="94"/>
        <v>51</v>
      </c>
      <c r="D373" s="1" t="s">
        <v>222</v>
      </c>
      <c r="E373" t="str">
        <f t="shared" si="95"/>
        <v>0001</v>
      </c>
      <c r="F373" t="str">
        <f t="shared" si="90"/>
        <v>101111</v>
      </c>
      <c r="G373" t="str">
        <f t="shared" si="91"/>
        <v>100011</v>
      </c>
      <c r="H373" t="str">
        <f>LOOKUP(E373,Lookups!$A$1:$A$16,Lookups!$B$1:$B$16)</f>
        <v>b</v>
      </c>
      <c r="I373">
        <f t="shared" si="96"/>
        <v>47</v>
      </c>
      <c r="J373">
        <f t="shared" si="97"/>
        <v>35</v>
      </c>
      <c r="K373">
        <f t="shared" si="92"/>
        <v>3043</v>
      </c>
      <c r="M373" t="b">
        <f t="shared" si="98"/>
        <v>0</v>
      </c>
      <c r="N373" t="b">
        <f t="shared" si="99"/>
        <v>1</v>
      </c>
      <c r="O373" t="b">
        <f t="shared" si="100"/>
        <v>0</v>
      </c>
      <c r="P373" t="b">
        <f t="shared" si="101"/>
        <v>0</v>
      </c>
      <c r="Q373" t="b">
        <f t="shared" si="102"/>
        <v>0</v>
      </c>
      <c r="R373" t="b">
        <f t="shared" si="103"/>
        <v>1</v>
      </c>
      <c r="S373" t="b">
        <f t="shared" si="104"/>
        <v>0</v>
      </c>
      <c r="T373" t="b">
        <f t="shared" si="105"/>
        <v>0</v>
      </c>
      <c r="U373" t="b">
        <f t="shared" si="106"/>
        <v>1</v>
      </c>
      <c r="V373" t="b">
        <f t="shared" si="107"/>
        <v>0</v>
      </c>
    </row>
    <row r="374" spans="1:22" x14ac:dyDescent="0.35">
      <c r="A374" s="2">
        <v>3252</v>
      </c>
      <c r="B374" s="2">
        <f t="shared" si="93"/>
        <v>50</v>
      </c>
      <c r="C374" s="2">
        <f t="shared" si="94"/>
        <v>52</v>
      </c>
      <c r="D374" s="1" t="s">
        <v>14</v>
      </c>
      <c r="E374" t="str">
        <f t="shared" si="95"/>
        <v>1110</v>
      </c>
      <c r="F374" t="str">
        <f t="shared" si="90"/>
        <v>101110</v>
      </c>
      <c r="G374" t="str">
        <f t="shared" si="91"/>
        <v>100011</v>
      </c>
      <c r="H374" t="str">
        <f>LOOKUP(E374,Lookups!$A$1:$A$16,Lookups!$B$1:$B$16)</f>
        <v>a</v>
      </c>
      <c r="I374">
        <f t="shared" si="96"/>
        <v>46</v>
      </c>
      <c r="J374">
        <f t="shared" si="97"/>
        <v>35</v>
      </c>
      <c r="K374">
        <f t="shared" si="92"/>
        <v>2979</v>
      </c>
      <c r="M374" t="b">
        <f t="shared" si="98"/>
        <v>0</v>
      </c>
      <c r="N374" t="b">
        <f t="shared" si="99"/>
        <v>1</v>
      </c>
      <c r="O374" t="b">
        <f t="shared" si="100"/>
        <v>0</v>
      </c>
      <c r="P374" t="b">
        <f t="shared" si="101"/>
        <v>0</v>
      </c>
      <c r="Q374" t="b">
        <f t="shared" si="102"/>
        <v>0</v>
      </c>
      <c r="R374" t="b">
        <f t="shared" si="103"/>
        <v>1</v>
      </c>
      <c r="S374" t="b">
        <f t="shared" si="104"/>
        <v>0</v>
      </c>
      <c r="T374" t="b">
        <f t="shared" si="105"/>
        <v>0</v>
      </c>
      <c r="U374" t="b">
        <f t="shared" si="106"/>
        <v>0</v>
      </c>
      <c r="V374" t="b">
        <f t="shared" si="107"/>
        <v>0</v>
      </c>
    </row>
    <row r="375" spans="1:22" x14ac:dyDescent="0.35">
      <c r="A375" s="2">
        <v>3253</v>
      </c>
      <c r="B375" s="2">
        <f t="shared" si="93"/>
        <v>50</v>
      </c>
      <c r="C375" s="2">
        <f t="shared" si="94"/>
        <v>53</v>
      </c>
      <c r="D375" s="1" t="s">
        <v>0</v>
      </c>
      <c r="E375" t="str">
        <f t="shared" si="95"/>
        <v>1101</v>
      </c>
      <c r="F375" t="str">
        <f t="shared" si="90"/>
        <v>101111</v>
      </c>
      <c r="G375" t="str">
        <f t="shared" si="91"/>
        <v>100011</v>
      </c>
      <c r="H375" t="str">
        <f>LOOKUP(E375,Lookups!$A$1:$A$16,Lookups!$B$1:$B$16)</f>
        <v>c</v>
      </c>
      <c r="I375">
        <f t="shared" si="96"/>
        <v>47</v>
      </c>
      <c r="J375">
        <f t="shared" si="97"/>
        <v>35</v>
      </c>
      <c r="K375">
        <f t="shared" si="92"/>
        <v>3043</v>
      </c>
      <c r="M375" t="b">
        <f t="shared" si="98"/>
        <v>0</v>
      </c>
      <c r="N375" t="b">
        <f t="shared" si="99"/>
        <v>1</v>
      </c>
      <c r="O375" t="b">
        <f t="shared" si="100"/>
        <v>0</v>
      </c>
      <c r="P375" t="b">
        <f t="shared" si="101"/>
        <v>0</v>
      </c>
      <c r="Q375" t="b">
        <f t="shared" si="102"/>
        <v>0</v>
      </c>
      <c r="R375" t="b">
        <f t="shared" si="103"/>
        <v>1</v>
      </c>
      <c r="S375" t="b">
        <f t="shared" si="104"/>
        <v>0</v>
      </c>
      <c r="T375" t="b">
        <f t="shared" si="105"/>
        <v>0</v>
      </c>
      <c r="U375" t="b">
        <f t="shared" si="106"/>
        <v>0</v>
      </c>
      <c r="V375" t="b">
        <f t="shared" si="107"/>
        <v>0</v>
      </c>
    </row>
    <row r="376" spans="1:22" x14ac:dyDescent="0.35">
      <c r="A376" s="2">
        <v>3254</v>
      </c>
      <c r="B376" s="2">
        <f t="shared" si="93"/>
        <v>50</v>
      </c>
      <c r="C376" s="2">
        <f t="shared" si="94"/>
        <v>54</v>
      </c>
      <c r="D376" s="1" t="s">
        <v>223</v>
      </c>
      <c r="E376" t="str">
        <f t="shared" si="95"/>
        <v>0001</v>
      </c>
      <c r="F376" t="str">
        <f t="shared" si="90"/>
        <v>110000</v>
      </c>
      <c r="G376" t="str">
        <f t="shared" si="91"/>
        <v>010010</v>
      </c>
      <c r="H376" t="str">
        <f>LOOKUP(E376,Lookups!$A$1:$A$16,Lookups!$B$1:$B$16)</f>
        <v>b</v>
      </c>
      <c r="I376">
        <f t="shared" si="96"/>
        <v>48</v>
      </c>
      <c r="J376">
        <f t="shared" si="97"/>
        <v>18</v>
      </c>
      <c r="K376">
        <f t="shared" si="92"/>
        <v>3090</v>
      </c>
      <c r="M376" t="b">
        <f t="shared" si="98"/>
        <v>0</v>
      </c>
      <c r="N376" t="b">
        <f t="shared" si="99"/>
        <v>1</v>
      </c>
      <c r="O376" t="b">
        <f t="shared" si="100"/>
        <v>0</v>
      </c>
      <c r="P376" t="b">
        <f t="shared" si="101"/>
        <v>0</v>
      </c>
      <c r="Q376" t="b">
        <f t="shared" si="102"/>
        <v>0</v>
      </c>
      <c r="R376" t="b">
        <f t="shared" si="103"/>
        <v>1</v>
      </c>
      <c r="S376" t="b">
        <f t="shared" si="104"/>
        <v>0</v>
      </c>
      <c r="T376" t="b">
        <f t="shared" si="105"/>
        <v>0</v>
      </c>
      <c r="U376" t="b">
        <f t="shared" si="106"/>
        <v>1</v>
      </c>
      <c r="V376" t="b">
        <f t="shared" si="107"/>
        <v>0</v>
      </c>
    </row>
    <row r="377" spans="1:22" x14ac:dyDescent="0.35">
      <c r="A377" s="2">
        <v>3255</v>
      </c>
      <c r="B377" s="2">
        <f t="shared" si="93"/>
        <v>50</v>
      </c>
      <c r="C377" s="2">
        <f t="shared" si="94"/>
        <v>55</v>
      </c>
      <c r="D377" s="1" t="s">
        <v>224</v>
      </c>
      <c r="E377" t="str">
        <f t="shared" si="95"/>
        <v>0110</v>
      </c>
      <c r="F377" t="str">
        <f t="shared" si="90"/>
        <v>110000</v>
      </c>
      <c r="G377" t="str">
        <f t="shared" si="91"/>
        <v>010010</v>
      </c>
      <c r="H377" t="str">
        <f>LOOKUP(E377,Lookups!$A$1:$A$16,Lookups!$B$1:$B$16)</f>
        <v>n</v>
      </c>
      <c r="I377">
        <f t="shared" si="96"/>
        <v>48</v>
      </c>
      <c r="J377">
        <f t="shared" si="97"/>
        <v>18</v>
      </c>
      <c r="K377">
        <f t="shared" si="92"/>
        <v>3090</v>
      </c>
      <c r="M377" t="b">
        <f t="shared" si="98"/>
        <v>0</v>
      </c>
      <c r="N377" t="b">
        <f t="shared" si="99"/>
        <v>1</v>
      </c>
      <c r="O377" t="b">
        <f t="shared" si="100"/>
        <v>0</v>
      </c>
      <c r="P377" t="b">
        <f t="shared" si="101"/>
        <v>0</v>
      </c>
      <c r="Q377" t="b">
        <f t="shared" si="102"/>
        <v>0</v>
      </c>
      <c r="R377" t="b">
        <f t="shared" si="103"/>
        <v>1</v>
      </c>
      <c r="S377" t="b">
        <f t="shared" si="104"/>
        <v>0</v>
      </c>
      <c r="T377" t="b">
        <f t="shared" si="105"/>
        <v>0</v>
      </c>
      <c r="U377" t="b">
        <f t="shared" si="106"/>
        <v>0</v>
      </c>
      <c r="V377" t="b">
        <f t="shared" si="107"/>
        <v>0</v>
      </c>
    </row>
    <row r="378" spans="1:22" x14ac:dyDescent="0.35">
      <c r="A378" s="2">
        <v>3256</v>
      </c>
      <c r="B378" s="2">
        <f t="shared" si="93"/>
        <v>50</v>
      </c>
      <c r="C378" s="2">
        <f t="shared" si="94"/>
        <v>56</v>
      </c>
      <c r="D378" s="1" t="s">
        <v>225</v>
      </c>
      <c r="E378" t="str">
        <f t="shared" si="95"/>
        <v>1100</v>
      </c>
      <c r="F378" t="str">
        <f t="shared" si="90"/>
        <v>110000</v>
      </c>
      <c r="G378" t="str">
        <f t="shared" si="91"/>
        <v>010010</v>
      </c>
      <c r="H378" t="str">
        <f>LOOKUP(E378,Lookups!$A$1:$A$16,Lookups!$B$1:$B$16)</f>
        <v>h</v>
      </c>
      <c r="I378">
        <f t="shared" si="96"/>
        <v>48</v>
      </c>
      <c r="J378">
        <f t="shared" si="97"/>
        <v>18</v>
      </c>
      <c r="K378">
        <f t="shared" si="92"/>
        <v>3090</v>
      </c>
      <c r="M378" t="b">
        <f t="shared" si="98"/>
        <v>0</v>
      </c>
      <c r="N378" t="b">
        <f t="shared" si="99"/>
        <v>1</v>
      </c>
      <c r="O378" t="b">
        <f t="shared" si="100"/>
        <v>0</v>
      </c>
      <c r="P378" t="b">
        <f t="shared" si="101"/>
        <v>0</v>
      </c>
      <c r="Q378" t="b">
        <f t="shared" si="102"/>
        <v>0</v>
      </c>
      <c r="R378" t="b">
        <f t="shared" si="103"/>
        <v>1</v>
      </c>
      <c r="S378" t="b">
        <f t="shared" si="104"/>
        <v>0</v>
      </c>
      <c r="T378" t="b">
        <f t="shared" si="105"/>
        <v>0</v>
      </c>
      <c r="U378" t="b">
        <f t="shared" si="106"/>
        <v>0</v>
      </c>
      <c r="V378" t="b">
        <f t="shared" si="107"/>
        <v>0</v>
      </c>
    </row>
    <row r="379" spans="1:22" x14ac:dyDescent="0.35">
      <c r="A379" s="2">
        <v>3257</v>
      </c>
      <c r="B379" s="2">
        <f t="shared" si="93"/>
        <v>50</v>
      </c>
      <c r="C379" s="2">
        <f t="shared" si="94"/>
        <v>57</v>
      </c>
      <c r="D379" s="1" t="s">
        <v>226</v>
      </c>
      <c r="E379" t="str">
        <f t="shared" si="95"/>
        <v>0111</v>
      </c>
      <c r="F379" t="str">
        <f t="shared" si="90"/>
        <v>101110</v>
      </c>
      <c r="G379" t="str">
        <f t="shared" si="91"/>
        <v>011001</v>
      </c>
      <c r="H379" t="str">
        <f>LOOKUP(E379,Lookups!$A$1:$A$16,Lookups!$B$1:$B$16)</f>
        <v>m</v>
      </c>
      <c r="I379">
        <f t="shared" si="96"/>
        <v>46</v>
      </c>
      <c r="J379">
        <f t="shared" si="97"/>
        <v>25</v>
      </c>
      <c r="K379">
        <f t="shared" si="92"/>
        <v>2969</v>
      </c>
      <c r="M379" t="b">
        <f t="shared" si="98"/>
        <v>0</v>
      </c>
      <c r="N379" t="b">
        <f t="shared" si="99"/>
        <v>1</v>
      </c>
      <c r="O379" t="b">
        <f t="shared" si="100"/>
        <v>0</v>
      </c>
      <c r="P379" t="b">
        <f t="shared" si="101"/>
        <v>0</v>
      </c>
      <c r="Q379" t="b">
        <f t="shared" si="102"/>
        <v>0</v>
      </c>
      <c r="R379" t="b">
        <f t="shared" si="103"/>
        <v>1</v>
      </c>
      <c r="S379" t="b">
        <f t="shared" si="104"/>
        <v>0</v>
      </c>
      <c r="T379" t="b">
        <f t="shared" si="105"/>
        <v>0</v>
      </c>
      <c r="U379" t="b">
        <f t="shared" si="106"/>
        <v>0</v>
      </c>
      <c r="V379" t="b">
        <f t="shared" si="107"/>
        <v>0</v>
      </c>
    </row>
    <row r="380" spans="1:22" x14ac:dyDescent="0.35">
      <c r="A380" s="2">
        <v>3258</v>
      </c>
      <c r="B380" s="2">
        <f t="shared" si="93"/>
        <v>50</v>
      </c>
      <c r="C380" s="2">
        <f t="shared" si="94"/>
        <v>58</v>
      </c>
      <c r="D380" s="1" t="s">
        <v>227</v>
      </c>
      <c r="E380" t="str">
        <f t="shared" si="95"/>
        <v>1110</v>
      </c>
      <c r="F380" t="str">
        <f t="shared" si="90"/>
        <v>110000</v>
      </c>
      <c r="G380" t="str">
        <f t="shared" si="91"/>
        <v>010010</v>
      </c>
      <c r="H380" t="str">
        <f>LOOKUP(E380,Lookups!$A$1:$A$16,Lookups!$B$1:$B$16)</f>
        <v>a</v>
      </c>
      <c r="I380">
        <f t="shared" si="96"/>
        <v>48</v>
      </c>
      <c r="J380">
        <f t="shared" si="97"/>
        <v>18</v>
      </c>
      <c r="K380">
        <f t="shared" si="92"/>
        <v>3090</v>
      </c>
      <c r="M380" t="b">
        <f t="shared" si="98"/>
        <v>0</v>
      </c>
      <c r="N380" t="b">
        <f t="shared" si="99"/>
        <v>1</v>
      </c>
      <c r="O380" t="b">
        <f t="shared" si="100"/>
        <v>0</v>
      </c>
      <c r="P380" t="b">
        <f t="shared" si="101"/>
        <v>0</v>
      </c>
      <c r="Q380" t="b">
        <f t="shared" si="102"/>
        <v>0</v>
      </c>
      <c r="R380" t="b">
        <f t="shared" si="103"/>
        <v>1</v>
      </c>
      <c r="S380" t="b">
        <f t="shared" si="104"/>
        <v>0</v>
      </c>
      <c r="T380" t="b">
        <f t="shared" si="105"/>
        <v>0</v>
      </c>
      <c r="U380" t="b">
        <f t="shared" si="106"/>
        <v>0</v>
      </c>
      <c r="V380" t="b">
        <f t="shared" si="107"/>
        <v>0</v>
      </c>
    </row>
    <row r="381" spans="1:22" x14ac:dyDescent="0.35">
      <c r="A381" s="2">
        <v>3259</v>
      </c>
      <c r="B381" s="2">
        <f t="shared" si="93"/>
        <v>50</v>
      </c>
      <c r="C381" s="2">
        <f t="shared" si="94"/>
        <v>59</v>
      </c>
      <c r="D381" s="1" t="s">
        <v>225</v>
      </c>
      <c r="E381" t="str">
        <f t="shared" si="95"/>
        <v>1100</v>
      </c>
      <c r="F381" t="str">
        <f t="shared" si="90"/>
        <v>110000</v>
      </c>
      <c r="G381" t="str">
        <f t="shared" si="91"/>
        <v>010010</v>
      </c>
      <c r="H381" t="str">
        <f>LOOKUP(E381,Lookups!$A$1:$A$16,Lookups!$B$1:$B$16)</f>
        <v>h</v>
      </c>
      <c r="I381">
        <f t="shared" si="96"/>
        <v>48</v>
      </c>
      <c r="J381">
        <f t="shared" si="97"/>
        <v>18</v>
      </c>
      <c r="K381">
        <f t="shared" si="92"/>
        <v>3090</v>
      </c>
      <c r="M381" t="b">
        <f t="shared" si="98"/>
        <v>0</v>
      </c>
      <c r="N381" t="b">
        <f t="shared" si="99"/>
        <v>1</v>
      </c>
      <c r="O381" t="b">
        <f t="shared" si="100"/>
        <v>0</v>
      </c>
      <c r="P381" t="b">
        <f t="shared" si="101"/>
        <v>0</v>
      </c>
      <c r="Q381" t="b">
        <f t="shared" si="102"/>
        <v>0</v>
      </c>
      <c r="R381" t="b">
        <f t="shared" si="103"/>
        <v>1</v>
      </c>
      <c r="S381" t="b">
        <f t="shared" si="104"/>
        <v>0</v>
      </c>
      <c r="T381" t="b">
        <f t="shared" si="105"/>
        <v>0</v>
      </c>
      <c r="U381" t="b">
        <f t="shared" si="106"/>
        <v>0</v>
      </c>
      <c r="V381" t="b">
        <f t="shared" si="107"/>
        <v>0</v>
      </c>
    </row>
    <row r="382" spans="1:22" x14ac:dyDescent="0.35">
      <c r="A382" s="2">
        <v>3260</v>
      </c>
      <c r="B382" s="2">
        <f t="shared" si="93"/>
        <v>50</v>
      </c>
      <c r="C382" s="2">
        <f t="shared" si="94"/>
        <v>60</v>
      </c>
      <c r="D382" s="1" t="s">
        <v>228</v>
      </c>
      <c r="E382" t="str">
        <f t="shared" si="95"/>
        <v>1010</v>
      </c>
      <c r="F382" t="str">
        <f t="shared" si="90"/>
        <v>101101</v>
      </c>
      <c r="G382" t="str">
        <f t="shared" si="91"/>
        <v>001011</v>
      </c>
      <c r="H382" t="str">
        <f>LOOKUP(E382,Lookups!$A$1:$A$16,Lookups!$B$1:$B$16)</f>
        <v>u</v>
      </c>
      <c r="I382">
        <f t="shared" si="96"/>
        <v>45</v>
      </c>
      <c r="J382">
        <f t="shared" si="97"/>
        <v>11</v>
      </c>
      <c r="K382">
        <f t="shared" si="92"/>
        <v>2891</v>
      </c>
      <c r="M382" t="b">
        <f t="shared" si="98"/>
        <v>0</v>
      </c>
      <c r="N382" t="b">
        <f t="shared" si="99"/>
        <v>1</v>
      </c>
      <c r="O382" t="b">
        <f t="shared" si="100"/>
        <v>0</v>
      </c>
      <c r="P382" t="b">
        <f t="shared" si="101"/>
        <v>0</v>
      </c>
      <c r="Q382" t="b">
        <f t="shared" si="102"/>
        <v>0</v>
      </c>
      <c r="R382" t="b">
        <f t="shared" si="103"/>
        <v>1</v>
      </c>
      <c r="S382" t="b">
        <f t="shared" si="104"/>
        <v>0</v>
      </c>
      <c r="T382" t="b">
        <f t="shared" si="105"/>
        <v>0</v>
      </c>
      <c r="U382" t="b">
        <f t="shared" si="106"/>
        <v>1</v>
      </c>
      <c r="V382" t="b">
        <f t="shared" si="107"/>
        <v>0</v>
      </c>
    </row>
    <row r="383" spans="1:22" x14ac:dyDescent="0.35">
      <c r="A383" s="2">
        <v>3261</v>
      </c>
      <c r="B383" s="2">
        <f t="shared" si="93"/>
        <v>50</v>
      </c>
      <c r="C383" s="2">
        <f t="shared" si="94"/>
        <v>61</v>
      </c>
      <c r="D383" s="1" t="s">
        <v>229</v>
      </c>
      <c r="E383" t="str">
        <f t="shared" si="95"/>
        <v>0000</v>
      </c>
      <c r="F383" t="str">
        <f t="shared" si="90"/>
        <v>000100</v>
      </c>
      <c r="G383" t="str">
        <f t="shared" si="91"/>
        <v>000000</v>
      </c>
      <c r="H383" t="str">
        <f>LOOKUP(E383,Lookups!$A$1:$A$16,Lookups!$B$1:$B$16)</f>
        <v>z</v>
      </c>
      <c r="I383">
        <f t="shared" si="96"/>
        <v>4</v>
      </c>
      <c r="J383">
        <f t="shared" si="97"/>
        <v>0</v>
      </c>
      <c r="K383">
        <f t="shared" si="92"/>
        <v>256</v>
      </c>
      <c r="M383" t="b">
        <f t="shared" si="98"/>
        <v>1</v>
      </c>
      <c r="N383" t="b">
        <f t="shared" si="99"/>
        <v>1</v>
      </c>
      <c r="O383" t="b">
        <f t="shared" si="100"/>
        <v>1</v>
      </c>
      <c r="P383" t="b">
        <f t="shared" si="101"/>
        <v>0</v>
      </c>
      <c r="Q383" t="b">
        <f t="shared" si="102"/>
        <v>0</v>
      </c>
      <c r="R383" t="b">
        <f t="shared" si="103"/>
        <v>0</v>
      </c>
      <c r="S383" t="b">
        <f t="shared" si="104"/>
        <v>0</v>
      </c>
      <c r="T383" t="b">
        <f t="shared" si="105"/>
        <v>1</v>
      </c>
      <c r="U383" t="b">
        <f t="shared" si="106"/>
        <v>1</v>
      </c>
      <c r="V383" t="b">
        <f t="shared" si="107"/>
        <v>1</v>
      </c>
    </row>
    <row r="384" spans="1:22" x14ac:dyDescent="0.35">
      <c r="A384" s="2">
        <v>3262</v>
      </c>
      <c r="B384" s="2">
        <f t="shared" si="93"/>
        <v>50</v>
      </c>
      <c r="C384" s="2">
        <f t="shared" si="94"/>
        <v>62</v>
      </c>
      <c r="D384" s="1" t="s">
        <v>87</v>
      </c>
      <c r="E384" t="str">
        <f t="shared" si="95"/>
        <v>1000</v>
      </c>
      <c r="F384" t="str">
        <f t="shared" si="90"/>
        <v>010000</v>
      </c>
      <c r="G384" t="str">
        <f t="shared" si="91"/>
        <v>000000</v>
      </c>
      <c r="H384" t="str">
        <f>LOOKUP(E384,Lookups!$A$1:$A$16,Lookups!$B$1:$B$16)</f>
        <v>p</v>
      </c>
      <c r="I384">
        <f t="shared" si="96"/>
        <v>16</v>
      </c>
      <c r="J384">
        <f t="shared" si="97"/>
        <v>0</v>
      </c>
      <c r="K384">
        <f t="shared" si="92"/>
        <v>1024</v>
      </c>
      <c r="M384" t="b">
        <f t="shared" si="98"/>
        <v>0</v>
      </c>
      <c r="N384" t="b">
        <f t="shared" si="99"/>
        <v>1</v>
      </c>
      <c r="O384" t="b">
        <f t="shared" si="100"/>
        <v>0</v>
      </c>
      <c r="P384" t="b">
        <f t="shared" si="101"/>
        <v>0</v>
      </c>
      <c r="Q384" t="b">
        <f t="shared" si="102"/>
        <v>0</v>
      </c>
      <c r="R384" t="b">
        <f t="shared" si="103"/>
        <v>0</v>
      </c>
      <c r="S384" t="b">
        <f t="shared" si="104"/>
        <v>0</v>
      </c>
      <c r="T384" t="b">
        <f t="shared" si="105"/>
        <v>0</v>
      </c>
      <c r="U384" t="b">
        <f t="shared" si="106"/>
        <v>0</v>
      </c>
      <c r="V384" t="b">
        <f t="shared" si="107"/>
        <v>0</v>
      </c>
    </row>
    <row r="385" spans="1:22" x14ac:dyDescent="0.35">
      <c r="A385" s="2">
        <v>3263</v>
      </c>
      <c r="B385" s="2">
        <f t="shared" si="93"/>
        <v>50</v>
      </c>
      <c r="C385" s="2">
        <f t="shared" si="94"/>
        <v>63</v>
      </c>
      <c r="D385" s="1" t="s">
        <v>230</v>
      </c>
      <c r="E385" t="str">
        <f t="shared" si="95"/>
        <v>1010</v>
      </c>
      <c r="F385" t="str">
        <f t="shared" si="90"/>
        <v>101110</v>
      </c>
      <c r="G385" t="str">
        <f t="shared" si="91"/>
        <v>011110</v>
      </c>
      <c r="H385" t="str">
        <f>LOOKUP(E385,Lookups!$A$1:$A$16,Lookups!$B$1:$B$16)</f>
        <v>u</v>
      </c>
      <c r="I385">
        <f t="shared" si="96"/>
        <v>46</v>
      </c>
      <c r="J385">
        <f t="shared" si="97"/>
        <v>30</v>
      </c>
      <c r="K385">
        <f t="shared" si="92"/>
        <v>2974</v>
      </c>
      <c r="M385" t="b">
        <f t="shared" si="98"/>
        <v>0</v>
      </c>
      <c r="N385" t="b">
        <f t="shared" si="99"/>
        <v>1</v>
      </c>
      <c r="O385" t="b">
        <f t="shared" si="100"/>
        <v>0</v>
      </c>
      <c r="P385" t="b">
        <f t="shared" si="101"/>
        <v>0</v>
      </c>
      <c r="Q385" t="b">
        <f t="shared" si="102"/>
        <v>0</v>
      </c>
      <c r="R385" t="b">
        <f t="shared" si="103"/>
        <v>1</v>
      </c>
      <c r="S385" t="b">
        <f t="shared" si="104"/>
        <v>0</v>
      </c>
      <c r="T385" t="b">
        <f t="shared" si="105"/>
        <v>0</v>
      </c>
      <c r="U385" t="b">
        <f t="shared" si="106"/>
        <v>0</v>
      </c>
      <c r="V385" t="b">
        <f t="shared" si="107"/>
        <v>0</v>
      </c>
    </row>
    <row r="386" spans="1:22" x14ac:dyDescent="0.35">
      <c r="A386" s="2">
        <v>3264</v>
      </c>
      <c r="B386" s="2">
        <f t="shared" si="93"/>
        <v>51</v>
      </c>
      <c r="C386" s="2">
        <f t="shared" si="94"/>
        <v>0</v>
      </c>
      <c r="D386" s="1" t="s">
        <v>231</v>
      </c>
      <c r="E386" t="str">
        <f t="shared" si="95"/>
        <v>0001</v>
      </c>
      <c r="F386" t="str">
        <f t="shared" ref="F386:F449" si="108">MID(D386,19,6)</f>
        <v>110001</v>
      </c>
      <c r="G386" t="str">
        <f t="shared" ref="G386:G449" si="109">MID(D386,25,6)</f>
        <v>101111</v>
      </c>
      <c r="H386" t="str">
        <f>LOOKUP(E386,Lookups!$A$1:$A$16,Lookups!$B$1:$B$16)</f>
        <v>b</v>
      </c>
      <c r="I386">
        <f t="shared" si="96"/>
        <v>49</v>
      </c>
      <c r="J386">
        <f t="shared" si="97"/>
        <v>47</v>
      </c>
      <c r="K386">
        <f t="shared" ref="K386:K449" si="110">I386*64+J386</f>
        <v>3183</v>
      </c>
      <c r="M386" t="b">
        <f t="shared" si="98"/>
        <v>0</v>
      </c>
      <c r="N386" t="b">
        <f t="shared" si="99"/>
        <v>1</v>
      </c>
      <c r="O386" t="b">
        <f t="shared" si="100"/>
        <v>0</v>
      </c>
      <c r="P386" t="b">
        <f t="shared" si="101"/>
        <v>0</v>
      </c>
      <c r="Q386" t="b">
        <f t="shared" si="102"/>
        <v>0</v>
      </c>
      <c r="R386" t="b">
        <f t="shared" si="103"/>
        <v>1</v>
      </c>
      <c r="S386" t="b">
        <f t="shared" si="104"/>
        <v>0</v>
      </c>
      <c r="T386" t="b">
        <f t="shared" si="105"/>
        <v>0</v>
      </c>
      <c r="U386" t="b">
        <f t="shared" si="106"/>
        <v>1</v>
      </c>
      <c r="V386" t="b">
        <f t="shared" si="107"/>
        <v>0</v>
      </c>
    </row>
    <row r="387" spans="1:22" x14ac:dyDescent="0.35">
      <c r="A387" s="2">
        <v>3265</v>
      </c>
      <c r="B387" s="2">
        <f t="shared" ref="B387:B450" si="111">QUOTIENT(A387,64)</f>
        <v>51</v>
      </c>
      <c r="C387" s="2">
        <f t="shared" ref="C387:C450" si="112">MOD(A387,64)</f>
        <v>1</v>
      </c>
      <c r="D387" s="1" t="s">
        <v>232</v>
      </c>
      <c r="E387" t="str">
        <f t="shared" ref="E387:E450" si="113">MID(D387,13,4)</f>
        <v>1001</v>
      </c>
      <c r="F387" t="str">
        <f t="shared" si="108"/>
        <v>110011</v>
      </c>
      <c r="G387" t="str">
        <f t="shared" si="109"/>
        <v>101100</v>
      </c>
      <c r="H387" t="str">
        <f>LOOKUP(E387,Lookups!$A$1:$A$16,Lookups!$B$1:$B$16)</f>
        <v>e</v>
      </c>
      <c r="I387">
        <f t="shared" ref="I387:I450" si="114">BIN2DEC(F387)</f>
        <v>51</v>
      </c>
      <c r="J387">
        <f t="shared" ref="J387:J450" si="115">BIN2DEC(G387)</f>
        <v>44</v>
      </c>
      <c r="K387">
        <f t="shared" si="110"/>
        <v>3308</v>
      </c>
      <c r="M387" t="b">
        <f t="shared" ref="M387:M449" si="116">IF(H387="z", TRUE,FALSE)</f>
        <v>0</v>
      </c>
      <c r="N387" t="b">
        <f t="shared" ref="N387:N449" si="117">IF(AND(I387,60),TRUE,FALSE)</f>
        <v>1</v>
      </c>
      <c r="O387" t="b">
        <f t="shared" ref="O387:O449" si="118">IF(AND(M387,N387),TRUE,FALSE)</f>
        <v>0</v>
      </c>
      <c r="P387" t="b">
        <f t="shared" ref="P387:P449" si="119">IF(I387=0,TRUE, FALSE)</f>
        <v>0</v>
      </c>
      <c r="Q387" t="b">
        <f t="shared" ref="Q387:Q449" si="120">IF(AND(M387,P387),TRUE,FALSE)</f>
        <v>0</v>
      </c>
      <c r="R387" t="b">
        <f t="shared" ref="R387:R449" si="121">IF(J387&lt;&gt;0,TRUE,FALSE)</f>
        <v>1</v>
      </c>
      <c r="S387" t="b">
        <f t="shared" ref="S387:S449" si="122">IF(AND(M387,R387),TRUE,FALSE)</f>
        <v>0</v>
      </c>
      <c r="T387" t="b">
        <f t="shared" ref="T387:T449" si="123">IF(AND(OR(O387,Q387),NOT(S387)),TRUE,FALSE)</f>
        <v>0</v>
      </c>
      <c r="U387" t="b">
        <f t="shared" ref="U387:U449" si="124">IF(AND(A387,COUNTIF($K$2:$K$449,A387)),TRUE,FALSE)</f>
        <v>0</v>
      </c>
      <c r="V387" t="b">
        <f t="shared" ref="V387:V449" si="125">IF(AND(T387,U387),TRUE,FALSE)</f>
        <v>0</v>
      </c>
    </row>
    <row r="388" spans="1:22" x14ac:dyDescent="0.35">
      <c r="A388" s="2">
        <v>3266</v>
      </c>
      <c r="B388" s="2">
        <f t="shared" si="111"/>
        <v>51</v>
      </c>
      <c r="C388" s="2">
        <f t="shared" si="112"/>
        <v>2</v>
      </c>
      <c r="D388" s="1" t="s">
        <v>233</v>
      </c>
      <c r="E388" t="str">
        <f t="shared" si="113"/>
        <v>1010</v>
      </c>
      <c r="F388" t="str">
        <f t="shared" si="108"/>
        <v>110011</v>
      </c>
      <c r="G388" t="str">
        <f t="shared" si="109"/>
        <v>000011</v>
      </c>
      <c r="H388" t="str">
        <f>LOOKUP(E388,Lookups!$A$1:$A$16,Lookups!$B$1:$B$16)</f>
        <v>u</v>
      </c>
      <c r="I388">
        <f t="shared" si="114"/>
        <v>51</v>
      </c>
      <c r="J388">
        <f t="shared" si="115"/>
        <v>3</v>
      </c>
      <c r="K388">
        <f t="shared" si="110"/>
        <v>3267</v>
      </c>
      <c r="M388" t="b">
        <f t="shared" si="116"/>
        <v>0</v>
      </c>
      <c r="N388" t="b">
        <f t="shared" si="117"/>
        <v>1</v>
      </c>
      <c r="O388" t="b">
        <f t="shared" si="118"/>
        <v>0</v>
      </c>
      <c r="P388" t="b">
        <f t="shared" si="119"/>
        <v>0</v>
      </c>
      <c r="Q388" t="b">
        <f t="shared" si="120"/>
        <v>0</v>
      </c>
      <c r="R388" t="b">
        <f t="shared" si="121"/>
        <v>1</v>
      </c>
      <c r="S388" t="b">
        <f t="shared" si="122"/>
        <v>0</v>
      </c>
      <c r="T388" t="b">
        <f t="shared" si="123"/>
        <v>0</v>
      </c>
      <c r="U388" t="b">
        <f t="shared" si="124"/>
        <v>0</v>
      </c>
      <c r="V388" t="b">
        <f t="shared" si="125"/>
        <v>0</v>
      </c>
    </row>
    <row r="389" spans="1:22" x14ac:dyDescent="0.35">
      <c r="A389" s="2">
        <v>3267</v>
      </c>
      <c r="B389" s="2">
        <f t="shared" si="111"/>
        <v>51</v>
      </c>
      <c r="C389" s="2">
        <f t="shared" si="112"/>
        <v>3</v>
      </c>
      <c r="D389" s="1" t="s">
        <v>234</v>
      </c>
      <c r="E389" t="str">
        <f t="shared" si="113"/>
        <v>1111</v>
      </c>
      <c r="F389" t="str">
        <f t="shared" si="108"/>
        <v>110011</v>
      </c>
      <c r="G389" t="str">
        <f t="shared" si="109"/>
        <v>100111</v>
      </c>
      <c r="H389" t="str">
        <f>LOOKUP(E389,Lookups!$A$1:$A$16,Lookups!$B$1:$B$16)</f>
        <v>s</v>
      </c>
      <c r="I389">
        <f t="shared" si="114"/>
        <v>51</v>
      </c>
      <c r="J389">
        <f t="shared" si="115"/>
        <v>39</v>
      </c>
      <c r="K389">
        <f t="shared" si="110"/>
        <v>3303</v>
      </c>
      <c r="M389" t="b">
        <f t="shared" si="116"/>
        <v>0</v>
      </c>
      <c r="N389" t="b">
        <f t="shared" si="117"/>
        <v>1</v>
      </c>
      <c r="O389" t="b">
        <f t="shared" si="118"/>
        <v>0</v>
      </c>
      <c r="P389" t="b">
        <f t="shared" si="119"/>
        <v>0</v>
      </c>
      <c r="Q389" t="b">
        <f t="shared" si="120"/>
        <v>0</v>
      </c>
      <c r="R389" t="b">
        <f t="shared" si="121"/>
        <v>1</v>
      </c>
      <c r="S389" t="b">
        <f t="shared" si="122"/>
        <v>0</v>
      </c>
      <c r="T389" t="b">
        <f t="shared" si="123"/>
        <v>0</v>
      </c>
      <c r="U389" t="b">
        <f t="shared" si="124"/>
        <v>1</v>
      </c>
      <c r="V389" t="b">
        <f t="shared" si="125"/>
        <v>0</v>
      </c>
    </row>
    <row r="390" spans="1:22" x14ac:dyDescent="0.35">
      <c r="A390" s="2">
        <v>3268</v>
      </c>
      <c r="B390" s="2">
        <f t="shared" si="111"/>
        <v>51</v>
      </c>
      <c r="C390" s="2">
        <f t="shared" si="112"/>
        <v>4</v>
      </c>
      <c r="D390" s="1" t="s">
        <v>235</v>
      </c>
      <c r="E390" t="str">
        <f t="shared" si="113"/>
        <v>1011</v>
      </c>
      <c r="F390" t="str">
        <f t="shared" si="108"/>
        <v>110011</v>
      </c>
      <c r="G390" t="str">
        <f t="shared" si="109"/>
        <v>010100</v>
      </c>
      <c r="H390" t="str">
        <f>LOOKUP(E390,Lookups!$A$1:$A$16,Lookups!$B$1:$B$16)</f>
        <v>t</v>
      </c>
      <c r="I390">
        <f t="shared" si="114"/>
        <v>51</v>
      </c>
      <c r="J390">
        <f t="shared" si="115"/>
        <v>20</v>
      </c>
      <c r="K390">
        <f t="shared" si="110"/>
        <v>3284</v>
      </c>
      <c r="M390" t="b">
        <f t="shared" si="116"/>
        <v>0</v>
      </c>
      <c r="N390" t="b">
        <f t="shared" si="117"/>
        <v>1</v>
      </c>
      <c r="O390" t="b">
        <f t="shared" si="118"/>
        <v>0</v>
      </c>
      <c r="P390" t="b">
        <f t="shared" si="119"/>
        <v>0</v>
      </c>
      <c r="Q390" t="b">
        <f t="shared" si="120"/>
        <v>0</v>
      </c>
      <c r="R390" t="b">
        <f t="shared" si="121"/>
        <v>1</v>
      </c>
      <c r="S390" t="b">
        <f t="shared" si="122"/>
        <v>0</v>
      </c>
      <c r="T390" t="b">
        <f t="shared" si="123"/>
        <v>0</v>
      </c>
      <c r="U390" t="b">
        <f t="shared" si="124"/>
        <v>0</v>
      </c>
      <c r="V390" t="b">
        <f t="shared" si="125"/>
        <v>0</v>
      </c>
    </row>
    <row r="391" spans="1:22" x14ac:dyDescent="0.35">
      <c r="A391" s="2">
        <v>3269</v>
      </c>
      <c r="B391" s="2">
        <f t="shared" si="111"/>
        <v>51</v>
      </c>
      <c r="C391" s="2">
        <f t="shared" si="112"/>
        <v>5</v>
      </c>
      <c r="D391" s="1" t="s">
        <v>236</v>
      </c>
      <c r="E391" t="str">
        <f t="shared" si="113"/>
        <v>1010</v>
      </c>
      <c r="F391" t="str">
        <f t="shared" si="108"/>
        <v>110011</v>
      </c>
      <c r="G391" t="str">
        <f t="shared" si="109"/>
        <v>010001</v>
      </c>
      <c r="H391" t="str">
        <f>LOOKUP(E391,Lookups!$A$1:$A$16,Lookups!$B$1:$B$16)</f>
        <v>u</v>
      </c>
      <c r="I391">
        <f t="shared" si="114"/>
        <v>51</v>
      </c>
      <c r="J391">
        <f t="shared" si="115"/>
        <v>17</v>
      </c>
      <c r="K391">
        <f t="shared" si="110"/>
        <v>3281</v>
      </c>
      <c r="M391" t="b">
        <f t="shared" si="116"/>
        <v>0</v>
      </c>
      <c r="N391" t="b">
        <f t="shared" si="117"/>
        <v>1</v>
      </c>
      <c r="O391" t="b">
        <f t="shared" si="118"/>
        <v>0</v>
      </c>
      <c r="P391" t="b">
        <f t="shared" si="119"/>
        <v>0</v>
      </c>
      <c r="Q391" t="b">
        <f t="shared" si="120"/>
        <v>0</v>
      </c>
      <c r="R391" t="b">
        <f t="shared" si="121"/>
        <v>1</v>
      </c>
      <c r="S391" t="b">
        <f t="shared" si="122"/>
        <v>0</v>
      </c>
      <c r="T391" t="b">
        <f t="shared" si="123"/>
        <v>0</v>
      </c>
      <c r="U391" t="b">
        <f t="shared" si="124"/>
        <v>0</v>
      </c>
      <c r="V391" t="b">
        <f t="shared" si="125"/>
        <v>0</v>
      </c>
    </row>
    <row r="392" spans="1:22" x14ac:dyDescent="0.35">
      <c r="A392" s="2">
        <v>3270</v>
      </c>
      <c r="B392" s="2">
        <f t="shared" si="111"/>
        <v>51</v>
      </c>
      <c r="C392" s="2">
        <f t="shared" si="112"/>
        <v>6</v>
      </c>
      <c r="D392" s="1" t="s">
        <v>237</v>
      </c>
      <c r="E392" t="str">
        <f t="shared" si="113"/>
        <v>0000</v>
      </c>
      <c r="F392" t="str">
        <f t="shared" si="108"/>
        <v>000000</v>
      </c>
      <c r="G392" t="str">
        <f t="shared" si="109"/>
        <v>000000</v>
      </c>
      <c r="H392" t="str">
        <f>LOOKUP(E392,Lookups!$A$1:$A$16,Lookups!$B$1:$B$16)</f>
        <v>z</v>
      </c>
      <c r="I392">
        <f t="shared" si="114"/>
        <v>0</v>
      </c>
      <c r="J392">
        <f t="shared" si="115"/>
        <v>0</v>
      </c>
      <c r="K392">
        <f t="shared" si="110"/>
        <v>0</v>
      </c>
      <c r="M392" t="b">
        <f t="shared" si="116"/>
        <v>1</v>
      </c>
      <c r="N392" t="b">
        <f t="shared" si="117"/>
        <v>0</v>
      </c>
      <c r="O392" t="b">
        <f t="shared" si="118"/>
        <v>0</v>
      </c>
      <c r="P392" t="b">
        <f t="shared" si="119"/>
        <v>1</v>
      </c>
      <c r="Q392" t="b">
        <f t="shared" si="120"/>
        <v>1</v>
      </c>
      <c r="R392" t="b">
        <f t="shared" si="121"/>
        <v>0</v>
      </c>
      <c r="S392" t="b">
        <f t="shared" si="122"/>
        <v>0</v>
      </c>
      <c r="T392" t="b">
        <f t="shared" si="123"/>
        <v>1</v>
      </c>
      <c r="U392" t="b">
        <f t="shared" si="124"/>
        <v>1</v>
      </c>
      <c r="V392" t="b">
        <f t="shared" si="125"/>
        <v>1</v>
      </c>
    </row>
    <row r="393" spans="1:22" x14ac:dyDescent="0.35">
      <c r="A393" s="2">
        <v>3271</v>
      </c>
      <c r="B393" s="2">
        <f t="shared" si="111"/>
        <v>51</v>
      </c>
      <c r="C393" s="2">
        <f t="shared" si="112"/>
        <v>7</v>
      </c>
      <c r="D393" s="1" t="s">
        <v>238</v>
      </c>
      <c r="E393" t="str">
        <f t="shared" si="113"/>
        <v>1110</v>
      </c>
      <c r="F393" t="str">
        <f t="shared" si="108"/>
        <v>000000</v>
      </c>
      <c r="G393" t="str">
        <f t="shared" si="109"/>
        <v>000000</v>
      </c>
      <c r="H393" t="str">
        <f>LOOKUP(E393,Lookups!$A$1:$A$16,Lookups!$B$1:$B$16)</f>
        <v>a</v>
      </c>
      <c r="I393">
        <f t="shared" si="114"/>
        <v>0</v>
      </c>
      <c r="J393">
        <f t="shared" si="115"/>
        <v>0</v>
      </c>
      <c r="K393">
        <f t="shared" si="110"/>
        <v>0</v>
      </c>
      <c r="M393" t="b">
        <f t="shared" si="116"/>
        <v>0</v>
      </c>
      <c r="N393" t="b">
        <f t="shared" si="117"/>
        <v>0</v>
      </c>
      <c r="O393" t="b">
        <f t="shared" si="118"/>
        <v>0</v>
      </c>
      <c r="P393" t="b">
        <f t="shared" si="119"/>
        <v>1</v>
      </c>
      <c r="Q393" t="b">
        <f t="shared" si="120"/>
        <v>0</v>
      </c>
      <c r="R393" t="b">
        <f t="shared" si="121"/>
        <v>0</v>
      </c>
      <c r="S393" t="b">
        <f t="shared" si="122"/>
        <v>0</v>
      </c>
      <c r="T393" t="b">
        <f t="shared" si="123"/>
        <v>0</v>
      </c>
      <c r="U393" t="b">
        <f t="shared" si="124"/>
        <v>1</v>
      </c>
      <c r="V393" t="b">
        <f t="shared" si="125"/>
        <v>0</v>
      </c>
    </row>
    <row r="394" spans="1:22" x14ac:dyDescent="0.35">
      <c r="A394" s="2">
        <v>3272</v>
      </c>
      <c r="B394" s="2">
        <f t="shared" si="111"/>
        <v>51</v>
      </c>
      <c r="C394" s="2">
        <f t="shared" si="112"/>
        <v>8</v>
      </c>
      <c r="D394" s="1" t="s">
        <v>239</v>
      </c>
      <c r="E394" t="str">
        <f t="shared" si="113"/>
        <v>0000</v>
      </c>
      <c r="F394" t="str">
        <f t="shared" si="108"/>
        <v>000000</v>
      </c>
      <c r="G394" t="str">
        <f t="shared" si="109"/>
        <v>000000</v>
      </c>
      <c r="H394" t="str">
        <f>LOOKUP(E394,Lookups!$A$1:$A$16,Lookups!$B$1:$B$16)</f>
        <v>z</v>
      </c>
      <c r="I394">
        <f t="shared" si="114"/>
        <v>0</v>
      </c>
      <c r="J394">
        <f t="shared" si="115"/>
        <v>0</v>
      </c>
      <c r="K394">
        <f t="shared" si="110"/>
        <v>0</v>
      </c>
      <c r="M394" t="b">
        <f t="shared" si="116"/>
        <v>1</v>
      </c>
      <c r="N394" t="b">
        <f t="shared" si="117"/>
        <v>0</v>
      </c>
      <c r="O394" t="b">
        <f t="shared" si="118"/>
        <v>0</v>
      </c>
      <c r="P394" t="b">
        <f t="shared" si="119"/>
        <v>1</v>
      </c>
      <c r="Q394" t="b">
        <f t="shared" si="120"/>
        <v>1</v>
      </c>
      <c r="R394" t="b">
        <f t="shared" si="121"/>
        <v>0</v>
      </c>
      <c r="S394" t="b">
        <f t="shared" si="122"/>
        <v>0</v>
      </c>
      <c r="T394" t="b">
        <f t="shared" si="123"/>
        <v>1</v>
      </c>
      <c r="U394" t="b">
        <f t="shared" si="124"/>
        <v>1</v>
      </c>
      <c r="V394" t="b">
        <f t="shared" si="125"/>
        <v>1</v>
      </c>
    </row>
    <row r="395" spans="1:22" x14ac:dyDescent="0.35">
      <c r="A395" s="2">
        <v>3273</v>
      </c>
      <c r="B395" s="2">
        <f t="shared" si="111"/>
        <v>51</v>
      </c>
      <c r="C395" s="2">
        <f t="shared" si="112"/>
        <v>9</v>
      </c>
      <c r="D395" s="1" t="s">
        <v>240</v>
      </c>
      <c r="E395" t="str">
        <f t="shared" si="113"/>
        <v>0000</v>
      </c>
      <c r="F395" t="str">
        <f t="shared" si="108"/>
        <v>111111</v>
      </c>
      <c r="G395" t="str">
        <f t="shared" si="109"/>
        <v>000000</v>
      </c>
      <c r="H395" t="str">
        <f>LOOKUP(E395,Lookups!$A$1:$A$16,Lookups!$B$1:$B$16)</f>
        <v>z</v>
      </c>
      <c r="I395">
        <f t="shared" si="114"/>
        <v>63</v>
      </c>
      <c r="J395">
        <f t="shared" si="115"/>
        <v>0</v>
      </c>
      <c r="K395">
        <f t="shared" si="110"/>
        <v>4032</v>
      </c>
      <c r="M395" t="b">
        <f t="shared" si="116"/>
        <v>1</v>
      </c>
      <c r="N395" t="b">
        <f t="shared" si="117"/>
        <v>1</v>
      </c>
      <c r="O395" t="b">
        <f t="shared" si="118"/>
        <v>1</v>
      </c>
      <c r="P395" t="b">
        <f t="shared" si="119"/>
        <v>0</v>
      </c>
      <c r="Q395" t="b">
        <f t="shared" si="120"/>
        <v>0</v>
      </c>
      <c r="R395" t="b">
        <f t="shared" si="121"/>
        <v>0</v>
      </c>
      <c r="S395" t="b">
        <f t="shared" si="122"/>
        <v>0</v>
      </c>
      <c r="T395" t="b">
        <f t="shared" si="123"/>
        <v>1</v>
      </c>
      <c r="U395" t="b">
        <f t="shared" si="124"/>
        <v>1</v>
      </c>
      <c r="V395" t="b">
        <f t="shared" si="125"/>
        <v>1</v>
      </c>
    </row>
    <row r="396" spans="1:22" x14ac:dyDescent="0.35">
      <c r="A396" s="2">
        <v>3274</v>
      </c>
      <c r="B396" s="2">
        <f t="shared" si="111"/>
        <v>51</v>
      </c>
      <c r="C396" s="2">
        <f t="shared" si="112"/>
        <v>10</v>
      </c>
      <c r="D396" s="1" t="s">
        <v>241</v>
      </c>
      <c r="E396" t="str">
        <f t="shared" si="113"/>
        <v>1000</v>
      </c>
      <c r="F396" t="str">
        <f t="shared" si="108"/>
        <v>000000</v>
      </c>
      <c r="G396" t="str">
        <f t="shared" si="109"/>
        <v>011010</v>
      </c>
      <c r="H396" t="str">
        <f>LOOKUP(E396,Lookups!$A$1:$A$16,Lookups!$B$1:$B$16)</f>
        <v>p</v>
      </c>
      <c r="I396">
        <f t="shared" si="114"/>
        <v>0</v>
      </c>
      <c r="J396">
        <f t="shared" si="115"/>
        <v>26</v>
      </c>
      <c r="K396">
        <f t="shared" si="110"/>
        <v>26</v>
      </c>
      <c r="M396" t="b">
        <f t="shared" si="116"/>
        <v>0</v>
      </c>
      <c r="N396" t="b">
        <f t="shared" si="117"/>
        <v>0</v>
      </c>
      <c r="O396" t="b">
        <f t="shared" si="118"/>
        <v>0</v>
      </c>
      <c r="P396" t="b">
        <f t="shared" si="119"/>
        <v>1</v>
      </c>
      <c r="Q396" t="b">
        <f t="shared" si="120"/>
        <v>0</v>
      </c>
      <c r="R396" t="b">
        <f t="shared" si="121"/>
        <v>1</v>
      </c>
      <c r="S396" t="b">
        <f t="shared" si="122"/>
        <v>0</v>
      </c>
      <c r="T396" t="b">
        <f t="shared" si="123"/>
        <v>0</v>
      </c>
      <c r="U396" t="b">
        <f t="shared" si="124"/>
        <v>1</v>
      </c>
      <c r="V396" t="b">
        <f t="shared" si="125"/>
        <v>0</v>
      </c>
    </row>
    <row r="397" spans="1:22" x14ac:dyDescent="0.35">
      <c r="A397" s="2">
        <v>3275</v>
      </c>
      <c r="B397" s="2">
        <f t="shared" si="111"/>
        <v>51</v>
      </c>
      <c r="C397" s="2">
        <f t="shared" si="112"/>
        <v>11</v>
      </c>
      <c r="D397" s="1" t="s">
        <v>191</v>
      </c>
      <c r="E397" t="str">
        <f t="shared" si="113"/>
        <v>0000</v>
      </c>
      <c r="F397" t="str">
        <f t="shared" si="108"/>
        <v>000000</v>
      </c>
      <c r="G397" t="str">
        <f t="shared" si="109"/>
        <v>000011</v>
      </c>
      <c r="H397" t="str">
        <f>LOOKUP(E397,Lookups!$A$1:$A$16,Lookups!$B$1:$B$16)</f>
        <v>z</v>
      </c>
      <c r="I397">
        <f t="shared" si="114"/>
        <v>0</v>
      </c>
      <c r="J397">
        <f t="shared" si="115"/>
        <v>3</v>
      </c>
      <c r="K397">
        <f t="shared" si="110"/>
        <v>3</v>
      </c>
      <c r="M397" t="b">
        <f t="shared" si="116"/>
        <v>1</v>
      </c>
      <c r="N397" t="b">
        <f t="shared" si="117"/>
        <v>0</v>
      </c>
      <c r="O397" t="b">
        <f t="shared" si="118"/>
        <v>0</v>
      </c>
      <c r="P397" t="b">
        <f t="shared" si="119"/>
        <v>1</v>
      </c>
      <c r="Q397" t="b">
        <f t="shared" si="120"/>
        <v>1</v>
      </c>
      <c r="R397" t="b">
        <f t="shared" si="121"/>
        <v>1</v>
      </c>
      <c r="S397" t="b">
        <f t="shared" si="122"/>
        <v>1</v>
      </c>
      <c r="T397" t="b">
        <f t="shared" si="123"/>
        <v>0</v>
      </c>
      <c r="U397" t="b">
        <f t="shared" si="124"/>
        <v>1</v>
      </c>
      <c r="V397" t="b">
        <f t="shared" si="125"/>
        <v>0</v>
      </c>
    </row>
    <row r="398" spans="1:22" x14ac:dyDescent="0.35">
      <c r="A398" s="2">
        <v>3276</v>
      </c>
      <c r="B398" s="2">
        <f t="shared" si="111"/>
        <v>51</v>
      </c>
      <c r="C398" s="2">
        <f t="shared" si="112"/>
        <v>12</v>
      </c>
      <c r="D398" s="1" t="s">
        <v>88</v>
      </c>
      <c r="E398" t="str">
        <f t="shared" si="113"/>
        <v>0000</v>
      </c>
      <c r="F398" t="str">
        <f t="shared" si="108"/>
        <v>000000</v>
      </c>
      <c r="G398" t="str">
        <f t="shared" si="109"/>
        <v>000001</v>
      </c>
      <c r="H398" t="str">
        <f>LOOKUP(E398,Lookups!$A$1:$A$16,Lookups!$B$1:$B$16)</f>
        <v>z</v>
      </c>
      <c r="I398">
        <f t="shared" si="114"/>
        <v>0</v>
      </c>
      <c r="J398">
        <f t="shared" si="115"/>
        <v>1</v>
      </c>
      <c r="K398">
        <f t="shared" si="110"/>
        <v>1</v>
      </c>
      <c r="M398" t="b">
        <f t="shared" si="116"/>
        <v>1</v>
      </c>
      <c r="N398" t="b">
        <f t="shared" si="117"/>
        <v>0</v>
      </c>
      <c r="O398" t="b">
        <f t="shared" si="118"/>
        <v>0</v>
      </c>
      <c r="P398" t="b">
        <f t="shared" si="119"/>
        <v>1</v>
      </c>
      <c r="Q398" t="b">
        <f t="shared" si="120"/>
        <v>1</v>
      </c>
      <c r="R398" t="b">
        <f t="shared" si="121"/>
        <v>1</v>
      </c>
      <c r="S398" t="b">
        <f t="shared" si="122"/>
        <v>1</v>
      </c>
      <c r="T398" t="b">
        <f t="shared" si="123"/>
        <v>0</v>
      </c>
      <c r="U398" t="b">
        <f t="shared" si="124"/>
        <v>1</v>
      </c>
      <c r="V398" t="b">
        <f t="shared" si="125"/>
        <v>0</v>
      </c>
    </row>
    <row r="399" spans="1:22" x14ac:dyDescent="0.35">
      <c r="A399" s="2">
        <v>3277</v>
      </c>
      <c r="B399" s="2">
        <f t="shared" si="111"/>
        <v>51</v>
      </c>
      <c r="C399" s="2">
        <f t="shared" si="112"/>
        <v>13</v>
      </c>
      <c r="D399" s="1" t="s">
        <v>88</v>
      </c>
      <c r="E399" t="str">
        <f t="shared" si="113"/>
        <v>0000</v>
      </c>
      <c r="F399" t="str">
        <f t="shared" si="108"/>
        <v>000000</v>
      </c>
      <c r="G399" t="str">
        <f t="shared" si="109"/>
        <v>000001</v>
      </c>
      <c r="H399" t="str">
        <f>LOOKUP(E399,Lookups!$A$1:$A$16,Lookups!$B$1:$B$16)</f>
        <v>z</v>
      </c>
      <c r="I399">
        <f t="shared" si="114"/>
        <v>0</v>
      </c>
      <c r="J399">
        <f t="shared" si="115"/>
        <v>1</v>
      </c>
      <c r="K399">
        <f t="shared" si="110"/>
        <v>1</v>
      </c>
      <c r="M399" t="b">
        <f t="shared" si="116"/>
        <v>1</v>
      </c>
      <c r="N399" t="b">
        <f t="shared" si="117"/>
        <v>0</v>
      </c>
      <c r="O399" t="b">
        <f t="shared" si="118"/>
        <v>0</v>
      </c>
      <c r="P399" t="b">
        <f t="shared" si="119"/>
        <v>1</v>
      </c>
      <c r="Q399" t="b">
        <f t="shared" si="120"/>
        <v>1</v>
      </c>
      <c r="R399" t="b">
        <f t="shared" si="121"/>
        <v>1</v>
      </c>
      <c r="S399" t="b">
        <f t="shared" si="122"/>
        <v>1</v>
      </c>
      <c r="T399" t="b">
        <f t="shared" si="123"/>
        <v>0</v>
      </c>
      <c r="U399" t="b">
        <f t="shared" si="124"/>
        <v>1</v>
      </c>
      <c r="V399" t="b">
        <f t="shared" si="125"/>
        <v>0</v>
      </c>
    </row>
    <row r="400" spans="1:22" x14ac:dyDescent="0.35">
      <c r="A400" s="2">
        <v>3278</v>
      </c>
      <c r="B400" s="2">
        <f t="shared" si="111"/>
        <v>51</v>
      </c>
      <c r="C400" s="2">
        <f t="shared" si="112"/>
        <v>14</v>
      </c>
      <c r="D400" s="1" t="s">
        <v>242</v>
      </c>
      <c r="E400" t="str">
        <f t="shared" si="113"/>
        <v>0001</v>
      </c>
      <c r="F400" t="str">
        <f t="shared" si="108"/>
        <v>110011</v>
      </c>
      <c r="G400" t="str">
        <f t="shared" si="109"/>
        <v>000000</v>
      </c>
      <c r="H400" t="str">
        <f>LOOKUP(E400,Lookups!$A$1:$A$16,Lookups!$B$1:$B$16)</f>
        <v>b</v>
      </c>
      <c r="I400">
        <f t="shared" si="114"/>
        <v>51</v>
      </c>
      <c r="J400">
        <f t="shared" si="115"/>
        <v>0</v>
      </c>
      <c r="K400">
        <f t="shared" si="110"/>
        <v>3264</v>
      </c>
      <c r="M400" t="b">
        <f t="shared" si="116"/>
        <v>0</v>
      </c>
      <c r="N400" t="b">
        <f t="shared" si="117"/>
        <v>1</v>
      </c>
      <c r="O400" t="b">
        <f t="shared" si="118"/>
        <v>0</v>
      </c>
      <c r="P400" t="b">
        <f t="shared" si="119"/>
        <v>0</v>
      </c>
      <c r="Q400" t="b">
        <f t="shared" si="120"/>
        <v>0</v>
      </c>
      <c r="R400" t="b">
        <f t="shared" si="121"/>
        <v>0</v>
      </c>
      <c r="S400" t="b">
        <f t="shared" si="122"/>
        <v>0</v>
      </c>
      <c r="T400" t="b">
        <f t="shared" si="123"/>
        <v>0</v>
      </c>
      <c r="U400" t="b">
        <f t="shared" si="124"/>
        <v>1</v>
      </c>
      <c r="V400" t="b">
        <f t="shared" si="125"/>
        <v>0</v>
      </c>
    </row>
    <row r="401" spans="1:22" x14ac:dyDescent="0.35">
      <c r="A401" s="2">
        <v>3279</v>
      </c>
      <c r="B401" s="2">
        <f t="shared" si="111"/>
        <v>51</v>
      </c>
      <c r="C401" s="2">
        <f t="shared" si="112"/>
        <v>15</v>
      </c>
      <c r="D401" s="1" t="s">
        <v>243</v>
      </c>
      <c r="E401" t="str">
        <f t="shared" si="113"/>
        <v>1110</v>
      </c>
      <c r="F401" t="str">
        <f t="shared" si="108"/>
        <v>110011</v>
      </c>
      <c r="G401" t="str">
        <f t="shared" si="109"/>
        <v>110011</v>
      </c>
      <c r="H401" t="str">
        <f>LOOKUP(E401,Lookups!$A$1:$A$16,Lookups!$B$1:$B$16)</f>
        <v>a</v>
      </c>
      <c r="I401">
        <f t="shared" si="114"/>
        <v>51</v>
      </c>
      <c r="J401">
        <f t="shared" si="115"/>
        <v>51</v>
      </c>
      <c r="K401">
        <f t="shared" si="110"/>
        <v>3315</v>
      </c>
      <c r="M401" t="b">
        <f t="shared" si="116"/>
        <v>0</v>
      </c>
      <c r="N401" t="b">
        <f t="shared" si="117"/>
        <v>1</v>
      </c>
      <c r="O401" t="b">
        <f t="shared" si="118"/>
        <v>0</v>
      </c>
      <c r="P401" t="b">
        <f t="shared" si="119"/>
        <v>0</v>
      </c>
      <c r="Q401" t="b">
        <f t="shared" si="120"/>
        <v>0</v>
      </c>
      <c r="R401" t="b">
        <f t="shared" si="121"/>
        <v>1</v>
      </c>
      <c r="S401" t="b">
        <f t="shared" si="122"/>
        <v>0</v>
      </c>
      <c r="T401" t="b">
        <f t="shared" si="123"/>
        <v>0</v>
      </c>
      <c r="U401" t="b">
        <f t="shared" si="124"/>
        <v>0</v>
      </c>
      <c r="V401" t="b">
        <f t="shared" si="125"/>
        <v>0</v>
      </c>
    </row>
    <row r="402" spans="1:22" x14ac:dyDescent="0.35">
      <c r="A402" s="2">
        <v>3280</v>
      </c>
      <c r="B402" s="2">
        <f t="shared" si="111"/>
        <v>51</v>
      </c>
      <c r="C402" s="2">
        <f t="shared" si="112"/>
        <v>16</v>
      </c>
      <c r="D402" s="1" t="s">
        <v>244</v>
      </c>
      <c r="E402" t="str">
        <f t="shared" si="113"/>
        <v>1010</v>
      </c>
      <c r="F402" t="str">
        <f t="shared" si="108"/>
        <v>110011</v>
      </c>
      <c r="G402" t="str">
        <f t="shared" si="109"/>
        <v>101010</v>
      </c>
      <c r="H402" t="str">
        <f>LOOKUP(E402,Lookups!$A$1:$A$16,Lookups!$B$1:$B$16)</f>
        <v>u</v>
      </c>
      <c r="I402">
        <f t="shared" si="114"/>
        <v>51</v>
      </c>
      <c r="J402">
        <f t="shared" si="115"/>
        <v>42</v>
      </c>
      <c r="K402">
        <f t="shared" si="110"/>
        <v>3306</v>
      </c>
      <c r="M402" t="b">
        <f t="shared" si="116"/>
        <v>0</v>
      </c>
      <c r="N402" t="b">
        <f t="shared" si="117"/>
        <v>1</v>
      </c>
      <c r="O402" t="b">
        <f t="shared" si="118"/>
        <v>0</v>
      </c>
      <c r="P402" t="b">
        <f t="shared" si="119"/>
        <v>0</v>
      </c>
      <c r="Q402" t="b">
        <f t="shared" si="120"/>
        <v>0</v>
      </c>
      <c r="R402" t="b">
        <f t="shared" si="121"/>
        <v>1</v>
      </c>
      <c r="S402" t="b">
        <f t="shared" si="122"/>
        <v>0</v>
      </c>
      <c r="T402" t="b">
        <f t="shared" si="123"/>
        <v>0</v>
      </c>
      <c r="U402" t="b">
        <f t="shared" si="124"/>
        <v>0</v>
      </c>
      <c r="V402" t="b">
        <f t="shared" si="125"/>
        <v>0</v>
      </c>
    </row>
    <row r="403" spans="1:22" x14ac:dyDescent="0.35">
      <c r="A403" s="2">
        <v>3281</v>
      </c>
      <c r="B403" s="2">
        <f t="shared" si="111"/>
        <v>51</v>
      </c>
      <c r="C403" s="2">
        <f t="shared" si="112"/>
        <v>17</v>
      </c>
      <c r="D403" s="1" t="s">
        <v>245</v>
      </c>
      <c r="E403" t="str">
        <f t="shared" si="113"/>
        <v>0001</v>
      </c>
      <c r="F403" t="str">
        <f t="shared" si="108"/>
        <v>110011</v>
      </c>
      <c r="G403" t="str">
        <f t="shared" si="109"/>
        <v>110011</v>
      </c>
      <c r="H403" t="str">
        <f>LOOKUP(E403,Lookups!$A$1:$A$16,Lookups!$B$1:$B$16)</f>
        <v>b</v>
      </c>
      <c r="I403">
        <f t="shared" si="114"/>
        <v>51</v>
      </c>
      <c r="J403">
        <f t="shared" si="115"/>
        <v>51</v>
      </c>
      <c r="K403">
        <f t="shared" si="110"/>
        <v>3315</v>
      </c>
      <c r="M403" t="b">
        <f t="shared" si="116"/>
        <v>0</v>
      </c>
      <c r="N403" t="b">
        <f t="shared" si="117"/>
        <v>1</v>
      </c>
      <c r="O403" t="b">
        <f t="shared" si="118"/>
        <v>0</v>
      </c>
      <c r="P403" t="b">
        <f t="shared" si="119"/>
        <v>0</v>
      </c>
      <c r="Q403" t="b">
        <f t="shared" si="120"/>
        <v>0</v>
      </c>
      <c r="R403" t="b">
        <f t="shared" si="121"/>
        <v>1</v>
      </c>
      <c r="S403" t="b">
        <f t="shared" si="122"/>
        <v>0</v>
      </c>
      <c r="T403" t="b">
        <f t="shared" si="123"/>
        <v>0</v>
      </c>
      <c r="U403" t="b">
        <f t="shared" si="124"/>
        <v>1</v>
      </c>
      <c r="V403" t="b">
        <f t="shared" si="125"/>
        <v>0</v>
      </c>
    </row>
    <row r="404" spans="1:22" x14ac:dyDescent="0.35">
      <c r="A404" s="2">
        <v>3282</v>
      </c>
      <c r="B404" s="2">
        <f t="shared" si="111"/>
        <v>51</v>
      </c>
      <c r="C404" s="2">
        <f t="shared" si="112"/>
        <v>18</v>
      </c>
      <c r="D404" s="1" t="s">
        <v>246</v>
      </c>
      <c r="E404" t="str">
        <f t="shared" si="113"/>
        <v>1110</v>
      </c>
      <c r="F404" t="str">
        <f t="shared" si="108"/>
        <v>110011</v>
      </c>
      <c r="G404" t="str">
        <f t="shared" si="109"/>
        <v>000000</v>
      </c>
      <c r="H404" t="str">
        <f>LOOKUP(E404,Lookups!$A$1:$A$16,Lookups!$B$1:$B$16)</f>
        <v>a</v>
      </c>
      <c r="I404">
        <f t="shared" si="114"/>
        <v>51</v>
      </c>
      <c r="J404">
        <f t="shared" si="115"/>
        <v>0</v>
      </c>
      <c r="K404">
        <f t="shared" si="110"/>
        <v>3264</v>
      </c>
      <c r="M404" t="b">
        <f t="shared" si="116"/>
        <v>0</v>
      </c>
      <c r="N404" t="b">
        <f t="shared" si="117"/>
        <v>1</v>
      </c>
      <c r="O404" t="b">
        <f t="shared" si="118"/>
        <v>0</v>
      </c>
      <c r="P404" t="b">
        <f t="shared" si="119"/>
        <v>0</v>
      </c>
      <c r="Q404" t="b">
        <f t="shared" si="120"/>
        <v>0</v>
      </c>
      <c r="R404" t="b">
        <f t="shared" si="121"/>
        <v>0</v>
      </c>
      <c r="S404" t="b">
        <f t="shared" si="122"/>
        <v>0</v>
      </c>
      <c r="T404" t="b">
        <f t="shared" si="123"/>
        <v>0</v>
      </c>
      <c r="U404" t="b">
        <f t="shared" si="124"/>
        <v>0</v>
      </c>
      <c r="V404" t="b">
        <f t="shared" si="125"/>
        <v>0</v>
      </c>
    </row>
    <row r="405" spans="1:22" x14ac:dyDescent="0.35">
      <c r="A405" s="2">
        <v>3283</v>
      </c>
      <c r="B405" s="2">
        <f t="shared" si="111"/>
        <v>51</v>
      </c>
      <c r="C405" s="2">
        <f t="shared" si="112"/>
        <v>19</v>
      </c>
      <c r="D405" s="1" t="s">
        <v>247</v>
      </c>
      <c r="E405" t="str">
        <f t="shared" si="113"/>
        <v>1010</v>
      </c>
      <c r="F405" t="str">
        <f t="shared" si="108"/>
        <v>110011</v>
      </c>
      <c r="G405" t="str">
        <f t="shared" si="109"/>
        <v>111000</v>
      </c>
      <c r="H405" t="str">
        <f>LOOKUP(E405,Lookups!$A$1:$A$16,Lookups!$B$1:$B$16)</f>
        <v>u</v>
      </c>
      <c r="I405">
        <f t="shared" si="114"/>
        <v>51</v>
      </c>
      <c r="J405">
        <f t="shared" si="115"/>
        <v>56</v>
      </c>
      <c r="K405">
        <f t="shared" si="110"/>
        <v>3320</v>
      </c>
      <c r="M405" t="b">
        <f t="shared" si="116"/>
        <v>0</v>
      </c>
      <c r="N405" t="b">
        <f t="shared" si="117"/>
        <v>1</v>
      </c>
      <c r="O405" t="b">
        <f t="shared" si="118"/>
        <v>0</v>
      </c>
      <c r="P405" t="b">
        <f t="shared" si="119"/>
        <v>0</v>
      </c>
      <c r="Q405" t="b">
        <f t="shared" si="120"/>
        <v>0</v>
      </c>
      <c r="R405" t="b">
        <f t="shared" si="121"/>
        <v>1</v>
      </c>
      <c r="S405" t="b">
        <f t="shared" si="122"/>
        <v>0</v>
      </c>
      <c r="T405" t="b">
        <f t="shared" si="123"/>
        <v>0</v>
      </c>
      <c r="U405" t="b">
        <f t="shared" si="124"/>
        <v>0</v>
      </c>
      <c r="V405" t="b">
        <f t="shared" si="125"/>
        <v>0</v>
      </c>
    </row>
    <row r="406" spans="1:22" x14ac:dyDescent="0.35">
      <c r="A406" s="2">
        <v>3284</v>
      </c>
      <c r="B406" s="2">
        <f t="shared" si="111"/>
        <v>51</v>
      </c>
      <c r="C406" s="2">
        <f t="shared" si="112"/>
        <v>20</v>
      </c>
      <c r="D406" s="1" t="s">
        <v>248</v>
      </c>
      <c r="E406" t="str">
        <f t="shared" si="113"/>
        <v>1110</v>
      </c>
      <c r="F406" t="str">
        <f t="shared" si="108"/>
        <v>110011</v>
      </c>
      <c r="G406" t="str">
        <f t="shared" si="109"/>
        <v>000110</v>
      </c>
      <c r="H406" t="str">
        <f>LOOKUP(E406,Lookups!$A$1:$A$16,Lookups!$B$1:$B$16)</f>
        <v>a</v>
      </c>
      <c r="I406">
        <f t="shared" si="114"/>
        <v>51</v>
      </c>
      <c r="J406">
        <f t="shared" si="115"/>
        <v>6</v>
      </c>
      <c r="K406">
        <f t="shared" si="110"/>
        <v>3270</v>
      </c>
      <c r="M406" t="b">
        <f t="shared" si="116"/>
        <v>0</v>
      </c>
      <c r="N406" t="b">
        <f t="shared" si="117"/>
        <v>1</v>
      </c>
      <c r="O406" t="b">
        <f t="shared" si="118"/>
        <v>0</v>
      </c>
      <c r="P406" t="b">
        <f t="shared" si="119"/>
        <v>0</v>
      </c>
      <c r="Q406" t="b">
        <f t="shared" si="120"/>
        <v>0</v>
      </c>
      <c r="R406" t="b">
        <f t="shared" si="121"/>
        <v>1</v>
      </c>
      <c r="S406" t="b">
        <f t="shared" si="122"/>
        <v>0</v>
      </c>
      <c r="T406" t="b">
        <f t="shared" si="123"/>
        <v>0</v>
      </c>
      <c r="U406" t="b">
        <f t="shared" si="124"/>
        <v>1</v>
      </c>
      <c r="V406" t="b">
        <f t="shared" si="125"/>
        <v>0</v>
      </c>
    </row>
    <row r="407" spans="1:22" x14ac:dyDescent="0.35">
      <c r="A407" s="2">
        <v>3285</v>
      </c>
      <c r="B407" s="2">
        <f t="shared" si="111"/>
        <v>51</v>
      </c>
      <c r="C407" s="2">
        <f t="shared" si="112"/>
        <v>21</v>
      </c>
      <c r="D407" s="1" t="s">
        <v>249</v>
      </c>
      <c r="E407" t="str">
        <f t="shared" si="113"/>
        <v>1100</v>
      </c>
      <c r="F407" t="str">
        <f t="shared" si="108"/>
        <v>110011</v>
      </c>
      <c r="G407" t="str">
        <f t="shared" si="109"/>
        <v>000111</v>
      </c>
      <c r="H407" t="str">
        <f>LOOKUP(E407,Lookups!$A$1:$A$16,Lookups!$B$1:$B$16)</f>
        <v>h</v>
      </c>
      <c r="I407">
        <f t="shared" si="114"/>
        <v>51</v>
      </c>
      <c r="J407">
        <f t="shared" si="115"/>
        <v>7</v>
      </c>
      <c r="K407">
        <f t="shared" si="110"/>
        <v>3271</v>
      </c>
      <c r="M407" t="b">
        <f t="shared" si="116"/>
        <v>0</v>
      </c>
      <c r="N407" t="b">
        <f t="shared" si="117"/>
        <v>1</v>
      </c>
      <c r="O407" t="b">
        <f t="shared" si="118"/>
        <v>0</v>
      </c>
      <c r="P407" t="b">
        <f t="shared" si="119"/>
        <v>0</v>
      </c>
      <c r="Q407" t="b">
        <f t="shared" si="120"/>
        <v>0</v>
      </c>
      <c r="R407" t="b">
        <f t="shared" si="121"/>
        <v>1</v>
      </c>
      <c r="S407" t="b">
        <f t="shared" si="122"/>
        <v>0</v>
      </c>
      <c r="T407" t="b">
        <f t="shared" si="123"/>
        <v>0</v>
      </c>
      <c r="U407" t="b">
        <f t="shared" si="124"/>
        <v>0</v>
      </c>
      <c r="V407" t="b">
        <f t="shared" si="125"/>
        <v>0</v>
      </c>
    </row>
    <row r="408" spans="1:22" x14ac:dyDescent="0.35">
      <c r="A408" s="2">
        <v>3286</v>
      </c>
      <c r="B408" s="2">
        <f t="shared" si="111"/>
        <v>51</v>
      </c>
      <c r="C408" s="2">
        <f t="shared" si="112"/>
        <v>22</v>
      </c>
      <c r="D408" s="1" t="s">
        <v>250</v>
      </c>
      <c r="E408" t="str">
        <f t="shared" si="113"/>
        <v>0111</v>
      </c>
      <c r="F408" t="str">
        <f t="shared" si="108"/>
        <v>110011</v>
      </c>
      <c r="G408" t="str">
        <f t="shared" si="109"/>
        <v>001000</v>
      </c>
      <c r="H408" t="str">
        <f>LOOKUP(E408,Lookups!$A$1:$A$16,Lookups!$B$1:$B$16)</f>
        <v>m</v>
      </c>
      <c r="I408">
        <f t="shared" si="114"/>
        <v>51</v>
      </c>
      <c r="J408">
        <f t="shared" si="115"/>
        <v>8</v>
      </c>
      <c r="K408">
        <f t="shared" si="110"/>
        <v>3272</v>
      </c>
      <c r="M408" t="b">
        <f t="shared" si="116"/>
        <v>0</v>
      </c>
      <c r="N408" t="b">
        <f t="shared" si="117"/>
        <v>1</v>
      </c>
      <c r="O408" t="b">
        <f t="shared" si="118"/>
        <v>0</v>
      </c>
      <c r="P408" t="b">
        <f t="shared" si="119"/>
        <v>0</v>
      </c>
      <c r="Q408" t="b">
        <f t="shared" si="120"/>
        <v>0</v>
      </c>
      <c r="R408" t="b">
        <f t="shared" si="121"/>
        <v>1</v>
      </c>
      <c r="S408" t="b">
        <f t="shared" si="122"/>
        <v>0</v>
      </c>
      <c r="T408" t="b">
        <f t="shared" si="123"/>
        <v>0</v>
      </c>
      <c r="U408" t="b">
        <f t="shared" si="124"/>
        <v>0</v>
      </c>
      <c r="V408" t="b">
        <f t="shared" si="125"/>
        <v>0</v>
      </c>
    </row>
    <row r="409" spans="1:22" x14ac:dyDescent="0.35">
      <c r="A409" s="2">
        <v>3287</v>
      </c>
      <c r="B409" s="2">
        <f t="shared" si="111"/>
        <v>51</v>
      </c>
      <c r="C409" s="2">
        <f t="shared" si="112"/>
        <v>23</v>
      </c>
      <c r="D409" s="1" t="s">
        <v>251</v>
      </c>
      <c r="E409" t="str">
        <f t="shared" si="113"/>
        <v>1001</v>
      </c>
      <c r="F409" t="str">
        <f t="shared" si="108"/>
        <v>110011</v>
      </c>
      <c r="G409" t="str">
        <f t="shared" si="109"/>
        <v>001001</v>
      </c>
      <c r="H409" t="str">
        <f>LOOKUP(E409,Lookups!$A$1:$A$16,Lookups!$B$1:$B$16)</f>
        <v>e</v>
      </c>
      <c r="I409">
        <f t="shared" si="114"/>
        <v>51</v>
      </c>
      <c r="J409">
        <f t="shared" si="115"/>
        <v>9</v>
      </c>
      <c r="K409">
        <f t="shared" si="110"/>
        <v>3273</v>
      </c>
      <c r="M409" t="b">
        <f t="shared" si="116"/>
        <v>0</v>
      </c>
      <c r="N409" t="b">
        <f t="shared" si="117"/>
        <v>1</v>
      </c>
      <c r="O409" t="b">
        <f t="shared" si="118"/>
        <v>0</v>
      </c>
      <c r="P409" t="b">
        <f t="shared" si="119"/>
        <v>0</v>
      </c>
      <c r="Q409" t="b">
        <f t="shared" si="120"/>
        <v>0</v>
      </c>
      <c r="R409" t="b">
        <f t="shared" si="121"/>
        <v>1</v>
      </c>
      <c r="S409" t="b">
        <f t="shared" si="122"/>
        <v>0</v>
      </c>
      <c r="T409" t="b">
        <f t="shared" si="123"/>
        <v>0</v>
      </c>
      <c r="U409" t="b">
        <f t="shared" si="124"/>
        <v>0</v>
      </c>
      <c r="V409" t="b">
        <f t="shared" si="125"/>
        <v>0</v>
      </c>
    </row>
    <row r="410" spans="1:22" x14ac:dyDescent="0.35">
      <c r="A410" s="2">
        <v>3288</v>
      </c>
      <c r="B410" s="2">
        <f t="shared" si="111"/>
        <v>51</v>
      </c>
      <c r="C410" s="2">
        <f t="shared" si="112"/>
        <v>24</v>
      </c>
      <c r="D410" s="1" t="s">
        <v>252</v>
      </c>
      <c r="E410" t="str">
        <f t="shared" si="113"/>
        <v>1110</v>
      </c>
      <c r="F410" t="str">
        <f t="shared" si="108"/>
        <v>110011</v>
      </c>
      <c r="G410" t="str">
        <f t="shared" si="109"/>
        <v>001010</v>
      </c>
      <c r="H410" t="str">
        <f>LOOKUP(E410,Lookups!$A$1:$A$16,Lookups!$B$1:$B$16)</f>
        <v>a</v>
      </c>
      <c r="I410">
        <f t="shared" si="114"/>
        <v>51</v>
      </c>
      <c r="J410">
        <f t="shared" si="115"/>
        <v>10</v>
      </c>
      <c r="K410">
        <f t="shared" si="110"/>
        <v>3274</v>
      </c>
      <c r="M410" t="b">
        <f t="shared" si="116"/>
        <v>0</v>
      </c>
      <c r="N410" t="b">
        <f t="shared" si="117"/>
        <v>1</v>
      </c>
      <c r="O410" t="b">
        <f t="shared" si="118"/>
        <v>0</v>
      </c>
      <c r="P410" t="b">
        <f t="shared" si="119"/>
        <v>0</v>
      </c>
      <c r="Q410" t="b">
        <f t="shared" si="120"/>
        <v>0</v>
      </c>
      <c r="R410" t="b">
        <f t="shared" si="121"/>
        <v>1</v>
      </c>
      <c r="S410" t="b">
        <f t="shared" si="122"/>
        <v>0</v>
      </c>
      <c r="T410" t="b">
        <f t="shared" si="123"/>
        <v>0</v>
      </c>
      <c r="U410" t="b">
        <f t="shared" si="124"/>
        <v>0</v>
      </c>
      <c r="V410" t="b">
        <f t="shared" si="125"/>
        <v>0</v>
      </c>
    </row>
    <row r="411" spans="1:22" x14ac:dyDescent="0.35">
      <c r="A411" s="2">
        <v>3289</v>
      </c>
      <c r="B411" s="2">
        <f t="shared" si="111"/>
        <v>51</v>
      </c>
      <c r="C411" s="2">
        <f t="shared" si="112"/>
        <v>25</v>
      </c>
      <c r="D411" s="1" t="s">
        <v>253</v>
      </c>
      <c r="E411" t="str">
        <f t="shared" si="113"/>
        <v>1101</v>
      </c>
      <c r="F411" t="str">
        <f t="shared" si="108"/>
        <v>110011</v>
      </c>
      <c r="G411" t="str">
        <f t="shared" si="109"/>
        <v>101111</v>
      </c>
      <c r="H411" t="str">
        <f>LOOKUP(E411,Lookups!$A$1:$A$16,Lookups!$B$1:$B$16)</f>
        <v>c</v>
      </c>
      <c r="I411">
        <f t="shared" si="114"/>
        <v>51</v>
      </c>
      <c r="J411">
        <f t="shared" si="115"/>
        <v>47</v>
      </c>
      <c r="K411">
        <f t="shared" si="110"/>
        <v>3311</v>
      </c>
      <c r="M411" t="b">
        <f t="shared" si="116"/>
        <v>0</v>
      </c>
      <c r="N411" t="b">
        <f t="shared" si="117"/>
        <v>1</v>
      </c>
      <c r="O411" t="b">
        <f t="shared" si="118"/>
        <v>0</v>
      </c>
      <c r="P411" t="b">
        <f t="shared" si="119"/>
        <v>0</v>
      </c>
      <c r="Q411" t="b">
        <f t="shared" si="120"/>
        <v>0</v>
      </c>
      <c r="R411" t="b">
        <f t="shared" si="121"/>
        <v>1</v>
      </c>
      <c r="S411" t="b">
        <f t="shared" si="122"/>
        <v>0</v>
      </c>
      <c r="T411" t="b">
        <f t="shared" si="123"/>
        <v>0</v>
      </c>
      <c r="U411" t="b">
        <f t="shared" si="124"/>
        <v>0</v>
      </c>
      <c r="V411" t="b">
        <f t="shared" si="125"/>
        <v>0</v>
      </c>
    </row>
    <row r="412" spans="1:22" x14ac:dyDescent="0.35">
      <c r="A412" s="2">
        <v>3290</v>
      </c>
      <c r="B412" s="2">
        <f t="shared" si="111"/>
        <v>51</v>
      </c>
      <c r="C412" s="2">
        <f t="shared" si="112"/>
        <v>26</v>
      </c>
      <c r="D412" s="1" t="s">
        <v>254</v>
      </c>
      <c r="E412" t="str">
        <f t="shared" si="113"/>
        <v>1010</v>
      </c>
      <c r="F412" t="str">
        <f t="shared" si="108"/>
        <v>110011</v>
      </c>
      <c r="G412" t="str">
        <f t="shared" si="109"/>
        <v>001110</v>
      </c>
      <c r="H412" t="str">
        <f>LOOKUP(E412,Lookups!$A$1:$A$16,Lookups!$B$1:$B$16)</f>
        <v>u</v>
      </c>
      <c r="I412">
        <f t="shared" si="114"/>
        <v>51</v>
      </c>
      <c r="J412">
        <f t="shared" si="115"/>
        <v>14</v>
      </c>
      <c r="K412">
        <f t="shared" si="110"/>
        <v>3278</v>
      </c>
      <c r="M412" t="b">
        <f t="shared" si="116"/>
        <v>0</v>
      </c>
      <c r="N412" t="b">
        <f t="shared" si="117"/>
        <v>1</v>
      </c>
      <c r="O412" t="b">
        <f t="shared" si="118"/>
        <v>0</v>
      </c>
      <c r="P412" t="b">
        <f t="shared" si="119"/>
        <v>0</v>
      </c>
      <c r="Q412" t="b">
        <f t="shared" si="120"/>
        <v>0</v>
      </c>
      <c r="R412" t="b">
        <f t="shared" si="121"/>
        <v>1</v>
      </c>
      <c r="S412" t="b">
        <f t="shared" si="122"/>
        <v>0</v>
      </c>
      <c r="T412" t="b">
        <f t="shared" si="123"/>
        <v>0</v>
      </c>
      <c r="U412" t="b">
        <f t="shared" si="124"/>
        <v>0</v>
      </c>
      <c r="V412" t="b">
        <f t="shared" si="125"/>
        <v>0</v>
      </c>
    </row>
    <row r="413" spans="1:22" x14ac:dyDescent="0.35">
      <c r="A413" s="2">
        <v>3291</v>
      </c>
      <c r="B413" s="2">
        <f t="shared" si="111"/>
        <v>51</v>
      </c>
      <c r="C413" s="2">
        <f t="shared" si="112"/>
        <v>27</v>
      </c>
      <c r="D413" s="1" t="s">
        <v>248</v>
      </c>
      <c r="E413" t="str">
        <f t="shared" si="113"/>
        <v>1110</v>
      </c>
      <c r="F413" t="str">
        <f t="shared" si="108"/>
        <v>110011</v>
      </c>
      <c r="G413" t="str">
        <f t="shared" si="109"/>
        <v>000110</v>
      </c>
      <c r="H413" t="str">
        <f>LOOKUP(E413,Lookups!$A$1:$A$16,Lookups!$B$1:$B$16)</f>
        <v>a</v>
      </c>
      <c r="I413">
        <f t="shared" si="114"/>
        <v>51</v>
      </c>
      <c r="J413">
        <f t="shared" si="115"/>
        <v>6</v>
      </c>
      <c r="K413">
        <f t="shared" si="110"/>
        <v>3270</v>
      </c>
      <c r="M413" t="b">
        <f t="shared" si="116"/>
        <v>0</v>
      </c>
      <c r="N413" t="b">
        <f t="shared" si="117"/>
        <v>1</v>
      </c>
      <c r="O413" t="b">
        <f t="shared" si="118"/>
        <v>0</v>
      </c>
      <c r="P413" t="b">
        <f t="shared" si="119"/>
        <v>0</v>
      </c>
      <c r="Q413" t="b">
        <f t="shared" si="120"/>
        <v>0</v>
      </c>
      <c r="R413" t="b">
        <f t="shared" si="121"/>
        <v>1</v>
      </c>
      <c r="S413" t="b">
        <f t="shared" si="122"/>
        <v>0</v>
      </c>
      <c r="T413" t="b">
        <f t="shared" si="123"/>
        <v>0</v>
      </c>
      <c r="U413" t="b">
        <f t="shared" si="124"/>
        <v>1</v>
      </c>
      <c r="V413" t="b">
        <f t="shared" si="125"/>
        <v>0</v>
      </c>
    </row>
    <row r="414" spans="1:22" x14ac:dyDescent="0.35">
      <c r="A414" s="2">
        <v>3292</v>
      </c>
      <c r="B414" s="2">
        <f t="shared" si="111"/>
        <v>51</v>
      </c>
      <c r="C414" s="2">
        <f t="shared" si="112"/>
        <v>28</v>
      </c>
      <c r="D414" s="1" t="s">
        <v>249</v>
      </c>
      <c r="E414" t="str">
        <f t="shared" si="113"/>
        <v>1100</v>
      </c>
      <c r="F414" t="str">
        <f t="shared" si="108"/>
        <v>110011</v>
      </c>
      <c r="G414" t="str">
        <f t="shared" si="109"/>
        <v>000111</v>
      </c>
      <c r="H414" t="str">
        <f>LOOKUP(E414,Lookups!$A$1:$A$16,Lookups!$B$1:$B$16)</f>
        <v>h</v>
      </c>
      <c r="I414">
        <f t="shared" si="114"/>
        <v>51</v>
      </c>
      <c r="J414">
        <f t="shared" si="115"/>
        <v>7</v>
      </c>
      <c r="K414">
        <f t="shared" si="110"/>
        <v>3271</v>
      </c>
      <c r="M414" t="b">
        <f t="shared" si="116"/>
        <v>0</v>
      </c>
      <c r="N414" t="b">
        <f t="shared" si="117"/>
        <v>1</v>
      </c>
      <c r="O414" t="b">
        <f t="shared" si="118"/>
        <v>0</v>
      </c>
      <c r="P414" t="b">
        <f t="shared" si="119"/>
        <v>0</v>
      </c>
      <c r="Q414" t="b">
        <f t="shared" si="120"/>
        <v>0</v>
      </c>
      <c r="R414" t="b">
        <f t="shared" si="121"/>
        <v>1</v>
      </c>
      <c r="S414" t="b">
        <f t="shared" si="122"/>
        <v>0</v>
      </c>
      <c r="T414" t="b">
        <f t="shared" si="123"/>
        <v>0</v>
      </c>
      <c r="U414" t="b">
        <f t="shared" si="124"/>
        <v>0</v>
      </c>
      <c r="V414" t="b">
        <f t="shared" si="125"/>
        <v>0</v>
      </c>
    </row>
    <row r="415" spans="1:22" x14ac:dyDescent="0.35">
      <c r="A415" s="2">
        <v>3293</v>
      </c>
      <c r="B415" s="2">
        <f t="shared" si="111"/>
        <v>51</v>
      </c>
      <c r="C415" s="2">
        <f t="shared" si="112"/>
        <v>29</v>
      </c>
      <c r="D415" s="1" t="s">
        <v>250</v>
      </c>
      <c r="E415" t="str">
        <f t="shared" si="113"/>
        <v>0111</v>
      </c>
      <c r="F415" t="str">
        <f t="shared" si="108"/>
        <v>110011</v>
      </c>
      <c r="G415" t="str">
        <f t="shared" si="109"/>
        <v>001000</v>
      </c>
      <c r="H415" t="str">
        <f>LOOKUP(E415,Lookups!$A$1:$A$16,Lookups!$B$1:$B$16)</f>
        <v>m</v>
      </c>
      <c r="I415">
        <f t="shared" si="114"/>
        <v>51</v>
      </c>
      <c r="J415">
        <f t="shared" si="115"/>
        <v>8</v>
      </c>
      <c r="K415">
        <f t="shared" si="110"/>
        <v>3272</v>
      </c>
      <c r="M415" t="b">
        <f t="shared" si="116"/>
        <v>0</v>
      </c>
      <c r="N415" t="b">
        <f t="shared" si="117"/>
        <v>1</v>
      </c>
      <c r="O415" t="b">
        <f t="shared" si="118"/>
        <v>0</v>
      </c>
      <c r="P415" t="b">
        <f t="shared" si="119"/>
        <v>0</v>
      </c>
      <c r="Q415" t="b">
        <f t="shared" si="120"/>
        <v>0</v>
      </c>
      <c r="R415" t="b">
        <f t="shared" si="121"/>
        <v>1</v>
      </c>
      <c r="S415" t="b">
        <f t="shared" si="122"/>
        <v>0</v>
      </c>
      <c r="T415" t="b">
        <f t="shared" si="123"/>
        <v>0</v>
      </c>
      <c r="U415" t="b">
        <f t="shared" si="124"/>
        <v>0</v>
      </c>
      <c r="V415" t="b">
        <f t="shared" si="125"/>
        <v>0</v>
      </c>
    </row>
    <row r="416" spans="1:22" x14ac:dyDescent="0.35">
      <c r="A416" s="2">
        <v>3294</v>
      </c>
      <c r="B416" s="2">
        <f t="shared" si="111"/>
        <v>51</v>
      </c>
      <c r="C416" s="2">
        <f t="shared" si="112"/>
        <v>30</v>
      </c>
      <c r="D416" s="1" t="s">
        <v>251</v>
      </c>
      <c r="E416" t="str">
        <f t="shared" si="113"/>
        <v>1001</v>
      </c>
      <c r="F416" t="str">
        <f t="shared" si="108"/>
        <v>110011</v>
      </c>
      <c r="G416" t="str">
        <f t="shared" si="109"/>
        <v>001001</v>
      </c>
      <c r="H416" t="str">
        <f>LOOKUP(E416,Lookups!$A$1:$A$16,Lookups!$B$1:$B$16)</f>
        <v>e</v>
      </c>
      <c r="I416">
        <f t="shared" si="114"/>
        <v>51</v>
      </c>
      <c r="J416">
        <f t="shared" si="115"/>
        <v>9</v>
      </c>
      <c r="K416">
        <f t="shared" si="110"/>
        <v>3273</v>
      </c>
      <c r="M416" t="b">
        <f t="shared" si="116"/>
        <v>0</v>
      </c>
      <c r="N416" t="b">
        <f t="shared" si="117"/>
        <v>1</v>
      </c>
      <c r="O416" t="b">
        <f t="shared" si="118"/>
        <v>0</v>
      </c>
      <c r="P416" t="b">
        <f t="shared" si="119"/>
        <v>0</v>
      </c>
      <c r="Q416" t="b">
        <f t="shared" si="120"/>
        <v>0</v>
      </c>
      <c r="R416" t="b">
        <f t="shared" si="121"/>
        <v>1</v>
      </c>
      <c r="S416" t="b">
        <f t="shared" si="122"/>
        <v>0</v>
      </c>
      <c r="T416" t="b">
        <f t="shared" si="123"/>
        <v>0</v>
      </c>
      <c r="U416" t="b">
        <f t="shared" si="124"/>
        <v>0</v>
      </c>
      <c r="V416" t="b">
        <f t="shared" si="125"/>
        <v>0</v>
      </c>
    </row>
    <row r="417" spans="1:22" x14ac:dyDescent="0.35">
      <c r="A417" s="2">
        <v>3295</v>
      </c>
      <c r="B417" s="2">
        <f t="shared" si="111"/>
        <v>51</v>
      </c>
      <c r="C417" s="2">
        <f t="shared" si="112"/>
        <v>31</v>
      </c>
      <c r="D417" s="1" t="s">
        <v>252</v>
      </c>
      <c r="E417" t="str">
        <f t="shared" si="113"/>
        <v>1110</v>
      </c>
      <c r="F417" t="str">
        <f t="shared" si="108"/>
        <v>110011</v>
      </c>
      <c r="G417" t="str">
        <f t="shared" si="109"/>
        <v>001010</v>
      </c>
      <c r="H417" t="str">
        <f>LOOKUP(E417,Lookups!$A$1:$A$16,Lookups!$B$1:$B$16)</f>
        <v>a</v>
      </c>
      <c r="I417">
        <f t="shared" si="114"/>
        <v>51</v>
      </c>
      <c r="J417">
        <f t="shared" si="115"/>
        <v>10</v>
      </c>
      <c r="K417">
        <f t="shared" si="110"/>
        <v>3274</v>
      </c>
      <c r="M417" t="b">
        <f t="shared" si="116"/>
        <v>0</v>
      </c>
      <c r="N417" t="b">
        <f t="shared" si="117"/>
        <v>1</v>
      </c>
      <c r="O417" t="b">
        <f t="shared" si="118"/>
        <v>0</v>
      </c>
      <c r="P417" t="b">
        <f t="shared" si="119"/>
        <v>0</v>
      </c>
      <c r="Q417" t="b">
        <f t="shared" si="120"/>
        <v>0</v>
      </c>
      <c r="R417" t="b">
        <f t="shared" si="121"/>
        <v>1</v>
      </c>
      <c r="S417" t="b">
        <f t="shared" si="122"/>
        <v>0</v>
      </c>
      <c r="T417" t="b">
        <f t="shared" si="123"/>
        <v>0</v>
      </c>
      <c r="U417" t="b">
        <f t="shared" si="124"/>
        <v>0</v>
      </c>
      <c r="V417" t="b">
        <f t="shared" si="125"/>
        <v>0</v>
      </c>
    </row>
    <row r="418" spans="1:22" x14ac:dyDescent="0.35">
      <c r="A418" s="2">
        <v>3296</v>
      </c>
      <c r="B418" s="2">
        <f t="shared" si="111"/>
        <v>51</v>
      </c>
      <c r="C418" s="2">
        <f t="shared" si="112"/>
        <v>32</v>
      </c>
      <c r="D418" s="1" t="s">
        <v>253</v>
      </c>
      <c r="E418" t="str">
        <f t="shared" si="113"/>
        <v>1101</v>
      </c>
      <c r="F418" t="str">
        <f t="shared" si="108"/>
        <v>110011</v>
      </c>
      <c r="G418" t="str">
        <f t="shared" si="109"/>
        <v>101111</v>
      </c>
      <c r="H418" t="str">
        <f>LOOKUP(E418,Lookups!$A$1:$A$16,Lookups!$B$1:$B$16)</f>
        <v>c</v>
      </c>
      <c r="I418">
        <f t="shared" si="114"/>
        <v>51</v>
      </c>
      <c r="J418">
        <f t="shared" si="115"/>
        <v>47</v>
      </c>
      <c r="K418">
        <f t="shared" si="110"/>
        <v>3311</v>
      </c>
      <c r="M418" t="b">
        <f t="shared" si="116"/>
        <v>0</v>
      </c>
      <c r="N418" t="b">
        <f t="shared" si="117"/>
        <v>1</v>
      </c>
      <c r="O418" t="b">
        <f t="shared" si="118"/>
        <v>0</v>
      </c>
      <c r="P418" t="b">
        <f t="shared" si="119"/>
        <v>0</v>
      </c>
      <c r="Q418" t="b">
        <f t="shared" si="120"/>
        <v>0</v>
      </c>
      <c r="R418" t="b">
        <f t="shared" si="121"/>
        <v>1</v>
      </c>
      <c r="S418" t="b">
        <f t="shared" si="122"/>
        <v>0</v>
      </c>
      <c r="T418" t="b">
        <f t="shared" si="123"/>
        <v>0</v>
      </c>
      <c r="U418" t="b">
        <f t="shared" si="124"/>
        <v>0</v>
      </c>
      <c r="V418" t="b">
        <f t="shared" si="125"/>
        <v>0</v>
      </c>
    </row>
    <row r="419" spans="1:22" x14ac:dyDescent="0.35">
      <c r="A419" s="2">
        <v>3297</v>
      </c>
      <c r="B419" s="2">
        <f t="shared" si="111"/>
        <v>51</v>
      </c>
      <c r="C419" s="2">
        <f t="shared" si="112"/>
        <v>33</v>
      </c>
      <c r="D419" s="1" t="s">
        <v>255</v>
      </c>
      <c r="E419" t="str">
        <f t="shared" si="113"/>
        <v>1111</v>
      </c>
      <c r="F419" t="str">
        <f t="shared" si="108"/>
        <v>110011</v>
      </c>
      <c r="G419" t="str">
        <f t="shared" si="109"/>
        <v>001100</v>
      </c>
      <c r="H419" t="str">
        <f>LOOKUP(E419,Lookups!$A$1:$A$16,Lookups!$B$1:$B$16)</f>
        <v>s</v>
      </c>
      <c r="I419">
        <f t="shared" si="114"/>
        <v>51</v>
      </c>
      <c r="J419">
        <f t="shared" si="115"/>
        <v>12</v>
      </c>
      <c r="K419">
        <f t="shared" si="110"/>
        <v>3276</v>
      </c>
      <c r="M419" t="b">
        <f t="shared" si="116"/>
        <v>0</v>
      </c>
      <c r="N419" t="b">
        <f t="shared" si="117"/>
        <v>1</v>
      </c>
      <c r="O419" t="b">
        <f t="shared" si="118"/>
        <v>0</v>
      </c>
      <c r="P419" t="b">
        <f t="shared" si="119"/>
        <v>0</v>
      </c>
      <c r="Q419" t="b">
        <f t="shared" si="120"/>
        <v>0</v>
      </c>
      <c r="R419" t="b">
        <f t="shared" si="121"/>
        <v>1</v>
      </c>
      <c r="S419" t="b">
        <f t="shared" si="122"/>
        <v>0</v>
      </c>
      <c r="T419" t="b">
        <f t="shared" si="123"/>
        <v>0</v>
      </c>
      <c r="U419" t="b">
        <f t="shared" si="124"/>
        <v>0</v>
      </c>
      <c r="V419" t="b">
        <f t="shared" si="125"/>
        <v>0</v>
      </c>
    </row>
    <row r="420" spans="1:22" x14ac:dyDescent="0.35">
      <c r="A420" s="2">
        <v>3298</v>
      </c>
      <c r="B420" s="2">
        <f t="shared" si="111"/>
        <v>51</v>
      </c>
      <c r="C420" s="2">
        <f t="shared" si="112"/>
        <v>34</v>
      </c>
      <c r="D420" s="1" t="s">
        <v>256</v>
      </c>
      <c r="E420" t="str">
        <f t="shared" si="113"/>
        <v>1110</v>
      </c>
      <c r="F420" t="str">
        <f t="shared" si="108"/>
        <v>110011</v>
      </c>
      <c r="G420" t="str">
        <f t="shared" si="109"/>
        <v>001101</v>
      </c>
      <c r="H420" t="str">
        <f>LOOKUP(E420,Lookups!$A$1:$A$16,Lookups!$B$1:$B$16)</f>
        <v>a</v>
      </c>
      <c r="I420">
        <f t="shared" si="114"/>
        <v>51</v>
      </c>
      <c r="J420">
        <f t="shared" si="115"/>
        <v>13</v>
      </c>
      <c r="K420">
        <f t="shared" si="110"/>
        <v>3277</v>
      </c>
      <c r="M420" t="b">
        <f t="shared" si="116"/>
        <v>0</v>
      </c>
      <c r="N420" t="b">
        <f t="shared" si="117"/>
        <v>1</v>
      </c>
      <c r="O420" t="b">
        <f t="shared" si="118"/>
        <v>0</v>
      </c>
      <c r="P420" t="b">
        <f t="shared" si="119"/>
        <v>0</v>
      </c>
      <c r="Q420" t="b">
        <f t="shared" si="120"/>
        <v>0</v>
      </c>
      <c r="R420" t="b">
        <f t="shared" si="121"/>
        <v>1</v>
      </c>
      <c r="S420" t="b">
        <f t="shared" si="122"/>
        <v>0</v>
      </c>
      <c r="T420" t="b">
        <f t="shared" si="123"/>
        <v>0</v>
      </c>
      <c r="U420" t="b">
        <f t="shared" si="124"/>
        <v>0</v>
      </c>
      <c r="V420" t="b">
        <f t="shared" si="125"/>
        <v>0</v>
      </c>
    </row>
    <row r="421" spans="1:22" x14ac:dyDescent="0.35">
      <c r="A421" s="2">
        <v>3299</v>
      </c>
      <c r="B421" s="2">
        <f t="shared" si="111"/>
        <v>51</v>
      </c>
      <c r="C421" s="2">
        <f t="shared" si="112"/>
        <v>35</v>
      </c>
      <c r="D421" s="1" t="s">
        <v>119</v>
      </c>
      <c r="E421" t="str">
        <f t="shared" si="113"/>
        <v>0000</v>
      </c>
      <c r="F421" t="str">
        <f t="shared" si="108"/>
        <v>000000</v>
      </c>
      <c r="G421" t="str">
        <f t="shared" si="109"/>
        <v>000000</v>
      </c>
      <c r="H421" t="str">
        <f>LOOKUP(E421,Lookups!$A$1:$A$16,Lookups!$B$1:$B$16)</f>
        <v>z</v>
      </c>
      <c r="I421">
        <f t="shared" si="114"/>
        <v>0</v>
      </c>
      <c r="J421">
        <f t="shared" si="115"/>
        <v>0</v>
      </c>
      <c r="K421">
        <f t="shared" si="110"/>
        <v>0</v>
      </c>
      <c r="M421" t="b">
        <f t="shared" si="116"/>
        <v>1</v>
      </c>
      <c r="N421" t="b">
        <f t="shared" si="117"/>
        <v>0</v>
      </c>
      <c r="O421" t="b">
        <f t="shared" si="118"/>
        <v>0</v>
      </c>
      <c r="P421" t="b">
        <f t="shared" si="119"/>
        <v>1</v>
      </c>
      <c r="Q421" t="b">
        <f t="shared" si="120"/>
        <v>1</v>
      </c>
      <c r="R421" t="b">
        <f t="shared" si="121"/>
        <v>0</v>
      </c>
      <c r="S421" t="b">
        <f t="shared" si="122"/>
        <v>0</v>
      </c>
      <c r="T421" t="b">
        <f t="shared" si="123"/>
        <v>1</v>
      </c>
      <c r="U421" t="b">
        <f t="shared" si="124"/>
        <v>0</v>
      </c>
      <c r="V421" t="b">
        <f t="shared" si="125"/>
        <v>0</v>
      </c>
    </row>
    <row r="422" spans="1:22" x14ac:dyDescent="0.35">
      <c r="A422" s="2">
        <v>3300</v>
      </c>
      <c r="B422" s="2">
        <f t="shared" si="111"/>
        <v>51</v>
      </c>
      <c r="C422" s="2">
        <f t="shared" si="112"/>
        <v>36</v>
      </c>
      <c r="D422" s="1" t="s">
        <v>257</v>
      </c>
      <c r="E422" t="str">
        <f t="shared" si="113"/>
        <v>1011</v>
      </c>
      <c r="F422" t="str">
        <f t="shared" si="108"/>
        <v>110011</v>
      </c>
      <c r="G422" t="str">
        <f t="shared" si="109"/>
        <v>000000</v>
      </c>
      <c r="H422" t="str">
        <f>LOOKUP(E422,Lookups!$A$1:$A$16,Lookups!$B$1:$B$16)</f>
        <v>t</v>
      </c>
      <c r="I422">
        <f t="shared" si="114"/>
        <v>51</v>
      </c>
      <c r="J422">
        <f t="shared" si="115"/>
        <v>0</v>
      </c>
      <c r="K422">
        <f t="shared" si="110"/>
        <v>3264</v>
      </c>
      <c r="M422" t="b">
        <f t="shared" si="116"/>
        <v>0</v>
      </c>
      <c r="N422" t="b">
        <f t="shared" si="117"/>
        <v>1</v>
      </c>
      <c r="O422" t="b">
        <f t="shared" si="118"/>
        <v>0</v>
      </c>
      <c r="P422" t="b">
        <f t="shared" si="119"/>
        <v>0</v>
      </c>
      <c r="Q422" t="b">
        <f t="shared" si="120"/>
        <v>0</v>
      </c>
      <c r="R422" t="b">
        <f t="shared" si="121"/>
        <v>0</v>
      </c>
      <c r="S422" t="b">
        <f t="shared" si="122"/>
        <v>0</v>
      </c>
      <c r="T422" t="b">
        <f t="shared" si="123"/>
        <v>0</v>
      </c>
      <c r="U422" t="b">
        <f t="shared" si="124"/>
        <v>0</v>
      </c>
      <c r="V422" t="b">
        <f t="shared" si="125"/>
        <v>0</v>
      </c>
    </row>
    <row r="423" spans="1:22" x14ac:dyDescent="0.35">
      <c r="A423" s="2">
        <v>3301</v>
      </c>
      <c r="B423" s="2">
        <f t="shared" si="111"/>
        <v>51</v>
      </c>
      <c r="C423" s="2">
        <f t="shared" si="112"/>
        <v>37</v>
      </c>
      <c r="D423" s="1" t="s">
        <v>258</v>
      </c>
      <c r="E423" t="str">
        <f t="shared" si="113"/>
        <v>1010</v>
      </c>
      <c r="F423" t="str">
        <f t="shared" si="108"/>
        <v>110011</v>
      </c>
      <c r="G423" t="str">
        <f t="shared" si="109"/>
        <v>101111</v>
      </c>
      <c r="H423" t="str">
        <f>LOOKUP(E423,Lookups!$A$1:$A$16,Lookups!$B$1:$B$16)</f>
        <v>u</v>
      </c>
      <c r="I423">
        <f t="shared" si="114"/>
        <v>51</v>
      </c>
      <c r="J423">
        <f t="shared" si="115"/>
        <v>47</v>
      </c>
      <c r="K423">
        <f t="shared" si="110"/>
        <v>3311</v>
      </c>
      <c r="M423" t="b">
        <f t="shared" si="116"/>
        <v>0</v>
      </c>
      <c r="N423" t="b">
        <f t="shared" si="117"/>
        <v>1</v>
      </c>
      <c r="O423" t="b">
        <f t="shared" si="118"/>
        <v>0</v>
      </c>
      <c r="P423" t="b">
        <f t="shared" si="119"/>
        <v>0</v>
      </c>
      <c r="Q423" t="b">
        <f t="shared" si="120"/>
        <v>0</v>
      </c>
      <c r="R423" t="b">
        <f t="shared" si="121"/>
        <v>1</v>
      </c>
      <c r="S423" t="b">
        <f t="shared" si="122"/>
        <v>0</v>
      </c>
      <c r="T423" t="b">
        <f t="shared" si="123"/>
        <v>0</v>
      </c>
      <c r="U423" t="b">
        <f t="shared" si="124"/>
        <v>0</v>
      </c>
      <c r="V423" t="b">
        <f t="shared" si="125"/>
        <v>0</v>
      </c>
    </row>
    <row r="424" spans="1:22" x14ac:dyDescent="0.35">
      <c r="A424" s="2">
        <v>3302</v>
      </c>
      <c r="B424" s="2">
        <f t="shared" si="111"/>
        <v>51</v>
      </c>
      <c r="C424" s="2">
        <f t="shared" si="112"/>
        <v>38</v>
      </c>
      <c r="D424" s="1" t="s">
        <v>169</v>
      </c>
      <c r="E424" t="str">
        <f t="shared" si="113"/>
        <v>0000</v>
      </c>
      <c r="F424" t="str">
        <f t="shared" si="108"/>
        <v>000001</v>
      </c>
      <c r="G424" t="str">
        <f t="shared" si="109"/>
        <v>000000</v>
      </c>
      <c r="H424" t="str">
        <f>LOOKUP(E424,Lookups!$A$1:$A$16,Lookups!$B$1:$B$16)</f>
        <v>z</v>
      </c>
      <c r="I424">
        <f t="shared" si="114"/>
        <v>1</v>
      </c>
      <c r="J424">
        <f t="shared" si="115"/>
        <v>0</v>
      </c>
      <c r="K424">
        <f t="shared" si="110"/>
        <v>64</v>
      </c>
      <c r="M424" t="b">
        <f t="shared" si="116"/>
        <v>1</v>
      </c>
      <c r="N424" t="b">
        <f t="shared" si="117"/>
        <v>1</v>
      </c>
      <c r="O424" t="b">
        <f t="shared" si="118"/>
        <v>1</v>
      </c>
      <c r="P424" t="b">
        <f t="shared" si="119"/>
        <v>0</v>
      </c>
      <c r="Q424" t="b">
        <f t="shared" si="120"/>
        <v>0</v>
      </c>
      <c r="R424" t="b">
        <f t="shared" si="121"/>
        <v>0</v>
      </c>
      <c r="S424" t="b">
        <f t="shared" si="122"/>
        <v>0</v>
      </c>
      <c r="T424" t="b">
        <f t="shared" si="123"/>
        <v>1</v>
      </c>
      <c r="U424" t="b">
        <f t="shared" si="124"/>
        <v>1</v>
      </c>
      <c r="V424" t="b">
        <f t="shared" si="125"/>
        <v>1</v>
      </c>
    </row>
    <row r="425" spans="1:22" x14ac:dyDescent="0.35">
      <c r="A425" s="2">
        <v>3303</v>
      </c>
      <c r="B425" s="2">
        <f t="shared" si="111"/>
        <v>51</v>
      </c>
      <c r="C425" s="2">
        <f t="shared" si="112"/>
        <v>39</v>
      </c>
      <c r="D425" s="1" t="s">
        <v>237</v>
      </c>
      <c r="E425" t="str">
        <f t="shared" si="113"/>
        <v>0000</v>
      </c>
      <c r="F425" t="str">
        <f t="shared" si="108"/>
        <v>000000</v>
      </c>
      <c r="G425" t="str">
        <f t="shared" si="109"/>
        <v>000000</v>
      </c>
      <c r="H425" t="str">
        <f>LOOKUP(E425,Lookups!$A$1:$A$16,Lookups!$B$1:$B$16)</f>
        <v>z</v>
      </c>
      <c r="I425">
        <f t="shared" si="114"/>
        <v>0</v>
      </c>
      <c r="J425">
        <f t="shared" si="115"/>
        <v>0</v>
      </c>
      <c r="K425">
        <f t="shared" si="110"/>
        <v>0</v>
      </c>
      <c r="M425" t="b">
        <f t="shared" si="116"/>
        <v>1</v>
      </c>
      <c r="N425" t="b">
        <f t="shared" si="117"/>
        <v>0</v>
      </c>
      <c r="O425" t="b">
        <f t="shared" si="118"/>
        <v>0</v>
      </c>
      <c r="P425" t="b">
        <f t="shared" si="119"/>
        <v>1</v>
      </c>
      <c r="Q425" t="b">
        <f t="shared" si="120"/>
        <v>1</v>
      </c>
      <c r="R425" t="b">
        <f t="shared" si="121"/>
        <v>0</v>
      </c>
      <c r="S425" t="b">
        <f t="shared" si="122"/>
        <v>0</v>
      </c>
      <c r="T425" t="b">
        <f t="shared" si="123"/>
        <v>1</v>
      </c>
      <c r="U425" t="b">
        <f t="shared" si="124"/>
        <v>1</v>
      </c>
      <c r="V425" t="b">
        <f t="shared" si="125"/>
        <v>1</v>
      </c>
    </row>
    <row r="426" spans="1:22" x14ac:dyDescent="0.35">
      <c r="A426" s="2">
        <v>3304</v>
      </c>
      <c r="B426" s="2">
        <f t="shared" si="111"/>
        <v>51</v>
      </c>
      <c r="C426" s="2">
        <f t="shared" si="112"/>
        <v>40</v>
      </c>
      <c r="D426" s="1" t="s">
        <v>242</v>
      </c>
      <c r="E426" t="str">
        <f t="shared" si="113"/>
        <v>0001</v>
      </c>
      <c r="F426" t="str">
        <f t="shared" si="108"/>
        <v>110011</v>
      </c>
      <c r="G426" t="str">
        <f t="shared" si="109"/>
        <v>000000</v>
      </c>
      <c r="H426" t="str">
        <f>LOOKUP(E426,Lookups!$A$1:$A$16,Lookups!$B$1:$B$16)</f>
        <v>b</v>
      </c>
      <c r="I426">
        <f t="shared" si="114"/>
        <v>51</v>
      </c>
      <c r="J426">
        <f t="shared" si="115"/>
        <v>0</v>
      </c>
      <c r="K426">
        <f t="shared" si="110"/>
        <v>3264</v>
      </c>
      <c r="M426" t="b">
        <f t="shared" si="116"/>
        <v>0</v>
      </c>
      <c r="N426" t="b">
        <f t="shared" si="117"/>
        <v>1</v>
      </c>
      <c r="O426" t="b">
        <f t="shared" si="118"/>
        <v>0</v>
      </c>
      <c r="P426" t="b">
        <f t="shared" si="119"/>
        <v>0</v>
      </c>
      <c r="Q426" t="b">
        <f t="shared" si="120"/>
        <v>0</v>
      </c>
      <c r="R426" t="b">
        <f t="shared" si="121"/>
        <v>0</v>
      </c>
      <c r="S426" t="b">
        <f t="shared" si="122"/>
        <v>0</v>
      </c>
      <c r="T426" t="b">
        <f t="shared" si="123"/>
        <v>0</v>
      </c>
      <c r="U426" t="b">
        <f t="shared" si="124"/>
        <v>0</v>
      </c>
      <c r="V426" t="b">
        <f t="shared" si="125"/>
        <v>0</v>
      </c>
    </row>
    <row r="427" spans="1:22" x14ac:dyDescent="0.35">
      <c r="A427" s="2">
        <v>3305</v>
      </c>
      <c r="B427" s="2">
        <f t="shared" si="111"/>
        <v>51</v>
      </c>
      <c r="C427" s="2">
        <f t="shared" si="112"/>
        <v>41</v>
      </c>
      <c r="D427" s="1" t="s">
        <v>247</v>
      </c>
      <c r="E427" t="str">
        <f t="shared" si="113"/>
        <v>1010</v>
      </c>
      <c r="F427" t="str">
        <f t="shared" si="108"/>
        <v>110011</v>
      </c>
      <c r="G427" t="str">
        <f t="shared" si="109"/>
        <v>111000</v>
      </c>
      <c r="H427" t="str">
        <f>LOOKUP(E427,Lookups!$A$1:$A$16,Lookups!$B$1:$B$16)</f>
        <v>u</v>
      </c>
      <c r="I427">
        <f t="shared" si="114"/>
        <v>51</v>
      </c>
      <c r="J427">
        <f t="shared" si="115"/>
        <v>56</v>
      </c>
      <c r="K427">
        <f t="shared" si="110"/>
        <v>3320</v>
      </c>
      <c r="M427" t="b">
        <f t="shared" si="116"/>
        <v>0</v>
      </c>
      <c r="N427" t="b">
        <f t="shared" si="117"/>
        <v>1</v>
      </c>
      <c r="O427" t="b">
        <f t="shared" si="118"/>
        <v>0</v>
      </c>
      <c r="P427" t="b">
        <f t="shared" si="119"/>
        <v>0</v>
      </c>
      <c r="Q427" t="b">
        <f t="shared" si="120"/>
        <v>0</v>
      </c>
      <c r="R427" t="b">
        <f t="shared" si="121"/>
        <v>1</v>
      </c>
      <c r="S427" t="b">
        <f t="shared" si="122"/>
        <v>0</v>
      </c>
      <c r="T427" t="b">
        <f t="shared" si="123"/>
        <v>0</v>
      </c>
      <c r="U427" t="b">
        <f t="shared" si="124"/>
        <v>0</v>
      </c>
      <c r="V427" t="b">
        <f t="shared" si="125"/>
        <v>0</v>
      </c>
    </row>
    <row r="428" spans="1:22" x14ac:dyDescent="0.35">
      <c r="A428" s="2">
        <v>3306</v>
      </c>
      <c r="B428" s="2">
        <f t="shared" si="111"/>
        <v>51</v>
      </c>
      <c r="C428" s="2">
        <f t="shared" si="112"/>
        <v>42</v>
      </c>
      <c r="D428" s="1" t="s">
        <v>259</v>
      </c>
      <c r="E428" t="str">
        <f t="shared" si="113"/>
        <v>0010</v>
      </c>
      <c r="F428" t="str">
        <f t="shared" si="108"/>
        <v>110011</v>
      </c>
      <c r="G428" t="str">
        <f t="shared" si="109"/>
        <v>000000</v>
      </c>
      <c r="H428" t="str">
        <f>LOOKUP(E428,Lookups!$A$1:$A$16,Lookups!$B$1:$B$16)</f>
        <v>y</v>
      </c>
      <c r="I428">
        <f t="shared" si="114"/>
        <v>51</v>
      </c>
      <c r="J428">
        <f t="shared" si="115"/>
        <v>0</v>
      </c>
      <c r="K428">
        <f t="shared" si="110"/>
        <v>3264</v>
      </c>
      <c r="M428" t="b">
        <f t="shared" si="116"/>
        <v>0</v>
      </c>
      <c r="N428" t="b">
        <f t="shared" si="117"/>
        <v>1</v>
      </c>
      <c r="O428" t="b">
        <f t="shared" si="118"/>
        <v>0</v>
      </c>
      <c r="P428" t="b">
        <f t="shared" si="119"/>
        <v>0</v>
      </c>
      <c r="Q428" t="b">
        <f t="shared" si="120"/>
        <v>0</v>
      </c>
      <c r="R428" t="b">
        <f t="shared" si="121"/>
        <v>0</v>
      </c>
      <c r="S428" t="b">
        <f t="shared" si="122"/>
        <v>0</v>
      </c>
      <c r="T428" t="b">
        <f t="shared" si="123"/>
        <v>0</v>
      </c>
      <c r="U428" t="b">
        <f t="shared" si="124"/>
        <v>1</v>
      </c>
      <c r="V428" t="b">
        <f t="shared" si="125"/>
        <v>0</v>
      </c>
    </row>
    <row r="429" spans="1:22" x14ac:dyDescent="0.35">
      <c r="A429" s="2">
        <v>3307</v>
      </c>
      <c r="B429" s="2">
        <f t="shared" si="111"/>
        <v>51</v>
      </c>
      <c r="C429" s="2">
        <f t="shared" si="112"/>
        <v>43</v>
      </c>
      <c r="D429" s="1" t="s">
        <v>260</v>
      </c>
      <c r="E429" t="str">
        <f t="shared" si="113"/>
        <v>1010</v>
      </c>
      <c r="F429" t="str">
        <f t="shared" si="108"/>
        <v>110011</v>
      </c>
      <c r="G429" t="str">
        <f t="shared" si="109"/>
        <v>101110</v>
      </c>
      <c r="H429" t="str">
        <f>LOOKUP(E429,Lookups!$A$1:$A$16,Lookups!$B$1:$B$16)</f>
        <v>u</v>
      </c>
      <c r="I429">
        <f t="shared" si="114"/>
        <v>51</v>
      </c>
      <c r="J429">
        <f t="shared" si="115"/>
        <v>46</v>
      </c>
      <c r="K429">
        <f t="shared" si="110"/>
        <v>3310</v>
      </c>
      <c r="M429" t="b">
        <f t="shared" si="116"/>
        <v>0</v>
      </c>
      <c r="N429" t="b">
        <f t="shared" si="117"/>
        <v>1</v>
      </c>
      <c r="O429" t="b">
        <f t="shared" si="118"/>
        <v>0</v>
      </c>
      <c r="P429" t="b">
        <f t="shared" si="119"/>
        <v>0</v>
      </c>
      <c r="Q429" t="b">
        <f t="shared" si="120"/>
        <v>0</v>
      </c>
      <c r="R429" t="b">
        <f t="shared" si="121"/>
        <v>1</v>
      </c>
      <c r="S429" t="b">
        <f t="shared" si="122"/>
        <v>0</v>
      </c>
      <c r="T429" t="b">
        <f t="shared" si="123"/>
        <v>0</v>
      </c>
      <c r="U429" t="b">
        <f t="shared" si="124"/>
        <v>0</v>
      </c>
      <c r="V429" t="b">
        <f t="shared" si="125"/>
        <v>0</v>
      </c>
    </row>
    <row r="430" spans="1:22" x14ac:dyDescent="0.35">
      <c r="A430" s="2">
        <v>3308</v>
      </c>
      <c r="B430" s="2">
        <f t="shared" si="111"/>
        <v>51</v>
      </c>
      <c r="C430" s="2">
        <f t="shared" si="112"/>
        <v>44</v>
      </c>
      <c r="D430" s="1" t="s">
        <v>58</v>
      </c>
      <c r="E430" t="str">
        <f t="shared" si="113"/>
        <v>1110</v>
      </c>
      <c r="F430" t="str">
        <f t="shared" si="108"/>
        <v>111110</v>
      </c>
      <c r="G430" t="str">
        <f t="shared" si="109"/>
        <v>011111</v>
      </c>
      <c r="H430" t="str">
        <f>LOOKUP(E430,Lookups!$A$1:$A$16,Lookups!$B$1:$B$16)</f>
        <v>a</v>
      </c>
      <c r="I430">
        <f t="shared" si="114"/>
        <v>62</v>
      </c>
      <c r="J430">
        <f t="shared" si="115"/>
        <v>31</v>
      </c>
      <c r="K430">
        <f t="shared" si="110"/>
        <v>3999</v>
      </c>
      <c r="M430" t="b">
        <f t="shared" si="116"/>
        <v>0</v>
      </c>
      <c r="N430" t="b">
        <f t="shared" si="117"/>
        <v>1</v>
      </c>
      <c r="O430" t="b">
        <f t="shared" si="118"/>
        <v>0</v>
      </c>
      <c r="P430" t="b">
        <f t="shared" si="119"/>
        <v>0</v>
      </c>
      <c r="Q430" t="b">
        <f t="shared" si="120"/>
        <v>0</v>
      </c>
      <c r="R430" t="b">
        <f t="shared" si="121"/>
        <v>1</v>
      </c>
      <c r="S430" t="b">
        <f t="shared" si="122"/>
        <v>0</v>
      </c>
      <c r="T430" t="b">
        <f t="shared" si="123"/>
        <v>0</v>
      </c>
      <c r="U430" t="b">
        <f t="shared" si="124"/>
        <v>1</v>
      </c>
      <c r="V430" t="b">
        <f t="shared" si="125"/>
        <v>0</v>
      </c>
    </row>
    <row r="431" spans="1:22" x14ac:dyDescent="0.35">
      <c r="A431" s="2">
        <v>3309</v>
      </c>
      <c r="B431" s="2">
        <f t="shared" si="111"/>
        <v>51</v>
      </c>
      <c r="C431" s="2">
        <f t="shared" si="112"/>
        <v>45</v>
      </c>
      <c r="D431" s="1" t="s">
        <v>261</v>
      </c>
      <c r="E431" t="str">
        <f t="shared" si="113"/>
        <v>0000</v>
      </c>
      <c r="F431" t="str">
        <f t="shared" si="108"/>
        <v>000000</v>
      </c>
      <c r="G431" t="str">
        <f t="shared" si="109"/>
        <v>010011</v>
      </c>
      <c r="H431" t="str">
        <f>LOOKUP(E431,Lookups!$A$1:$A$16,Lookups!$B$1:$B$16)</f>
        <v>z</v>
      </c>
      <c r="I431">
        <f t="shared" si="114"/>
        <v>0</v>
      </c>
      <c r="J431">
        <f t="shared" si="115"/>
        <v>19</v>
      </c>
      <c r="K431">
        <f t="shared" si="110"/>
        <v>19</v>
      </c>
      <c r="M431" t="b">
        <f t="shared" si="116"/>
        <v>1</v>
      </c>
      <c r="N431" t="b">
        <f t="shared" si="117"/>
        <v>0</v>
      </c>
      <c r="O431" t="b">
        <f t="shared" si="118"/>
        <v>0</v>
      </c>
      <c r="P431" t="b">
        <f t="shared" si="119"/>
        <v>1</v>
      </c>
      <c r="Q431" t="b">
        <f t="shared" si="120"/>
        <v>1</v>
      </c>
      <c r="R431" t="b">
        <f t="shared" si="121"/>
        <v>1</v>
      </c>
      <c r="S431" t="b">
        <f t="shared" si="122"/>
        <v>1</v>
      </c>
      <c r="T431" t="b">
        <f t="shared" si="123"/>
        <v>0</v>
      </c>
      <c r="U431" t="b">
        <f t="shared" si="124"/>
        <v>1</v>
      </c>
      <c r="V431" t="b">
        <f t="shared" si="125"/>
        <v>0</v>
      </c>
    </row>
    <row r="432" spans="1:22" x14ac:dyDescent="0.35">
      <c r="A432" s="2">
        <v>3310</v>
      </c>
      <c r="B432" s="2">
        <f t="shared" si="111"/>
        <v>51</v>
      </c>
      <c r="C432" s="2">
        <f t="shared" si="112"/>
        <v>46</v>
      </c>
      <c r="D432" s="1" t="s">
        <v>262</v>
      </c>
      <c r="E432" t="str">
        <f t="shared" si="113"/>
        <v>0001</v>
      </c>
      <c r="F432" t="str">
        <f t="shared" si="108"/>
        <v>110011</v>
      </c>
      <c r="G432" t="str">
        <f t="shared" si="109"/>
        <v>001011</v>
      </c>
      <c r="H432" t="str">
        <f>LOOKUP(E432,Lookups!$A$1:$A$16,Lookups!$B$1:$B$16)</f>
        <v>b</v>
      </c>
      <c r="I432">
        <f t="shared" si="114"/>
        <v>51</v>
      </c>
      <c r="J432">
        <f t="shared" si="115"/>
        <v>11</v>
      </c>
      <c r="K432">
        <f t="shared" si="110"/>
        <v>3275</v>
      </c>
      <c r="M432" t="b">
        <f t="shared" si="116"/>
        <v>0</v>
      </c>
      <c r="N432" t="b">
        <f t="shared" si="117"/>
        <v>1</v>
      </c>
      <c r="O432" t="b">
        <f t="shared" si="118"/>
        <v>0</v>
      </c>
      <c r="P432" t="b">
        <f t="shared" si="119"/>
        <v>0</v>
      </c>
      <c r="Q432" t="b">
        <f t="shared" si="120"/>
        <v>0</v>
      </c>
      <c r="R432" t="b">
        <f t="shared" si="121"/>
        <v>1</v>
      </c>
      <c r="S432" t="b">
        <f t="shared" si="122"/>
        <v>0</v>
      </c>
      <c r="T432" t="b">
        <f t="shared" si="123"/>
        <v>0</v>
      </c>
      <c r="U432" t="b">
        <f t="shared" si="124"/>
        <v>1</v>
      </c>
      <c r="V432" t="b">
        <f t="shared" si="125"/>
        <v>0</v>
      </c>
    </row>
    <row r="433" spans="1:22" x14ac:dyDescent="0.35">
      <c r="A433" s="2">
        <v>3311</v>
      </c>
      <c r="B433" s="2">
        <f t="shared" si="111"/>
        <v>51</v>
      </c>
      <c r="C433" s="2">
        <f t="shared" si="112"/>
        <v>47</v>
      </c>
      <c r="D433" s="1" t="s">
        <v>263</v>
      </c>
      <c r="E433" t="str">
        <f t="shared" si="113"/>
        <v>1000</v>
      </c>
      <c r="F433" t="str">
        <f t="shared" si="108"/>
        <v>000010</v>
      </c>
      <c r="G433" t="str">
        <f t="shared" si="109"/>
        <v>011010</v>
      </c>
      <c r="H433" t="str">
        <f>LOOKUP(E433,Lookups!$A$1:$A$16,Lookups!$B$1:$B$16)</f>
        <v>p</v>
      </c>
      <c r="I433">
        <f t="shared" si="114"/>
        <v>2</v>
      </c>
      <c r="J433">
        <f t="shared" si="115"/>
        <v>26</v>
      </c>
      <c r="K433">
        <f t="shared" si="110"/>
        <v>154</v>
      </c>
      <c r="M433" t="b">
        <f t="shared" si="116"/>
        <v>0</v>
      </c>
      <c r="N433" t="b">
        <f t="shared" si="117"/>
        <v>1</v>
      </c>
      <c r="O433" t="b">
        <f t="shared" si="118"/>
        <v>0</v>
      </c>
      <c r="P433" t="b">
        <f t="shared" si="119"/>
        <v>0</v>
      </c>
      <c r="Q433" t="b">
        <f t="shared" si="120"/>
        <v>0</v>
      </c>
      <c r="R433" t="b">
        <f t="shared" si="121"/>
        <v>1</v>
      </c>
      <c r="S433" t="b">
        <f t="shared" si="122"/>
        <v>0</v>
      </c>
      <c r="T433" t="b">
        <f t="shared" si="123"/>
        <v>0</v>
      </c>
      <c r="U433" t="b">
        <f t="shared" si="124"/>
        <v>1</v>
      </c>
      <c r="V433" t="b">
        <f t="shared" si="125"/>
        <v>0</v>
      </c>
    </row>
    <row r="434" spans="1:22" x14ac:dyDescent="0.35">
      <c r="A434" s="2">
        <v>3312</v>
      </c>
      <c r="B434" s="2">
        <f t="shared" si="111"/>
        <v>51</v>
      </c>
      <c r="C434" s="2">
        <f t="shared" si="112"/>
        <v>48</v>
      </c>
      <c r="D434" s="1" t="s">
        <v>264</v>
      </c>
      <c r="E434" t="str">
        <f t="shared" si="113"/>
        <v>1100</v>
      </c>
      <c r="F434" t="str">
        <f t="shared" si="108"/>
        <v>110011</v>
      </c>
      <c r="G434" t="str">
        <f t="shared" si="109"/>
        <v>001101</v>
      </c>
      <c r="H434" t="str">
        <f>LOOKUP(E434,Lookups!$A$1:$A$16,Lookups!$B$1:$B$16)</f>
        <v>h</v>
      </c>
      <c r="I434">
        <f t="shared" si="114"/>
        <v>51</v>
      </c>
      <c r="J434">
        <f t="shared" si="115"/>
        <v>13</v>
      </c>
      <c r="K434">
        <f t="shared" si="110"/>
        <v>3277</v>
      </c>
      <c r="M434" t="b">
        <f t="shared" si="116"/>
        <v>0</v>
      </c>
      <c r="N434" t="b">
        <f t="shared" si="117"/>
        <v>1</v>
      </c>
      <c r="O434" t="b">
        <f t="shared" si="118"/>
        <v>0</v>
      </c>
      <c r="P434" t="b">
        <f t="shared" si="119"/>
        <v>0</v>
      </c>
      <c r="Q434" t="b">
        <f t="shared" si="120"/>
        <v>0</v>
      </c>
      <c r="R434" t="b">
        <f t="shared" si="121"/>
        <v>1</v>
      </c>
      <c r="S434" t="b">
        <f t="shared" si="122"/>
        <v>0</v>
      </c>
      <c r="T434" t="b">
        <f t="shared" si="123"/>
        <v>0</v>
      </c>
      <c r="U434" t="b">
        <f t="shared" si="124"/>
        <v>0</v>
      </c>
      <c r="V434" t="b">
        <f t="shared" si="125"/>
        <v>0</v>
      </c>
    </row>
    <row r="435" spans="1:22" x14ac:dyDescent="0.35">
      <c r="A435" s="2">
        <v>3313</v>
      </c>
      <c r="B435" s="2">
        <f t="shared" si="111"/>
        <v>51</v>
      </c>
      <c r="C435" s="2">
        <f t="shared" si="112"/>
        <v>49</v>
      </c>
      <c r="D435" s="1" t="s">
        <v>265</v>
      </c>
      <c r="E435" t="str">
        <f t="shared" si="113"/>
        <v>0001</v>
      </c>
      <c r="F435" t="str">
        <f t="shared" si="108"/>
        <v>110011</v>
      </c>
      <c r="G435" t="str">
        <f t="shared" si="109"/>
        <v>000111</v>
      </c>
      <c r="H435" t="str">
        <f>LOOKUP(E435,Lookups!$A$1:$A$16,Lookups!$B$1:$B$16)</f>
        <v>b</v>
      </c>
      <c r="I435">
        <f t="shared" si="114"/>
        <v>51</v>
      </c>
      <c r="J435">
        <f t="shared" si="115"/>
        <v>7</v>
      </c>
      <c r="K435">
        <f t="shared" si="110"/>
        <v>3271</v>
      </c>
      <c r="M435" t="b">
        <f t="shared" si="116"/>
        <v>0</v>
      </c>
      <c r="N435" t="b">
        <f t="shared" si="117"/>
        <v>1</v>
      </c>
      <c r="O435" t="b">
        <f t="shared" si="118"/>
        <v>0</v>
      </c>
      <c r="P435" t="b">
        <f t="shared" si="119"/>
        <v>0</v>
      </c>
      <c r="Q435" t="b">
        <f t="shared" si="120"/>
        <v>0</v>
      </c>
      <c r="R435" t="b">
        <f t="shared" si="121"/>
        <v>1</v>
      </c>
      <c r="S435" t="b">
        <f t="shared" si="122"/>
        <v>0</v>
      </c>
      <c r="T435" t="b">
        <f t="shared" si="123"/>
        <v>0</v>
      </c>
      <c r="U435" t="b">
        <f t="shared" si="124"/>
        <v>0</v>
      </c>
      <c r="V435" t="b">
        <f t="shared" si="125"/>
        <v>0</v>
      </c>
    </row>
    <row r="436" spans="1:22" x14ac:dyDescent="0.35">
      <c r="A436" s="2">
        <v>3314</v>
      </c>
      <c r="B436" s="2">
        <f t="shared" si="111"/>
        <v>51</v>
      </c>
      <c r="C436" s="2">
        <f t="shared" si="112"/>
        <v>50</v>
      </c>
      <c r="D436" s="1" t="s">
        <v>266</v>
      </c>
      <c r="E436" t="str">
        <f t="shared" si="113"/>
        <v>1010</v>
      </c>
      <c r="F436" t="str">
        <f t="shared" si="108"/>
        <v>110011</v>
      </c>
      <c r="G436" t="str">
        <f t="shared" si="109"/>
        <v>110100</v>
      </c>
      <c r="H436" t="str">
        <f>LOOKUP(E436,Lookups!$A$1:$A$16,Lookups!$B$1:$B$16)</f>
        <v>u</v>
      </c>
      <c r="I436">
        <f t="shared" si="114"/>
        <v>51</v>
      </c>
      <c r="J436">
        <f t="shared" si="115"/>
        <v>52</v>
      </c>
      <c r="K436">
        <f t="shared" si="110"/>
        <v>3316</v>
      </c>
      <c r="M436" t="b">
        <f t="shared" si="116"/>
        <v>0</v>
      </c>
      <c r="N436" t="b">
        <f t="shared" si="117"/>
        <v>1</v>
      </c>
      <c r="O436" t="b">
        <f t="shared" si="118"/>
        <v>0</v>
      </c>
      <c r="P436" t="b">
        <f t="shared" si="119"/>
        <v>0</v>
      </c>
      <c r="Q436" t="b">
        <f t="shared" si="120"/>
        <v>0</v>
      </c>
      <c r="R436" t="b">
        <f t="shared" si="121"/>
        <v>1</v>
      </c>
      <c r="S436" t="b">
        <f t="shared" si="122"/>
        <v>0</v>
      </c>
      <c r="T436" t="b">
        <f t="shared" si="123"/>
        <v>0</v>
      </c>
      <c r="U436" t="b">
        <f t="shared" si="124"/>
        <v>0</v>
      </c>
      <c r="V436" t="b">
        <f t="shared" si="125"/>
        <v>0</v>
      </c>
    </row>
    <row r="437" spans="1:22" x14ac:dyDescent="0.35">
      <c r="A437" s="2">
        <v>3315</v>
      </c>
      <c r="B437" s="2">
        <f t="shared" si="111"/>
        <v>51</v>
      </c>
      <c r="C437" s="2">
        <f t="shared" si="112"/>
        <v>51</v>
      </c>
      <c r="D437" s="1" t="s">
        <v>88</v>
      </c>
      <c r="E437" t="str">
        <f t="shared" si="113"/>
        <v>0000</v>
      </c>
      <c r="F437" t="str">
        <f t="shared" si="108"/>
        <v>000000</v>
      </c>
      <c r="G437" t="str">
        <f t="shared" si="109"/>
        <v>000001</v>
      </c>
      <c r="H437" t="str">
        <f>LOOKUP(E437,Lookups!$A$1:$A$16,Lookups!$B$1:$B$16)</f>
        <v>z</v>
      </c>
      <c r="I437">
        <f t="shared" si="114"/>
        <v>0</v>
      </c>
      <c r="J437">
        <f t="shared" si="115"/>
        <v>1</v>
      </c>
      <c r="K437">
        <f t="shared" si="110"/>
        <v>1</v>
      </c>
      <c r="M437" t="b">
        <f t="shared" si="116"/>
        <v>1</v>
      </c>
      <c r="N437" t="b">
        <f t="shared" si="117"/>
        <v>0</v>
      </c>
      <c r="O437" t="b">
        <f t="shared" si="118"/>
        <v>0</v>
      </c>
      <c r="P437" t="b">
        <f t="shared" si="119"/>
        <v>1</v>
      </c>
      <c r="Q437" t="b">
        <f t="shared" si="120"/>
        <v>1</v>
      </c>
      <c r="R437" t="b">
        <f t="shared" si="121"/>
        <v>1</v>
      </c>
      <c r="S437" t="b">
        <f t="shared" si="122"/>
        <v>1</v>
      </c>
      <c r="T437" t="b">
        <f t="shared" si="123"/>
        <v>0</v>
      </c>
      <c r="U437" t="b">
        <f t="shared" si="124"/>
        <v>1</v>
      </c>
      <c r="V437" t="b">
        <f t="shared" si="125"/>
        <v>0</v>
      </c>
    </row>
    <row r="438" spans="1:22" x14ac:dyDescent="0.35">
      <c r="A438" s="2">
        <v>3316</v>
      </c>
      <c r="B438" s="2">
        <f t="shared" si="111"/>
        <v>51</v>
      </c>
      <c r="C438" s="2">
        <f t="shared" si="112"/>
        <v>52</v>
      </c>
      <c r="D438" s="1" t="s">
        <v>267</v>
      </c>
      <c r="E438" t="str">
        <f t="shared" si="113"/>
        <v>0110</v>
      </c>
      <c r="F438" t="str">
        <f t="shared" si="108"/>
        <v>110011</v>
      </c>
      <c r="G438" t="str">
        <f t="shared" si="109"/>
        <v>100110</v>
      </c>
      <c r="H438" t="str">
        <f>LOOKUP(E438,Lookups!$A$1:$A$16,Lookups!$B$1:$B$16)</f>
        <v>n</v>
      </c>
      <c r="I438">
        <f t="shared" si="114"/>
        <v>51</v>
      </c>
      <c r="J438">
        <f t="shared" si="115"/>
        <v>38</v>
      </c>
      <c r="K438">
        <f t="shared" si="110"/>
        <v>3302</v>
      </c>
      <c r="M438" t="b">
        <f t="shared" si="116"/>
        <v>0</v>
      </c>
      <c r="N438" t="b">
        <f t="shared" si="117"/>
        <v>1</v>
      </c>
      <c r="O438" t="b">
        <f t="shared" si="118"/>
        <v>0</v>
      </c>
      <c r="P438" t="b">
        <f t="shared" si="119"/>
        <v>0</v>
      </c>
      <c r="Q438" t="b">
        <f t="shared" si="120"/>
        <v>0</v>
      </c>
      <c r="R438" t="b">
        <f t="shared" si="121"/>
        <v>1</v>
      </c>
      <c r="S438" t="b">
        <f t="shared" si="122"/>
        <v>0</v>
      </c>
      <c r="T438" t="b">
        <f t="shared" si="123"/>
        <v>0</v>
      </c>
      <c r="U438" t="b">
        <f t="shared" si="124"/>
        <v>1</v>
      </c>
      <c r="V438" t="b">
        <f t="shared" si="125"/>
        <v>0</v>
      </c>
    </row>
    <row r="439" spans="1:22" x14ac:dyDescent="0.35">
      <c r="A439" s="2">
        <v>3317</v>
      </c>
      <c r="B439" s="2">
        <f t="shared" si="111"/>
        <v>51</v>
      </c>
      <c r="C439" s="2">
        <f t="shared" si="112"/>
        <v>53</v>
      </c>
      <c r="D439" s="1" t="s">
        <v>234</v>
      </c>
      <c r="E439" t="str">
        <f t="shared" si="113"/>
        <v>1111</v>
      </c>
      <c r="F439" t="str">
        <f t="shared" si="108"/>
        <v>110011</v>
      </c>
      <c r="G439" t="str">
        <f t="shared" si="109"/>
        <v>100111</v>
      </c>
      <c r="H439" t="str">
        <f>LOOKUP(E439,Lookups!$A$1:$A$16,Lookups!$B$1:$B$16)</f>
        <v>s</v>
      </c>
      <c r="I439">
        <f t="shared" si="114"/>
        <v>51</v>
      </c>
      <c r="J439">
        <f t="shared" si="115"/>
        <v>39</v>
      </c>
      <c r="K439">
        <f t="shared" si="110"/>
        <v>3303</v>
      </c>
      <c r="M439" t="b">
        <f t="shared" si="116"/>
        <v>0</v>
      </c>
      <c r="N439" t="b">
        <f t="shared" si="117"/>
        <v>1</v>
      </c>
      <c r="O439" t="b">
        <f t="shared" si="118"/>
        <v>0</v>
      </c>
      <c r="P439" t="b">
        <f t="shared" si="119"/>
        <v>0</v>
      </c>
      <c r="Q439" t="b">
        <f t="shared" si="120"/>
        <v>0</v>
      </c>
      <c r="R439" t="b">
        <f t="shared" si="121"/>
        <v>1</v>
      </c>
      <c r="S439" t="b">
        <f t="shared" si="122"/>
        <v>0</v>
      </c>
      <c r="T439" t="b">
        <f t="shared" si="123"/>
        <v>0</v>
      </c>
      <c r="U439" t="b">
        <f t="shared" si="124"/>
        <v>0</v>
      </c>
      <c r="V439" t="b">
        <f t="shared" si="125"/>
        <v>0</v>
      </c>
    </row>
    <row r="440" spans="1:22" x14ac:dyDescent="0.35">
      <c r="A440" s="2">
        <v>3318</v>
      </c>
      <c r="B440" s="2">
        <f t="shared" si="111"/>
        <v>51</v>
      </c>
      <c r="C440" s="2">
        <f t="shared" si="112"/>
        <v>54</v>
      </c>
      <c r="D440" s="1" t="s">
        <v>268</v>
      </c>
      <c r="E440" t="str">
        <f t="shared" si="113"/>
        <v>1011</v>
      </c>
      <c r="F440" t="str">
        <f t="shared" si="108"/>
        <v>110011</v>
      </c>
      <c r="G440" t="str">
        <f t="shared" si="109"/>
        <v>011011</v>
      </c>
      <c r="H440" t="str">
        <f>LOOKUP(E440,Lookups!$A$1:$A$16,Lookups!$B$1:$B$16)</f>
        <v>t</v>
      </c>
      <c r="I440">
        <f t="shared" si="114"/>
        <v>51</v>
      </c>
      <c r="J440">
        <f t="shared" si="115"/>
        <v>27</v>
      </c>
      <c r="K440">
        <f t="shared" si="110"/>
        <v>3291</v>
      </c>
      <c r="M440" t="b">
        <f t="shared" si="116"/>
        <v>0</v>
      </c>
      <c r="N440" t="b">
        <f t="shared" si="117"/>
        <v>1</v>
      </c>
      <c r="O440" t="b">
        <f t="shared" si="118"/>
        <v>0</v>
      </c>
      <c r="P440" t="b">
        <f t="shared" si="119"/>
        <v>0</v>
      </c>
      <c r="Q440" t="b">
        <f t="shared" si="120"/>
        <v>0</v>
      </c>
      <c r="R440" t="b">
        <f t="shared" si="121"/>
        <v>1</v>
      </c>
      <c r="S440" t="b">
        <f t="shared" si="122"/>
        <v>0</v>
      </c>
      <c r="T440" t="b">
        <f t="shared" si="123"/>
        <v>0</v>
      </c>
      <c r="U440" t="b">
        <f t="shared" si="124"/>
        <v>0</v>
      </c>
      <c r="V440" t="b">
        <f t="shared" si="125"/>
        <v>0</v>
      </c>
    </row>
    <row r="441" spans="1:22" x14ac:dyDescent="0.35">
      <c r="A441" s="2">
        <v>3319</v>
      </c>
      <c r="B441" s="2">
        <f t="shared" si="111"/>
        <v>51</v>
      </c>
      <c r="C441" s="2">
        <f t="shared" si="112"/>
        <v>55</v>
      </c>
      <c r="D441" s="1" t="s">
        <v>269</v>
      </c>
      <c r="E441" t="str">
        <f t="shared" si="113"/>
        <v>1010</v>
      </c>
      <c r="F441" t="str">
        <f t="shared" si="108"/>
        <v>110011</v>
      </c>
      <c r="G441" t="str">
        <f t="shared" si="109"/>
        <v>100111</v>
      </c>
      <c r="H441" t="str">
        <f>LOOKUP(E441,Lookups!$A$1:$A$16,Lookups!$B$1:$B$16)</f>
        <v>u</v>
      </c>
      <c r="I441">
        <f t="shared" si="114"/>
        <v>51</v>
      </c>
      <c r="J441">
        <f t="shared" si="115"/>
        <v>39</v>
      </c>
      <c r="K441">
        <f t="shared" si="110"/>
        <v>3303</v>
      </c>
      <c r="M441" t="b">
        <f t="shared" si="116"/>
        <v>0</v>
      </c>
      <c r="N441" t="b">
        <f t="shared" si="117"/>
        <v>1</v>
      </c>
      <c r="O441" t="b">
        <f t="shared" si="118"/>
        <v>0</v>
      </c>
      <c r="P441" t="b">
        <f t="shared" si="119"/>
        <v>0</v>
      </c>
      <c r="Q441" t="b">
        <f t="shared" si="120"/>
        <v>0</v>
      </c>
      <c r="R441" t="b">
        <f t="shared" si="121"/>
        <v>1</v>
      </c>
      <c r="S441" t="b">
        <f t="shared" si="122"/>
        <v>0</v>
      </c>
      <c r="T441" t="b">
        <f t="shared" si="123"/>
        <v>0</v>
      </c>
      <c r="U441" t="b">
        <f t="shared" si="124"/>
        <v>0</v>
      </c>
      <c r="V441" t="b">
        <f t="shared" si="125"/>
        <v>0</v>
      </c>
    </row>
    <row r="442" spans="1:22" x14ac:dyDescent="0.35">
      <c r="A442" s="2">
        <v>3320</v>
      </c>
      <c r="B442" s="2">
        <f t="shared" si="111"/>
        <v>51</v>
      </c>
      <c r="C442" s="2">
        <f t="shared" si="112"/>
        <v>56</v>
      </c>
      <c r="D442" s="1" t="s">
        <v>270</v>
      </c>
      <c r="E442" t="str">
        <f t="shared" si="113"/>
        <v>0010</v>
      </c>
      <c r="F442" t="str">
        <f t="shared" si="108"/>
        <v>110011</v>
      </c>
      <c r="G442" t="str">
        <f t="shared" si="109"/>
        <v>111001</v>
      </c>
      <c r="H442" t="str">
        <f>LOOKUP(E442,Lookups!$A$1:$A$16,Lookups!$B$1:$B$16)</f>
        <v>y</v>
      </c>
      <c r="I442">
        <f t="shared" si="114"/>
        <v>51</v>
      </c>
      <c r="J442">
        <f t="shared" si="115"/>
        <v>57</v>
      </c>
      <c r="K442">
        <f t="shared" si="110"/>
        <v>3321</v>
      </c>
      <c r="M442" t="b">
        <f t="shared" si="116"/>
        <v>0</v>
      </c>
      <c r="N442" t="b">
        <f t="shared" si="117"/>
        <v>1</v>
      </c>
      <c r="O442" t="b">
        <f t="shared" si="118"/>
        <v>0</v>
      </c>
      <c r="P442" t="b">
        <f t="shared" si="119"/>
        <v>0</v>
      </c>
      <c r="Q442" t="b">
        <f t="shared" si="120"/>
        <v>0</v>
      </c>
      <c r="R442" t="b">
        <f t="shared" si="121"/>
        <v>1</v>
      </c>
      <c r="S442" t="b">
        <f t="shared" si="122"/>
        <v>0</v>
      </c>
      <c r="T442" t="b">
        <f t="shared" si="123"/>
        <v>0</v>
      </c>
      <c r="U442" t="b">
        <f t="shared" si="124"/>
        <v>1</v>
      </c>
      <c r="V442" t="b">
        <f t="shared" si="125"/>
        <v>0</v>
      </c>
    </row>
    <row r="443" spans="1:22" x14ac:dyDescent="0.35">
      <c r="A443" s="2">
        <v>3321</v>
      </c>
      <c r="B443" s="2">
        <f t="shared" si="111"/>
        <v>51</v>
      </c>
      <c r="C443" s="2">
        <f t="shared" si="112"/>
        <v>57</v>
      </c>
      <c r="D443" s="1" t="s">
        <v>271</v>
      </c>
      <c r="E443" t="str">
        <f t="shared" si="113"/>
        <v>1010</v>
      </c>
      <c r="F443" t="str">
        <f t="shared" si="108"/>
        <v>110001</v>
      </c>
      <c r="G443" t="str">
        <f t="shared" si="109"/>
        <v>101111</v>
      </c>
      <c r="H443" t="str">
        <f>LOOKUP(E443,Lookups!$A$1:$A$16,Lookups!$B$1:$B$16)</f>
        <v>u</v>
      </c>
      <c r="I443">
        <f t="shared" si="114"/>
        <v>49</v>
      </c>
      <c r="J443">
        <f t="shared" si="115"/>
        <v>47</v>
      </c>
      <c r="K443">
        <f t="shared" si="110"/>
        <v>3183</v>
      </c>
      <c r="M443" t="b">
        <f t="shared" si="116"/>
        <v>0</v>
      </c>
      <c r="N443" t="b">
        <f t="shared" si="117"/>
        <v>1</v>
      </c>
      <c r="O443" t="b">
        <f t="shared" si="118"/>
        <v>0</v>
      </c>
      <c r="P443" t="b">
        <f t="shared" si="119"/>
        <v>0</v>
      </c>
      <c r="Q443" t="b">
        <f t="shared" si="120"/>
        <v>0</v>
      </c>
      <c r="R443" t="b">
        <f t="shared" si="121"/>
        <v>1</v>
      </c>
      <c r="S443" t="b">
        <f t="shared" si="122"/>
        <v>0</v>
      </c>
      <c r="T443" t="b">
        <f t="shared" si="123"/>
        <v>0</v>
      </c>
      <c r="U443" t="b">
        <f t="shared" si="124"/>
        <v>1</v>
      </c>
      <c r="V443" t="b">
        <f t="shared" si="125"/>
        <v>0</v>
      </c>
    </row>
    <row r="444" spans="1:22" x14ac:dyDescent="0.35">
      <c r="A444" s="2">
        <v>3322</v>
      </c>
      <c r="B444" s="2">
        <f t="shared" si="111"/>
        <v>51</v>
      </c>
      <c r="C444" s="2">
        <f t="shared" si="112"/>
        <v>58</v>
      </c>
      <c r="D444" s="1" t="s">
        <v>168</v>
      </c>
      <c r="E444" t="str">
        <f t="shared" si="113"/>
        <v>0001</v>
      </c>
      <c r="F444" t="str">
        <f t="shared" si="108"/>
        <v>110010</v>
      </c>
      <c r="G444" t="str">
        <f t="shared" si="109"/>
        <v>011110</v>
      </c>
      <c r="H444" t="str">
        <f>LOOKUP(E444,Lookups!$A$1:$A$16,Lookups!$B$1:$B$16)</f>
        <v>b</v>
      </c>
      <c r="I444">
        <f t="shared" si="114"/>
        <v>50</v>
      </c>
      <c r="J444">
        <f t="shared" si="115"/>
        <v>30</v>
      </c>
      <c r="K444">
        <f t="shared" si="110"/>
        <v>3230</v>
      </c>
      <c r="M444" t="b">
        <f t="shared" si="116"/>
        <v>0</v>
      </c>
      <c r="N444" t="b">
        <f t="shared" si="117"/>
        <v>1</v>
      </c>
      <c r="O444" t="b">
        <f t="shared" si="118"/>
        <v>0</v>
      </c>
      <c r="P444" t="b">
        <f t="shared" si="119"/>
        <v>0</v>
      </c>
      <c r="Q444" t="b">
        <f t="shared" si="120"/>
        <v>0</v>
      </c>
      <c r="R444" t="b">
        <f t="shared" si="121"/>
        <v>1</v>
      </c>
      <c r="S444" t="b">
        <f t="shared" si="122"/>
        <v>0</v>
      </c>
      <c r="T444" t="b">
        <f t="shared" si="123"/>
        <v>0</v>
      </c>
      <c r="U444" t="b">
        <f t="shared" si="124"/>
        <v>1</v>
      </c>
      <c r="V444" t="b">
        <f t="shared" si="125"/>
        <v>0</v>
      </c>
    </row>
    <row r="445" spans="1:22" x14ac:dyDescent="0.35">
      <c r="A445" s="2">
        <v>3323</v>
      </c>
      <c r="B445" s="2">
        <f t="shared" si="111"/>
        <v>51</v>
      </c>
      <c r="C445" s="2">
        <f t="shared" si="112"/>
        <v>59</v>
      </c>
      <c r="D445" s="1" t="s">
        <v>181</v>
      </c>
      <c r="E445" t="str">
        <f t="shared" si="113"/>
        <v>1111</v>
      </c>
      <c r="F445" t="str">
        <f t="shared" si="108"/>
        <v>101110</v>
      </c>
      <c r="G445" t="str">
        <f t="shared" si="109"/>
        <v>100011</v>
      </c>
      <c r="H445" t="str">
        <f>LOOKUP(E445,Lookups!$A$1:$A$16,Lookups!$B$1:$B$16)</f>
        <v>s</v>
      </c>
      <c r="I445">
        <f t="shared" si="114"/>
        <v>46</v>
      </c>
      <c r="J445">
        <f t="shared" si="115"/>
        <v>35</v>
      </c>
      <c r="K445">
        <f t="shared" si="110"/>
        <v>2979</v>
      </c>
      <c r="M445" t="b">
        <f t="shared" si="116"/>
        <v>0</v>
      </c>
      <c r="N445" t="b">
        <f t="shared" si="117"/>
        <v>1</v>
      </c>
      <c r="O445" t="b">
        <f t="shared" si="118"/>
        <v>0</v>
      </c>
      <c r="P445" t="b">
        <f t="shared" si="119"/>
        <v>0</v>
      </c>
      <c r="Q445" t="b">
        <f t="shared" si="120"/>
        <v>0</v>
      </c>
      <c r="R445" t="b">
        <f t="shared" si="121"/>
        <v>1</v>
      </c>
      <c r="S445" t="b">
        <f t="shared" si="122"/>
        <v>0</v>
      </c>
      <c r="T445" t="b">
        <f t="shared" si="123"/>
        <v>0</v>
      </c>
      <c r="U445" t="b">
        <f t="shared" si="124"/>
        <v>0</v>
      </c>
      <c r="V445" t="b">
        <f t="shared" si="125"/>
        <v>0</v>
      </c>
    </row>
    <row r="446" spans="1:22" x14ac:dyDescent="0.35">
      <c r="A446" s="2">
        <v>3324</v>
      </c>
      <c r="B446" s="2">
        <f t="shared" si="111"/>
        <v>51</v>
      </c>
      <c r="C446" s="2">
        <f t="shared" si="112"/>
        <v>60</v>
      </c>
      <c r="D446" s="1" t="s">
        <v>1</v>
      </c>
      <c r="E446" t="str">
        <f t="shared" si="113"/>
        <v>1101</v>
      </c>
      <c r="F446" t="str">
        <f t="shared" si="108"/>
        <v>110010</v>
      </c>
      <c r="G446" t="str">
        <f t="shared" si="109"/>
        <v>011110</v>
      </c>
      <c r="H446" t="str">
        <f>LOOKUP(E446,Lookups!$A$1:$A$16,Lookups!$B$1:$B$16)</f>
        <v>c</v>
      </c>
      <c r="I446">
        <f t="shared" si="114"/>
        <v>50</v>
      </c>
      <c r="J446">
        <f t="shared" si="115"/>
        <v>30</v>
      </c>
      <c r="K446">
        <f t="shared" si="110"/>
        <v>3230</v>
      </c>
      <c r="M446" t="b">
        <f t="shared" si="116"/>
        <v>0</v>
      </c>
      <c r="N446" t="b">
        <f t="shared" si="117"/>
        <v>1</v>
      </c>
      <c r="O446" t="b">
        <f t="shared" si="118"/>
        <v>0</v>
      </c>
      <c r="P446" t="b">
        <f t="shared" si="119"/>
        <v>0</v>
      </c>
      <c r="Q446" t="b">
        <f t="shared" si="120"/>
        <v>0</v>
      </c>
      <c r="R446" t="b">
        <f t="shared" si="121"/>
        <v>1</v>
      </c>
      <c r="S446" t="b">
        <f t="shared" si="122"/>
        <v>0</v>
      </c>
      <c r="T446" t="b">
        <f t="shared" si="123"/>
        <v>0</v>
      </c>
      <c r="U446" t="b">
        <f t="shared" si="124"/>
        <v>0</v>
      </c>
      <c r="V446" t="b">
        <f t="shared" si="125"/>
        <v>0</v>
      </c>
    </row>
    <row r="447" spans="1:22" x14ac:dyDescent="0.35">
      <c r="A447" s="2">
        <v>3325</v>
      </c>
      <c r="B447" s="2">
        <f t="shared" si="111"/>
        <v>51</v>
      </c>
      <c r="C447" s="2">
        <f t="shared" si="112"/>
        <v>61</v>
      </c>
      <c r="D447" s="1" t="s">
        <v>70</v>
      </c>
      <c r="E447" t="str">
        <f t="shared" si="113"/>
        <v>0001</v>
      </c>
      <c r="F447" t="str">
        <f t="shared" si="108"/>
        <v>101110</v>
      </c>
      <c r="G447" t="str">
        <f t="shared" si="109"/>
        <v>011110</v>
      </c>
      <c r="H447" t="str">
        <f>LOOKUP(E447,Lookups!$A$1:$A$16,Lookups!$B$1:$B$16)</f>
        <v>b</v>
      </c>
      <c r="I447">
        <f t="shared" si="114"/>
        <v>46</v>
      </c>
      <c r="J447">
        <f t="shared" si="115"/>
        <v>30</v>
      </c>
      <c r="K447">
        <f t="shared" si="110"/>
        <v>2974</v>
      </c>
      <c r="M447" t="b">
        <f t="shared" si="116"/>
        <v>0</v>
      </c>
      <c r="N447" t="b">
        <f t="shared" si="117"/>
        <v>1</v>
      </c>
      <c r="O447" t="b">
        <f t="shared" si="118"/>
        <v>0</v>
      </c>
      <c r="P447" t="b">
        <f t="shared" si="119"/>
        <v>0</v>
      </c>
      <c r="Q447" t="b">
        <f t="shared" si="120"/>
        <v>0</v>
      </c>
      <c r="R447" t="b">
        <f t="shared" si="121"/>
        <v>1</v>
      </c>
      <c r="S447" t="b">
        <f t="shared" si="122"/>
        <v>0</v>
      </c>
      <c r="T447" t="b">
        <f t="shared" si="123"/>
        <v>0</v>
      </c>
      <c r="U447" t="b">
        <f t="shared" si="124"/>
        <v>1</v>
      </c>
      <c r="V447" t="b">
        <f t="shared" si="125"/>
        <v>0</v>
      </c>
    </row>
    <row r="448" spans="1:22" x14ac:dyDescent="0.35">
      <c r="A448" s="2">
        <v>3326</v>
      </c>
      <c r="B448" s="2">
        <f t="shared" si="111"/>
        <v>51</v>
      </c>
      <c r="C448" s="2">
        <f t="shared" si="112"/>
        <v>62</v>
      </c>
      <c r="D448" s="1" t="s">
        <v>0</v>
      </c>
      <c r="E448" t="str">
        <f t="shared" si="113"/>
        <v>1101</v>
      </c>
      <c r="F448" t="str">
        <f t="shared" si="108"/>
        <v>101111</v>
      </c>
      <c r="G448" t="str">
        <f t="shared" si="109"/>
        <v>100011</v>
      </c>
      <c r="H448" t="str">
        <f>LOOKUP(E448,Lookups!$A$1:$A$16,Lookups!$B$1:$B$16)</f>
        <v>c</v>
      </c>
      <c r="I448">
        <f t="shared" si="114"/>
        <v>47</v>
      </c>
      <c r="J448">
        <f t="shared" si="115"/>
        <v>35</v>
      </c>
      <c r="K448">
        <f t="shared" si="110"/>
        <v>3043</v>
      </c>
      <c r="M448" t="b">
        <f t="shared" si="116"/>
        <v>0</v>
      </c>
      <c r="N448" t="b">
        <f t="shared" si="117"/>
        <v>1</v>
      </c>
      <c r="O448" t="b">
        <f t="shared" si="118"/>
        <v>0</v>
      </c>
      <c r="P448" t="b">
        <f t="shared" si="119"/>
        <v>0</v>
      </c>
      <c r="Q448" t="b">
        <f t="shared" si="120"/>
        <v>0</v>
      </c>
      <c r="R448" t="b">
        <f t="shared" si="121"/>
        <v>1</v>
      </c>
      <c r="S448" t="b">
        <f t="shared" si="122"/>
        <v>0</v>
      </c>
      <c r="T448" t="b">
        <f t="shared" si="123"/>
        <v>0</v>
      </c>
      <c r="U448" t="b">
        <f t="shared" si="124"/>
        <v>0</v>
      </c>
      <c r="V448" t="b">
        <f t="shared" si="125"/>
        <v>0</v>
      </c>
    </row>
    <row r="449" spans="1:22" x14ac:dyDescent="0.35">
      <c r="A449" s="2">
        <v>3327</v>
      </c>
      <c r="B449" s="2">
        <f t="shared" si="111"/>
        <v>51</v>
      </c>
      <c r="C449" s="2">
        <f t="shared" si="112"/>
        <v>63</v>
      </c>
      <c r="D449" s="1" t="s">
        <v>272</v>
      </c>
      <c r="E449" t="str">
        <f t="shared" si="113"/>
        <v>1010</v>
      </c>
      <c r="F449" t="str">
        <f t="shared" si="108"/>
        <v>110001</v>
      </c>
      <c r="G449" t="str">
        <f t="shared" si="109"/>
        <v>011011</v>
      </c>
      <c r="H449" t="str">
        <f>LOOKUP(E449,Lookups!$A$1:$A$16,Lookups!$B$1:$B$16)</f>
        <v>u</v>
      </c>
      <c r="I449">
        <f t="shared" si="114"/>
        <v>49</v>
      </c>
      <c r="J449">
        <f t="shared" si="115"/>
        <v>27</v>
      </c>
      <c r="K449">
        <f t="shared" si="110"/>
        <v>3163</v>
      </c>
      <c r="M449" t="b">
        <f t="shared" si="116"/>
        <v>0</v>
      </c>
      <c r="N449" t="b">
        <f t="shared" si="117"/>
        <v>1</v>
      </c>
      <c r="O449" t="b">
        <f t="shared" si="118"/>
        <v>0</v>
      </c>
      <c r="P449" t="b">
        <f t="shared" si="119"/>
        <v>0</v>
      </c>
      <c r="Q449" t="b">
        <f t="shared" si="120"/>
        <v>0</v>
      </c>
      <c r="R449" t="b">
        <f t="shared" si="121"/>
        <v>1</v>
      </c>
      <c r="S449" t="b">
        <f t="shared" si="122"/>
        <v>0</v>
      </c>
      <c r="T449" t="b">
        <f t="shared" si="123"/>
        <v>0</v>
      </c>
      <c r="U449" t="b">
        <f t="shared" si="124"/>
        <v>0</v>
      </c>
      <c r="V449" t="b">
        <f t="shared" si="125"/>
        <v>0</v>
      </c>
    </row>
    <row r="450" spans="1:22" x14ac:dyDescent="0.35">
      <c r="A450" s="2">
        <v>3328</v>
      </c>
      <c r="B450" s="2">
        <f t="shared" si="111"/>
        <v>52</v>
      </c>
      <c r="C450" s="2">
        <f t="shared" si="112"/>
        <v>0</v>
      </c>
      <c r="D450" s="1" t="s">
        <v>119</v>
      </c>
      <c r="E450" t="str">
        <f t="shared" si="113"/>
        <v>0000</v>
      </c>
      <c r="F450" t="str">
        <f t="shared" ref="F450:F513" si="126">MID(D450,19,6)</f>
        <v>000000</v>
      </c>
      <c r="G450" t="str">
        <f t="shared" ref="G450:G513" si="127">MID(D450,25,6)</f>
        <v>000000</v>
      </c>
      <c r="H450" t="str">
        <f>LOOKUP(E450,Lookups!$A$1:$A$16,Lookups!$B$1:$B$16)</f>
        <v>z</v>
      </c>
      <c r="I450">
        <f t="shared" si="114"/>
        <v>0</v>
      </c>
      <c r="J450">
        <f t="shared" si="115"/>
        <v>0</v>
      </c>
      <c r="K450">
        <f t="shared" ref="K450:K513" si="128">I450*64+J450</f>
        <v>0</v>
      </c>
    </row>
    <row r="451" spans="1:22" x14ac:dyDescent="0.35">
      <c r="A451" s="2">
        <v>3329</v>
      </c>
      <c r="B451" s="2">
        <f t="shared" ref="B451:B514" si="129">QUOTIENT(A451,64)</f>
        <v>52</v>
      </c>
      <c r="C451" s="2">
        <f t="shared" ref="C451:C514" si="130">MOD(A451,64)</f>
        <v>1</v>
      </c>
      <c r="D451" s="1" t="s">
        <v>119</v>
      </c>
      <c r="E451" t="str">
        <f t="shared" ref="E451:E514" si="131">MID(D451,13,4)</f>
        <v>0000</v>
      </c>
      <c r="F451" t="str">
        <f t="shared" si="126"/>
        <v>000000</v>
      </c>
      <c r="G451" t="str">
        <f t="shared" si="127"/>
        <v>000000</v>
      </c>
      <c r="H451" t="str">
        <f>LOOKUP(E451,Lookups!$A$1:$A$16,Lookups!$B$1:$B$16)</f>
        <v>z</v>
      </c>
      <c r="I451">
        <f t="shared" ref="I451:I514" si="132">BIN2DEC(F451)</f>
        <v>0</v>
      </c>
      <c r="J451">
        <f t="shared" ref="J451:J514" si="133">BIN2DEC(G451)</f>
        <v>0</v>
      </c>
      <c r="K451">
        <f t="shared" si="128"/>
        <v>0</v>
      </c>
    </row>
    <row r="452" spans="1:22" x14ac:dyDescent="0.35">
      <c r="A452" s="2">
        <v>3330</v>
      </c>
      <c r="B452" s="2">
        <f t="shared" si="129"/>
        <v>52</v>
      </c>
      <c r="C452" s="2">
        <f t="shared" si="130"/>
        <v>2</v>
      </c>
      <c r="D452" s="1" t="s">
        <v>119</v>
      </c>
      <c r="E452" t="str">
        <f t="shared" si="131"/>
        <v>0000</v>
      </c>
      <c r="F452" t="str">
        <f t="shared" si="126"/>
        <v>000000</v>
      </c>
      <c r="G452" t="str">
        <f t="shared" si="127"/>
        <v>000000</v>
      </c>
      <c r="H452" t="str">
        <f>LOOKUP(E452,Lookups!$A$1:$A$16,Lookups!$B$1:$B$16)</f>
        <v>z</v>
      </c>
      <c r="I452">
        <f t="shared" si="132"/>
        <v>0</v>
      </c>
      <c r="J452">
        <f t="shared" si="133"/>
        <v>0</v>
      </c>
      <c r="K452">
        <f t="shared" si="128"/>
        <v>0</v>
      </c>
    </row>
    <row r="453" spans="1:22" x14ac:dyDescent="0.35">
      <c r="A453" s="2">
        <v>3331</v>
      </c>
      <c r="B453" s="2">
        <f t="shared" si="129"/>
        <v>52</v>
      </c>
      <c r="C453" s="2">
        <f t="shared" si="130"/>
        <v>3</v>
      </c>
      <c r="D453" s="1" t="s">
        <v>119</v>
      </c>
      <c r="E453" t="str">
        <f t="shared" si="131"/>
        <v>0000</v>
      </c>
      <c r="F453" t="str">
        <f t="shared" si="126"/>
        <v>000000</v>
      </c>
      <c r="G453" t="str">
        <f t="shared" si="127"/>
        <v>000000</v>
      </c>
      <c r="H453" t="str">
        <f>LOOKUP(E453,Lookups!$A$1:$A$16,Lookups!$B$1:$B$16)</f>
        <v>z</v>
      </c>
      <c r="I453">
        <f t="shared" si="132"/>
        <v>0</v>
      </c>
      <c r="J453">
        <f t="shared" si="133"/>
        <v>0</v>
      </c>
      <c r="K453">
        <f t="shared" si="128"/>
        <v>0</v>
      </c>
    </row>
    <row r="454" spans="1:22" x14ac:dyDescent="0.35">
      <c r="A454" s="2">
        <v>3332</v>
      </c>
      <c r="B454" s="2">
        <f t="shared" si="129"/>
        <v>52</v>
      </c>
      <c r="C454" s="2">
        <f t="shared" si="130"/>
        <v>4</v>
      </c>
      <c r="D454" s="1" t="s">
        <v>119</v>
      </c>
      <c r="E454" t="str">
        <f t="shared" si="131"/>
        <v>0000</v>
      </c>
      <c r="F454" t="str">
        <f t="shared" si="126"/>
        <v>000000</v>
      </c>
      <c r="G454" t="str">
        <f t="shared" si="127"/>
        <v>000000</v>
      </c>
      <c r="H454" t="str">
        <f>LOOKUP(E454,Lookups!$A$1:$A$16,Lookups!$B$1:$B$16)</f>
        <v>z</v>
      </c>
      <c r="I454">
        <f t="shared" si="132"/>
        <v>0</v>
      </c>
      <c r="J454">
        <f t="shared" si="133"/>
        <v>0</v>
      </c>
      <c r="K454">
        <f t="shared" si="128"/>
        <v>0</v>
      </c>
    </row>
    <row r="455" spans="1:22" x14ac:dyDescent="0.35">
      <c r="A455" s="2">
        <v>3333</v>
      </c>
      <c r="B455" s="2">
        <f t="shared" si="129"/>
        <v>52</v>
      </c>
      <c r="C455" s="2">
        <f t="shared" si="130"/>
        <v>5</v>
      </c>
      <c r="D455" s="1" t="s">
        <v>119</v>
      </c>
      <c r="E455" t="str">
        <f t="shared" si="131"/>
        <v>0000</v>
      </c>
      <c r="F455" t="str">
        <f t="shared" si="126"/>
        <v>000000</v>
      </c>
      <c r="G455" t="str">
        <f t="shared" si="127"/>
        <v>000000</v>
      </c>
      <c r="H455" t="str">
        <f>LOOKUP(E455,Lookups!$A$1:$A$16,Lookups!$B$1:$B$16)</f>
        <v>z</v>
      </c>
      <c r="I455">
        <f t="shared" si="132"/>
        <v>0</v>
      </c>
      <c r="J455">
        <f t="shared" si="133"/>
        <v>0</v>
      </c>
      <c r="K455">
        <f t="shared" si="128"/>
        <v>0</v>
      </c>
    </row>
    <row r="456" spans="1:22" x14ac:dyDescent="0.35">
      <c r="A456" s="2">
        <v>3334</v>
      </c>
      <c r="B456" s="2">
        <f t="shared" si="129"/>
        <v>52</v>
      </c>
      <c r="C456" s="2">
        <f t="shared" si="130"/>
        <v>6</v>
      </c>
      <c r="D456" s="1" t="s">
        <v>119</v>
      </c>
      <c r="E456" t="str">
        <f t="shared" si="131"/>
        <v>0000</v>
      </c>
      <c r="F456" t="str">
        <f t="shared" si="126"/>
        <v>000000</v>
      </c>
      <c r="G456" t="str">
        <f t="shared" si="127"/>
        <v>000000</v>
      </c>
      <c r="H456" t="str">
        <f>LOOKUP(E456,Lookups!$A$1:$A$16,Lookups!$B$1:$B$16)</f>
        <v>z</v>
      </c>
      <c r="I456">
        <f t="shared" si="132"/>
        <v>0</v>
      </c>
      <c r="J456">
        <f t="shared" si="133"/>
        <v>0</v>
      </c>
      <c r="K456">
        <f t="shared" si="128"/>
        <v>0</v>
      </c>
    </row>
    <row r="457" spans="1:22" x14ac:dyDescent="0.35">
      <c r="A457" s="2">
        <v>3335</v>
      </c>
      <c r="B457" s="2">
        <f t="shared" si="129"/>
        <v>52</v>
      </c>
      <c r="C457" s="2">
        <f t="shared" si="130"/>
        <v>7</v>
      </c>
      <c r="D457" s="1" t="s">
        <v>119</v>
      </c>
      <c r="E457" t="str">
        <f t="shared" si="131"/>
        <v>0000</v>
      </c>
      <c r="F457" t="str">
        <f t="shared" si="126"/>
        <v>000000</v>
      </c>
      <c r="G457" t="str">
        <f t="shared" si="127"/>
        <v>000000</v>
      </c>
      <c r="H457" t="str">
        <f>LOOKUP(E457,Lookups!$A$1:$A$16,Lookups!$B$1:$B$16)</f>
        <v>z</v>
      </c>
      <c r="I457">
        <f t="shared" si="132"/>
        <v>0</v>
      </c>
      <c r="J457">
        <f t="shared" si="133"/>
        <v>0</v>
      </c>
      <c r="K457">
        <f t="shared" si="128"/>
        <v>0</v>
      </c>
    </row>
    <row r="458" spans="1:22" x14ac:dyDescent="0.35">
      <c r="A458" s="2">
        <v>3336</v>
      </c>
      <c r="B458" s="2">
        <f t="shared" si="129"/>
        <v>52</v>
      </c>
      <c r="C458" s="2">
        <f t="shared" si="130"/>
        <v>8</v>
      </c>
      <c r="D458" s="1" t="s">
        <v>119</v>
      </c>
      <c r="E458" t="str">
        <f t="shared" si="131"/>
        <v>0000</v>
      </c>
      <c r="F458" t="str">
        <f t="shared" si="126"/>
        <v>000000</v>
      </c>
      <c r="G458" t="str">
        <f t="shared" si="127"/>
        <v>000000</v>
      </c>
      <c r="H458" t="str">
        <f>LOOKUP(E458,Lookups!$A$1:$A$16,Lookups!$B$1:$B$16)</f>
        <v>z</v>
      </c>
      <c r="I458">
        <f t="shared" si="132"/>
        <v>0</v>
      </c>
      <c r="J458">
        <f t="shared" si="133"/>
        <v>0</v>
      </c>
      <c r="K458">
        <f t="shared" si="128"/>
        <v>0</v>
      </c>
    </row>
    <row r="459" spans="1:22" x14ac:dyDescent="0.35">
      <c r="A459" s="2">
        <v>3337</v>
      </c>
      <c r="B459" s="2">
        <f t="shared" si="129"/>
        <v>52</v>
      </c>
      <c r="C459" s="2">
        <f t="shared" si="130"/>
        <v>9</v>
      </c>
      <c r="D459" s="1" t="s">
        <v>119</v>
      </c>
      <c r="E459" t="str">
        <f t="shared" si="131"/>
        <v>0000</v>
      </c>
      <c r="F459" t="str">
        <f t="shared" si="126"/>
        <v>000000</v>
      </c>
      <c r="G459" t="str">
        <f t="shared" si="127"/>
        <v>000000</v>
      </c>
      <c r="H459" t="str">
        <f>LOOKUP(E459,Lookups!$A$1:$A$16,Lookups!$B$1:$B$16)</f>
        <v>z</v>
      </c>
      <c r="I459">
        <f t="shared" si="132"/>
        <v>0</v>
      </c>
      <c r="J459">
        <f t="shared" si="133"/>
        <v>0</v>
      </c>
      <c r="K459">
        <f t="shared" si="128"/>
        <v>0</v>
      </c>
    </row>
    <row r="460" spans="1:22" x14ac:dyDescent="0.35">
      <c r="A460" s="2">
        <v>3338</v>
      </c>
      <c r="B460" s="2">
        <f t="shared" si="129"/>
        <v>52</v>
      </c>
      <c r="C460" s="2">
        <f t="shared" si="130"/>
        <v>10</v>
      </c>
      <c r="D460" s="1" t="s">
        <v>119</v>
      </c>
      <c r="E460" t="str">
        <f t="shared" si="131"/>
        <v>0000</v>
      </c>
      <c r="F460" t="str">
        <f t="shared" si="126"/>
        <v>000000</v>
      </c>
      <c r="G460" t="str">
        <f t="shared" si="127"/>
        <v>000000</v>
      </c>
      <c r="H460" t="str">
        <f>LOOKUP(E460,Lookups!$A$1:$A$16,Lookups!$B$1:$B$16)</f>
        <v>z</v>
      </c>
      <c r="I460">
        <f t="shared" si="132"/>
        <v>0</v>
      </c>
      <c r="J460">
        <f t="shared" si="133"/>
        <v>0</v>
      </c>
      <c r="K460">
        <f t="shared" si="128"/>
        <v>0</v>
      </c>
    </row>
    <row r="461" spans="1:22" x14ac:dyDescent="0.35">
      <c r="A461" s="2">
        <v>3339</v>
      </c>
      <c r="B461" s="2">
        <f t="shared" si="129"/>
        <v>52</v>
      </c>
      <c r="C461" s="2">
        <f t="shared" si="130"/>
        <v>11</v>
      </c>
      <c r="D461" s="1" t="s">
        <v>119</v>
      </c>
      <c r="E461" t="str">
        <f t="shared" si="131"/>
        <v>0000</v>
      </c>
      <c r="F461" t="str">
        <f t="shared" si="126"/>
        <v>000000</v>
      </c>
      <c r="G461" t="str">
        <f t="shared" si="127"/>
        <v>000000</v>
      </c>
      <c r="H461" t="str">
        <f>LOOKUP(E461,Lookups!$A$1:$A$16,Lookups!$B$1:$B$16)</f>
        <v>z</v>
      </c>
      <c r="I461">
        <f t="shared" si="132"/>
        <v>0</v>
      </c>
      <c r="J461">
        <f t="shared" si="133"/>
        <v>0</v>
      </c>
      <c r="K461">
        <f t="shared" si="128"/>
        <v>0</v>
      </c>
    </row>
    <row r="462" spans="1:22" x14ac:dyDescent="0.35">
      <c r="A462" s="2">
        <v>3340</v>
      </c>
      <c r="B462" s="2">
        <f t="shared" si="129"/>
        <v>52</v>
      </c>
      <c r="C462" s="2">
        <f t="shared" si="130"/>
        <v>12</v>
      </c>
      <c r="D462" s="1" t="s">
        <v>119</v>
      </c>
      <c r="E462" t="str">
        <f t="shared" si="131"/>
        <v>0000</v>
      </c>
      <c r="F462" t="str">
        <f t="shared" si="126"/>
        <v>000000</v>
      </c>
      <c r="G462" t="str">
        <f t="shared" si="127"/>
        <v>000000</v>
      </c>
      <c r="H462" t="str">
        <f>LOOKUP(E462,Lookups!$A$1:$A$16,Lookups!$B$1:$B$16)</f>
        <v>z</v>
      </c>
      <c r="I462">
        <f t="shared" si="132"/>
        <v>0</v>
      </c>
      <c r="J462">
        <f t="shared" si="133"/>
        <v>0</v>
      </c>
      <c r="K462">
        <f t="shared" si="128"/>
        <v>0</v>
      </c>
    </row>
    <row r="463" spans="1:22" x14ac:dyDescent="0.35">
      <c r="A463" s="2">
        <v>3341</v>
      </c>
      <c r="B463" s="2">
        <f t="shared" si="129"/>
        <v>52</v>
      </c>
      <c r="C463" s="2">
        <f t="shared" si="130"/>
        <v>13</v>
      </c>
      <c r="D463" s="1" t="s">
        <v>119</v>
      </c>
      <c r="E463" t="str">
        <f t="shared" si="131"/>
        <v>0000</v>
      </c>
      <c r="F463" t="str">
        <f t="shared" si="126"/>
        <v>000000</v>
      </c>
      <c r="G463" t="str">
        <f t="shared" si="127"/>
        <v>000000</v>
      </c>
      <c r="H463" t="str">
        <f>LOOKUP(E463,Lookups!$A$1:$A$16,Lookups!$B$1:$B$16)</f>
        <v>z</v>
      </c>
      <c r="I463">
        <f t="shared" si="132"/>
        <v>0</v>
      </c>
      <c r="J463">
        <f t="shared" si="133"/>
        <v>0</v>
      </c>
      <c r="K463">
        <f t="shared" si="128"/>
        <v>0</v>
      </c>
    </row>
    <row r="464" spans="1:22" x14ac:dyDescent="0.35">
      <c r="A464" s="2">
        <v>3342</v>
      </c>
      <c r="B464" s="2">
        <f t="shared" si="129"/>
        <v>52</v>
      </c>
      <c r="C464" s="2">
        <f t="shared" si="130"/>
        <v>14</v>
      </c>
      <c r="D464" s="1" t="s">
        <v>119</v>
      </c>
      <c r="E464" t="str">
        <f t="shared" si="131"/>
        <v>0000</v>
      </c>
      <c r="F464" t="str">
        <f t="shared" si="126"/>
        <v>000000</v>
      </c>
      <c r="G464" t="str">
        <f t="shared" si="127"/>
        <v>000000</v>
      </c>
      <c r="H464" t="str">
        <f>LOOKUP(E464,Lookups!$A$1:$A$16,Lookups!$B$1:$B$16)</f>
        <v>z</v>
      </c>
      <c r="I464">
        <f t="shared" si="132"/>
        <v>0</v>
      </c>
      <c r="J464">
        <f t="shared" si="133"/>
        <v>0</v>
      </c>
      <c r="K464">
        <f t="shared" si="128"/>
        <v>0</v>
      </c>
    </row>
    <row r="465" spans="1:11" x14ac:dyDescent="0.35">
      <c r="A465" s="2">
        <v>3343</v>
      </c>
      <c r="B465" s="2">
        <f t="shared" si="129"/>
        <v>52</v>
      </c>
      <c r="C465" s="2">
        <f t="shared" si="130"/>
        <v>15</v>
      </c>
      <c r="D465" s="1" t="s">
        <v>119</v>
      </c>
      <c r="E465" t="str">
        <f t="shared" si="131"/>
        <v>0000</v>
      </c>
      <c r="F465" t="str">
        <f t="shared" si="126"/>
        <v>000000</v>
      </c>
      <c r="G465" t="str">
        <f t="shared" si="127"/>
        <v>000000</v>
      </c>
      <c r="H465" t="str">
        <f>LOOKUP(E465,Lookups!$A$1:$A$16,Lookups!$B$1:$B$16)</f>
        <v>z</v>
      </c>
      <c r="I465">
        <f t="shared" si="132"/>
        <v>0</v>
      </c>
      <c r="J465">
        <f t="shared" si="133"/>
        <v>0</v>
      </c>
      <c r="K465">
        <f t="shared" si="128"/>
        <v>0</v>
      </c>
    </row>
    <row r="466" spans="1:11" x14ac:dyDescent="0.35">
      <c r="A466" s="2">
        <v>3344</v>
      </c>
      <c r="B466" s="2">
        <f t="shared" si="129"/>
        <v>52</v>
      </c>
      <c r="C466" s="2">
        <f t="shared" si="130"/>
        <v>16</v>
      </c>
      <c r="D466" s="1" t="s">
        <v>119</v>
      </c>
      <c r="E466" t="str">
        <f t="shared" si="131"/>
        <v>0000</v>
      </c>
      <c r="F466" t="str">
        <f t="shared" si="126"/>
        <v>000000</v>
      </c>
      <c r="G466" t="str">
        <f t="shared" si="127"/>
        <v>000000</v>
      </c>
      <c r="H466" t="str">
        <f>LOOKUP(E466,Lookups!$A$1:$A$16,Lookups!$B$1:$B$16)</f>
        <v>z</v>
      </c>
      <c r="I466">
        <f t="shared" si="132"/>
        <v>0</v>
      </c>
      <c r="J466">
        <f t="shared" si="133"/>
        <v>0</v>
      </c>
      <c r="K466">
        <f t="shared" si="128"/>
        <v>0</v>
      </c>
    </row>
    <row r="467" spans="1:11" x14ac:dyDescent="0.35">
      <c r="A467" s="2">
        <v>3345</v>
      </c>
      <c r="B467" s="2">
        <f t="shared" si="129"/>
        <v>52</v>
      </c>
      <c r="C467" s="2">
        <f t="shared" si="130"/>
        <v>17</v>
      </c>
      <c r="D467" s="1" t="s">
        <v>119</v>
      </c>
      <c r="E467" t="str">
        <f t="shared" si="131"/>
        <v>0000</v>
      </c>
      <c r="F467" t="str">
        <f t="shared" si="126"/>
        <v>000000</v>
      </c>
      <c r="G467" t="str">
        <f t="shared" si="127"/>
        <v>000000</v>
      </c>
      <c r="H467" t="str">
        <f>LOOKUP(E467,Lookups!$A$1:$A$16,Lookups!$B$1:$B$16)</f>
        <v>z</v>
      </c>
      <c r="I467">
        <f t="shared" si="132"/>
        <v>0</v>
      </c>
      <c r="J467">
        <f t="shared" si="133"/>
        <v>0</v>
      </c>
      <c r="K467">
        <f t="shared" si="128"/>
        <v>0</v>
      </c>
    </row>
    <row r="468" spans="1:11" x14ac:dyDescent="0.35">
      <c r="A468" s="2">
        <v>3346</v>
      </c>
      <c r="B468" s="2">
        <f t="shared" si="129"/>
        <v>52</v>
      </c>
      <c r="C468" s="2">
        <f t="shared" si="130"/>
        <v>18</v>
      </c>
      <c r="D468" s="1" t="s">
        <v>119</v>
      </c>
      <c r="E468" t="str">
        <f t="shared" si="131"/>
        <v>0000</v>
      </c>
      <c r="F468" t="str">
        <f t="shared" si="126"/>
        <v>000000</v>
      </c>
      <c r="G468" t="str">
        <f t="shared" si="127"/>
        <v>000000</v>
      </c>
      <c r="H468" t="str">
        <f>LOOKUP(E468,Lookups!$A$1:$A$16,Lookups!$B$1:$B$16)</f>
        <v>z</v>
      </c>
      <c r="I468">
        <f t="shared" si="132"/>
        <v>0</v>
      </c>
      <c r="J468">
        <f t="shared" si="133"/>
        <v>0</v>
      </c>
      <c r="K468">
        <f t="shared" si="128"/>
        <v>0</v>
      </c>
    </row>
    <row r="469" spans="1:11" x14ac:dyDescent="0.35">
      <c r="A469" s="2">
        <v>3347</v>
      </c>
      <c r="B469" s="2">
        <f t="shared" si="129"/>
        <v>52</v>
      </c>
      <c r="C469" s="2">
        <f t="shared" si="130"/>
        <v>19</v>
      </c>
      <c r="D469" s="1" t="s">
        <v>119</v>
      </c>
      <c r="E469" t="str">
        <f t="shared" si="131"/>
        <v>0000</v>
      </c>
      <c r="F469" t="str">
        <f t="shared" si="126"/>
        <v>000000</v>
      </c>
      <c r="G469" t="str">
        <f t="shared" si="127"/>
        <v>000000</v>
      </c>
      <c r="H469" t="str">
        <f>LOOKUP(E469,Lookups!$A$1:$A$16,Lookups!$B$1:$B$16)</f>
        <v>z</v>
      </c>
      <c r="I469">
        <f t="shared" si="132"/>
        <v>0</v>
      </c>
      <c r="J469">
        <f t="shared" si="133"/>
        <v>0</v>
      </c>
      <c r="K469">
        <f t="shared" si="128"/>
        <v>0</v>
      </c>
    </row>
    <row r="470" spans="1:11" x14ac:dyDescent="0.35">
      <c r="A470" s="2">
        <v>3348</v>
      </c>
      <c r="B470" s="2">
        <f t="shared" si="129"/>
        <v>52</v>
      </c>
      <c r="C470" s="2">
        <f t="shared" si="130"/>
        <v>20</v>
      </c>
      <c r="D470" s="1" t="s">
        <v>119</v>
      </c>
      <c r="E470" t="str">
        <f t="shared" si="131"/>
        <v>0000</v>
      </c>
      <c r="F470" t="str">
        <f t="shared" si="126"/>
        <v>000000</v>
      </c>
      <c r="G470" t="str">
        <f t="shared" si="127"/>
        <v>000000</v>
      </c>
      <c r="H470" t="str">
        <f>LOOKUP(E470,Lookups!$A$1:$A$16,Lookups!$B$1:$B$16)</f>
        <v>z</v>
      </c>
      <c r="I470">
        <f t="shared" si="132"/>
        <v>0</v>
      </c>
      <c r="J470">
        <f t="shared" si="133"/>
        <v>0</v>
      </c>
      <c r="K470">
        <f t="shared" si="128"/>
        <v>0</v>
      </c>
    </row>
    <row r="471" spans="1:11" x14ac:dyDescent="0.35">
      <c r="A471" s="2">
        <v>3349</v>
      </c>
      <c r="B471" s="2">
        <f t="shared" si="129"/>
        <v>52</v>
      </c>
      <c r="C471" s="2">
        <f t="shared" si="130"/>
        <v>21</v>
      </c>
      <c r="D471" s="1" t="s">
        <v>119</v>
      </c>
      <c r="E471" t="str">
        <f t="shared" si="131"/>
        <v>0000</v>
      </c>
      <c r="F471" t="str">
        <f t="shared" si="126"/>
        <v>000000</v>
      </c>
      <c r="G471" t="str">
        <f t="shared" si="127"/>
        <v>000000</v>
      </c>
      <c r="H471" t="str">
        <f>LOOKUP(E471,Lookups!$A$1:$A$16,Lookups!$B$1:$B$16)</f>
        <v>z</v>
      </c>
      <c r="I471">
        <f t="shared" si="132"/>
        <v>0</v>
      </c>
      <c r="J471">
        <f t="shared" si="133"/>
        <v>0</v>
      </c>
      <c r="K471">
        <f t="shared" si="128"/>
        <v>0</v>
      </c>
    </row>
    <row r="472" spans="1:11" x14ac:dyDescent="0.35">
      <c r="A472" s="2">
        <v>3350</v>
      </c>
      <c r="B472" s="2">
        <f t="shared" si="129"/>
        <v>52</v>
      </c>
      <c r="C472" s="2">
        <f t="shared" si="130"/>
        <v>22</v>
      </c>
      <c r="D472" s="1" t="s">
        <v>119</v>
      </c>
      <c r="E472" t="str">
        <f t="shared" si="131"/>
        <v>0000</v>
      </c>
      <c r="F472" t="str">
        <f t="shared" si="126"/>
        <v>000000</v>
      </c>
      <c r="G472" t="str">
        <f t="shared" si="127"/>
        <v>000000</v>
      </c>
      <c r="H472" t="str">
        <f>LOOKUP(E472,Lookups!$A$1:$A$16,Lookups!$B$1:$B$16)</f>
        <v>z</v>
      </c>
      <c r="I472">
        <f t="shared" si="132"/>
        <v>0</v>
      </c>
      <c r="J472">
        <f t="shared" si="133"/>
        <v>0</v>
      </c>
      <c r="K472">
        <f t="shared" si="128"/>
        <v>0</v>
      </c>
    </row>
    <row r="473" spans="1:11" x14ac:dyDescent="0.35">
      <c r="A473" s="2">
        <v>3351</v>
      </c>
      <c r="B473" s="2">
        <f t="shared" si="129"/>
        <v>52</v>
      </c>
      <c r="C473" s="2">
        <f t="shared" si="130"/>
        <v>23</v>
      </c>
      <c r="D473" s="1" t="s">
        <v>119</v>
      </c>
      <c r="E473" t="str">
        <f t="shared" si="131"/>
        <v>0000</v>
      </c>
      <c r="F473" t="str">
        <f t="shared" si="126"/>
        <v>000000</v>
      </c>
      <c r="G473" t="str">
        <f t="shared" si="127"/>
        <v>000000</v>
      </c>
      <c r="H473" t="str">
        <f>LOOKUP(E473,Lookups!$A$1:$A$16,Lookups!$B$1:$B$16)</f>
        <v>z</v>
      </c>
      <c r="I473">
        <f t="shared" si="132"/>
        <v>0</v>
      </c>
      <c r="J473">
        <f t="shared" si="133"/>
        <v>0</v>
      </c>
      <c r="K473">
        <f t="shared" si="128"/>
        <v>0</v>
      </c>
    </row>
    <row r="474" spans="1:11" x14ac:dyDescent="0.35">
      <c r="A474" s="2">
        <v>3352</v>
      </c>
      <c r="B474" s="2">
        <f t="shared" si="129"/>
        <v>52</v>
      </c>
      <c r="C474" s="2">
        <f t="shared" si="130"/>
        <v>24</v>
      </c>
      <c r="D474" s="1" t="s">
        <v>119</v>
      </c>
      <c r="E474" t="str">
        <f t="shared" si="131"/>
        <v>0000</v>
      </c>
      <c r="F474" t="str">
        <f t="shared" si="126"/>
        <v>000000</v>
      </c>
      <c r="G474" t="str">
        <f t="shared" si="127"/>
        <v>000000</v>
      </c>
      <c r="H474" t="str">
        <f>LOOKUP(E474,Lookups!$A$1:$A$16,Lookups!$B$1:$B$16)</f>
        <v>z</v>
      </c>
      <c r="I474">
        <f t="shared" si="132"/>
        <v>0</v>
      </c>
      <c r="J474">
        <f t="shared" si="133"/>
        <v>0</v>
      </c>
      <c r="K474">
        <f t="shared" si="128"/>
        <v>0</v>
      </c>
    </row>
    <row r="475" spans="1:11" x14ac:dyDescent="0.35">
      <c r="A475" s="2">
        <v>3353</v>
      </c>
      <c r="B475" s="2">
        <f t="shared" si="129"/>
        <v>52</v>
      </c>
      <c r="C475" s="2">
        <f t="shared" si="130"/>
        <v>25</v>
      </c>
      <c r="D475" s="1" t="s">
        <v>119</v>
      </c>
      <c r="E475" t="str">
        <f t="shared" si="131"/>
        <v>0000</v>
      </c>
      <c r="F475" t="str">
        <f t="shared" si="126"/>
        <v>000000</v>
      </c>
      <c r="G475" t="str">
        <f t="shared" si="127"/>
        <v>000000</v>
      </c>
      <c r="H475" t="str">
        <f>LOOKUP(E475,Lookups!$A$1:$A$16,Lookups!$B$1:$B$16)</f>
        <v>z</v>
      </c>
      <c r="I475">
        <f t="shared" si="132"/>
        <v>0</v>
      </c>
      <c r="J475">
        <f t="shared" si="133"/>
        <v>0</v>
      </c>
      <c r="K475">
        <f t="shared" si="128"/>
        <v>0</v>
      </c>
    </row>
    <row r="476" spans="1:11" x14ac:dyDescent="0.35">
      <c r="A476" s="2">
        <v>3354</v>
      </c>
      <c r="B476" s="2">
        <f t="shared" si="129"/>
        <v>52</v>
      </c>
      <c r="C476" s="2">
        <f t="shared" si="130"/>
        <v>26</v>
      </c>
      <c r="D476" s="1" t="s">
        <v>119</v>
      </c>
      <c r="E476" t="str">
        <f t="shared" si="131"/>
        <v>0000</v>
      </c>
      <c r="F476" t="str">
        <f t="shared" si="126"/>
        <v>000000</v>
      </c>
      <c r="G476" t="str">
        <f t="shared" si="127"/>
        <v>000000</v>
      </c>
      <c r="H476" t="str">
        <f>LOOKUP(E476,Lookups!$A$1:$A$16,Lookups!$B$1:$B$16)</f>
        <v>z</v>
      </c>
      <c r="I476">
        <f t="shared" si="132"/>
        <v>0</v>
      </c>
      <c r="J476">
        <f t="shared" si="133"/>
        <v>0</v>
      </c>
      <c r="K476">
        <f t="shared" si="128"/>
        <v>0</v>
      </c>
    </row>
    <row r="477" spans="1:11" x14ac:dyDescent="0.35">
      <c r="A477" s="2">
        <v>3355</v>
      </c>
      <c r="B477" s="2">
        <f t="shared" si="129"/>
        <v>52</v>
      </c>
      <c r="C477" s="2">
        <f t="shared" si="130"/>
        <v>27</v>
      </c>
      <c r="D477" s="1" t="s">
        <v>119</v>
      </c>
      <c r="E477" t="str">
        <f t="shared" si="131"/>
        <v>0000</v>
      </c>
      <c r="F477" t="str">
        <f t="shared" si="126"/>
        <v>000000</v>
      </c>
      <c r="G477" t="str">
        <f t="shared" si="127"/>
        <v>000000</v>
      </c>
      <c r="H477" t="str">
        <f>LOOKUP(E477,Lookups!$A$1:$A$16,Lookups!$B$1:$B$16)</f>
        <v>z</v>
      </c>
      <c r="I477">
        <f t="shared" si="132"/>
        <v>0</v>
      </c>
      <c r="J477">
        <f t="shared" si="133"/>
        <v>0</v>
      </c>
      <c r="K477">
        <f t="shared" si="128"/>
        <v>0</v>
      </c>
    </row>
    <row r="478" spans="1:11" x14ac:dyDescent="0.35">
      <c r="A478" s="2">
        <v>3356</v>
      </c>
      <c r="B478" s="2">
        <f t="shared" si="129"/>
        <v>52</v>
      </c>
      <c r="C478" s="2">
        <f t="shared" si="130"/>
        <v>28</v>
      </c>
      <c r="D478" s="1" t="s">
        <v>119</v>
      </c>
      <c r="E478" t="str">
        <f t="shared" si="131"/>
        <v>0000</v>
      </c>
      <c r="F478" t="str">
        <f t="shared" si="126"/>
        <v>000000</v>
      </c>
      <c r="G478" t="str">
        <f t="shared" si="127"/>
        <v>000000</v>
      </c>
      <c r="H478" t="str">
        <f>LOOKUP(E478,Lookups!$A$1:$A$16,Lookups!$B$1:$B$16)</f>
        <v>z</v>
      </c>
      <c r="I478">
        <f t="shared" si="132"/>
        <v>0</v>
      </c>
      <c r="J478">
        <f t="shared" si="133"/>
        <v>0</v>
      </c>
      <c r="K478">
        <f t="shared" si="128"/>
        <v>0</v>
      </c>
    </row>
    <row r="479" spans="1:11" x14ac:dyDescent="0.35">
      <c r="A479" s="2">
        <v>3357</v>
      </c>
      <c r="B479" s="2">
        <f t="shared" si="129"/>
        <v>52</v>
      </c>
      <c r="C479" s="2">
        <f t="shared" si="130"/>
        <v>29</v>
      </c>
      <c r="D479" s="1" t="s">
        <v>119</v>
      </c>
      <c r="E479" t="str">
        <f t="shared" si="131"/>
        <v>0000</v>
      </c>
      <c r="F479" t="str">
        <f t="shared" si="126"/>
        <v>000000</v>
      </c>
      <c r="G479" t="str">
        <f t="shared" si="127"/>
        <v>000000</v>
      </c>
      <c r="H479" t="str">
        <f>LOOKUP(E479,Lookups!$A$1:$A$16,Lookups!$B$1:$B$16)</f>
        <v>z</v>
      </c>
      <c r="I479">
        <f t="shared" si="132"/>
        <v>0</v>
      </c>
      <c r="J479">
        <f t="shared" si="133"/>
        <v>0</v>
      </c>
      <c r="K479">
        <f t="shared" si="128"/>
        <v>0</v>
      </c>
    </row>
    <row r="480" spans="1:11" x14ac:dyDescent="0.35">
      <c r="A480" s="2">
        <v>3358</v>
      </c>
      <c r="B480" s="2">
        <f t="shared" si="129"/>
        <v>52</v>
      </c>
      <c r="C480" s="2">
        <f t="shared" si="130"/>
        <v>30</v>
      </c>
      <c r="D480" s="1" t="s">
        <v>119</v>
      </c>
      <c r="E480" t="str">
        <f t="shared" si="131"/>
        <v>0000</v>
      </c>
      <c r="F480" t="str">
        <f t="shared" si="126"/>
        <v>000000</v>
      </c>
      <c r="G480" t="str">
        <f t="shared" si="127"/>
        <v>000000</v>
      </c>
      <c r="H480" t="str">
        <f>LOOKUP(E480,Lookups!$A$1:$A$16,Lookups!$B$1:$B$16)</f>
        <v>z</v>
      </c>
      <c r="I480">
        <f t="shared" si="132"/>
        <v>0</v>
      </c>
      <c r="J480">
        <f t="shared" si="133"/>
        <v>0</v>
      </c>
      <c r="K480">
        <f t="shared" si="128"/>
        <v>0</v>
      </c>
    </row>
    <row r="481" spans="1:11" x14ac:dyDescent="0.35">
      <c r="A481" s="2">
        <v>3359</v>
      </c>
      <c r="B481" s="2">
        <f t="shared" si="129"/>
        <v>52</v>
      </c>
      <c r="C481" s="2">
        <f t="shared" si="130"/>
        <v>31</v>
      </c>
      <c r="D481" s="1" t="s">
        <v>119</v>
      </c>
      <c r="E481" t="str">
        <f t="shared" si="131"/>
        <v>0000</v>
      </c>
      <c r="F481" t="str">
        <f t="shared" si="126"/>
        <v>000000</v>
      </c>
      <c r="G481" t="str">
        <f t="shared" si="127"/>
        <v>000000</v>
      </c>
      <c r="H481" t="str">
        <f>LOOKUP(E481,Lookups!$A$1:$A$16,Lookups!$B$1:$B$16)</f>
        <v>z</v>
      </c>
      <c r="I481">
        <f t="shared" si="132"/>
        <v>0</v>
      </c>
      <c r="J481">
        <f t="shared" si="133"/>
        <v>0</v>
      </c>
      <c r="K481">
        <f t="shared" si="128"/>
        <v>0</v>
      </c>
    </row>
    <row r="482" spans="1:11" x14ac:dyDescent="0.35">
      <c r="A482" s="2">
        <v>3360</v>
      </c>
      <c r="B482" s="2">
        <f t="shared" si="129"/>
        <v>52</v>
      </c>
      <c r="C482" s="2">
        <f t="shared" si="130"/>
        <v>32</v>
      </c>
      <c r="D482" s="1" t="s">
        <v>119</v>
      </c>
      <c r="E482" t="str">
        <f t="shared" si="131"/>
        <v>0000</v>
      </c>
      <c r="F482" t="str">
        <f t="shared" si="126"/>
        <v>000000</v>
      </c>
      <c r="G482" t="str">
        <f t="shared" si="127"/>
        <v>000000</v>
      </c>
      <c r="H482" t="str">
        <f>LOOKUP(E482,Lookups!$A$1:$A$16,Lookups!$B$1:$B$16)</f>
        <v>z</v>
      </c>
      <c r="I482">
        <f t="shared" si="132"/>
        <v>0</v>
      </c>
      <c r="J482">
        <f t="shared" si="133"/>
        <v>0</v>
      </c>
      <c r="K482">
        <f t="shared" si="128"/>
        <v>0</v>
      </c>
    </row>
    <row r="483" spans="1:11" x14ac:dyDescent="0.35">
      <c r="A483" s="2">
        <v>3361</v>
      </c>
      <c r="B483" s="2">
        <f t="shared" si="129"/>
        <v>52</v>
      </c>
      <c r="C483" s="2">
        <f t="shared" si="130"/>
        <v>33</v>
      </c>
      <c r="D483" s="1" t="s">
        <v>119</v>
      </c>
      <c r="E483" t="str">
        <f t="shared" si="131"/>
        <v>0000</v>
      </c>
      <c r="F483" t="str">
        <f t="shared" si="126"/>
        <v>000000</v>
      </c>
      <c r="G483" t="str">
        <f t="shared" si="127"/>
        <v>000000</v>
      </c>
      <c r="H483" t="str">
        <f>LOOKUP(E483,Lookups!$A$1:$A$16,Lookups!$B$1:$B$16)</f>
        <v>z</v>
      </c>
      <c r="I483">
        <f t="shared" si="132"/>
        <v>0</v>
      </c>
      <c r="J483">
        <f t="shared" si="133"/>
        <v>0</v>
      </c>
      <c r="K483">
        <f t="shared" si="128"/>
        <v>0</v>
      </c>
    </row>
    <row r="484" spans="1:11" x14ac:dyDescent="0.35">
      <c r="A484" s="2">
        <v>3362</v>
      </c>
      <c r="B484" s="2">
        <f t="shared" si="129"/>
        <v>52</v>
      </c>
      <c r="C484" s="2">
        <f t="shared" si="130"/>
        <v>34</v>
      </c>
      <c r="D484" s="1" t="s">
        <v>119</v>
      </c>
      <c r="E484" t="str">
        <f t="shared" si="131"/>
        <v>0000</v>
      </c>
      <c r="F484" t="str">
        <f t="shared" si="126"/>
        <v>000000</v>
      </c>
      <c r="G484" t="str">
        <f t="shared" si="127"/>
        <v>000000</v>
      </c>
      <c r="H484" t="str">
        <f>LOOKUP(E484,Lookups!$A$1:$A$16,Lookups!$B$1:$B$16)</f>
        <v>z</v>
      </c>
      <c r="I484">
        <f t="shared" si="132"/>
        <v>0</v>
      </c>
      <c r="J484">
        <f t="shared" si="133"/>
        <v>0</v>
      </c>
      <c r="K484">
        <f t="shared" si="128"/>
        <v>0</v>
      </c>
    </row>
    <row r="485" spans="1:11" x14ac:dyDescent="0.35">
      <c r="A485" s="2">
        <v>3363</v>
      </c>
      <c r="B485" s="2">
        <f t="shared" si="129"/>
        <v>52</v>
      </c>
      <c r="C485" s="2">
        <f t="shared" si="130"/>
        <v>35</v>
      </c>
      <c r="D485" s="1" t="s">
        <v>119</v>
      </c>
      <c r="E485" t="str">
        <f t="shared" si="131"/>
        <v>0000</v>
      </c>
      <c r="F485" t="str">
        <f t="shared" si="126"/>
        <v>000000</v>
      </c>
      <c r="G485" t="str">
        <f t="shared" si="127"/>
        <v>000000</v>
      </c>
      <c r="H485" t="str">
        <f>LOOKUP(E485,Lookups!$A$1:$A$16,Lookups!$B$1:$B$16)</f>
        <v>z</v>
      </c>
      <c r="I485">
        <f t="shared" si="132"/>
        <v>0</v>
      </c>
      <c r="J485">
        <f t="shared" si="133"/>
        <v>0</v>
      </c>
      <c r="K485">
        <f t="shared" si="128"/>
        <v>0</v>
      </c>
    </row>
    <row r="486" spans="1:11" x14ac:dyDescent="0.35">
      <c r="A486" s="2">
        <v>3364</v>
      </c>
      <c r="B486" s="2">
        <f t="shared" si="129"/>
        <v>52</v>
      </c>
      <c r="C486" s="2">
        <f t="shared" si="130"/>
        <v>36</v>
      </c>
      <c r="D486" s="1" t="s">
        <v>119</v>
      </c>
      <c r="E486" t="str">
        <f t="shared" si="131"/>
        <v>0000</v>
      </c>
      <c r="F486" t="str">
        <f t="shared" si="126"/>
        <v>000000</v>
      </c>
      <c r="G486" t="str">
        <f t="shared" si="127"/>
        <v>000000</v>
      </c>
      <c r="H486" t="str">
        <f>LOOKUP(E486,Lookups!$A$1:$A$16,Lookups!$B$1:$B$16)</f>
        <v>z</v>
      </c>
      <c r="I486">
        <f t="shared" si="132"/>
        <v>0</v>
      </c>
      <c r="J486">
        <f t="shared" si="133"/>
        <v>0</v>
      </c>
      <c r="K486">
        <f t="shared" si="128"/>
        <v>0</v>
      </c>
    </row>
    <row r="487" spans="1:11" x14ac:dyDescent="0.35">
      <c r="A487" s="2">
        <v>3365</v>
      </c>
      <c r="B487" s="2">
        <f t="shared" si="129"/>
        <v>52</v>
      </c>
      <c r="C487" s="2">
        <f t="shared" si="130"/>
        <v>37</v>
      </c>
      <c r="D487" s="1" t="s">
        <v>119</v>
      </c>
      <c r="E487" t="str">
        <f t="shared" si="131"/>
        <v>0000</v>
      </c>
      <c r="F487" t="str">
        <f t="shared" si="126"/>
        <v>000000</v>
      </c>
      <c r="G487" t="str">
        <f t="shared" si="127"/>
        <v>000000</v>
      </c>
      <c r="H487" t="str">
        <f>LOOKUP(E487,Lookups!$A$1:$A$16,Lookups!$B$1:$B$16)</f>
        <v>z</v>
      </c>
      <c r="I487">
        <f t="shared" si="132"/>
        <v>0</v>
      </c>
      <c r="J487">
        <f t="shared" si="133"/>
        <v>0</v>
      </c>
      <c r="K487">
        <f t="shared" si="128"/>
        <v>0</v>
      </c>
    </row>
    <row r="488" spans="1:11" x14ac:dyDescent="0.35">
      <c r="A488" s="2">
        <v>3366</v>
      </c>
      <c r="B488" s="2">
        <f t="shared" si="129"/>
        <v>52</v>
      </c>
      <c r="C488" s="2">
        <f t="shared" si="130"/>
        <v>38</v>
      </c>
      <c r="D488" s="1" t="s">
        <v>119</v>
      </c>
      <c r="E488" t="str">
        <f t="shared" si="131"/>
        <v>0000</v>
      </c>
      <c r="F488" t="str">
        <f t="shared" si="126"/>
        <v>000000</v>
      </c>
      <c r="G488" t="str">
        <f t="shared" si="127"/>
        <v>000000</v>
      </c>
      <c r="H488" t="str">
        <f>LOOKUP(E488,Lookups!$A$1:$A$16,Lookups!$B$1:$B$16)</f>
        <v>z</v>
      </c>
      <c r="I488">
        <f t="shared" si="132"/>
        <v>0</v>
      </c>
      <c r="J488">
        <f t="shared" si="133"/>
        <v>0</v>
      </c>
      <c r="K488">
        <f t="shared" si="128"/>
        <v>0</v>
      </c>
    </row>
    <row r="489" spans="1:11" x14ac:dyDescent="0.35">
      <c r="A489" s="2">
        <v>3367</v>
      </c>
      <c r="B489" s="2">
        <f t="shared" si="129"/>
        <v>52</v>
      </c>
      <c r="C489" s="2">
        <f t="shared" si="130"/>
        <v>39</v>
      </c>
      <c r="D489" s="1" t="s">
        <v>119</v>
      </c>
      <c r="E489" t="str">
        <f t="shared" si="131"/>
        <v>0000</v>
      </c>
      <c r="F489" t="str">
        <f t="shared" si="126"/>
        <v>000000</v>
      </c>
      <c r="G489" t="str">
        <f t="shared" si="127"/>
        <v>000000</v>
      </c>
      <c r="H489" t="str">
        <f>LOOKUP(E489,Lookups!$A$1:$A$16,Lookups!$B$1:$B$16)</f>
        <v>z</v>
      </c>
      <c r="I489">
        <f t="shared" si="132"/>
        <v>0</v>
      </c>
      <c r="J489">
        <f t="shared" si="133"/>
        <v>0</v>
      </c>
      <c r="K489">
        <f t="shared" si="128"/>
        <v>0</v>
      </c>
    </row>
    <row r="490" spans="1:11" x14ac:dyDescent="0.35">
      <c r="A490" s="2">
        <v>3368</v>
      </c>
      <c r="B490" s="2">
        <f t="shared" si="129"/>
        <v>52</v>
      </c>
      <c r="C490" s="2">
        <f t="shared" si="130"/>
        <v>40</v>
      </c>
      <c r="D490" s="1" t="s">
        <v>119</v>
      </c>
      <c r="E490" t="str">
        <f t="shared" si="131"/>
        <v>0000</v>
      </c>
      <c r="F490" t="str">
        <f t="shared" si="126"/>
        <v>000000</v>
      </c>
      <c r="G490" t="str">
        <f t="shared" si="127"/>
        <v>000000</v>
      </c>
      <c r="H490" t="str">
        <f>LOOKUP(E490,Lookups!$A$1:$A$16,Lookups!$B$1:$B$16)</f>
        <v>z</v>
      </c>
      <c r="I490">
        <f t="shared" si="132"/>
        <v>0</v>
      </c>
      <c r="J490">
        <f t="shared" si="133"/>
        <v>0</v>
      </c>
      <c r="K490">
        <f t="shared" si="128"/>
        <v>0</v>
      </c>
    </row>
    <row r="491" spans="1:11" x14ac:dyDescent="0.35">
      <c r="A491" s="2">
        <v>3369</v>
      </c>
      <c r="B491" s="2">
        <f t="shared" si="129"/>
        <v>52</v>
      </c>
      <c r="C491" s="2">
        <f t="shared" si="130"/>
        <v>41</v>
      </c>
      <c r="D491" s="1" t="s">
        <v>119</v>
      </c>
      <c r="E491" t="str">
        <f t="shared" si="131"/>
        <v>0000</v>
      </c>
      <c r="F491" t="str">
        <f t="shared" si="126"/>
        <v>000000</v>
      </c>
      <c r="G491" t="str">
        <f t="shared" si="127"/>
        <v>000000</v>
      </c>
      <c r="H491" t="str">
        <f>LOOKUP(E491,Lookups!$A$1:$A$16,Lookups!$B$1:$B$16)</f>
        <v>z</v>
      </c>
      <c r="I491">
        <f t="shared" si="132"/>
        <v>0</v>
      </c>
      <c r="J491">
        <f t="shared" si="133"/>
        <v>0</v>
      </c>
      <c r="K491">
        <f t="shared" si="128"/>
        <v>0</v>
      </c>
    </row>
    <row r="492" spans="1:11" x14ac:dyDescent="0.35">
      <c r="A492" s="2">
        <v>3370</v>
      </c>
      <c r="B492" s="2">
        <f t="shared" si="129"/>
        <v>52</v>
      </c>
      <c r="C492" s="2">
        <f t="shared" si="130"/>
        <v>42</v>
      </c>
      <c r="D492" s="1" t="s">
        <v>119</v>
      </c>
      <c r="E492" t="str">
        <f t="shared" si="131"/>
        <v>0000</v>
      </c>
      <c r="F492" t="str">
        <f t="shared" si="126"/>
        <v>000000</v>
      </c>
      <c r="G492" t="str">
        <f t="shared" si="127"/>
        <v>000000</v>
      </c>
      <c r="H492" t="str">
        <f>LOOKUP(E492,Lookups!$A$1:$A$16,Lookups!$B$1:$B$16)</f>
        <v>z</v>
      </c>
      <c r="I492">
        <f t="shared" si="132"/>
        <v>0</v>
      </c>
      <c r="J492">
        <f t="shared" si="133"/>
        <v>0</v>
      </c>
      <c r="K492">
        <f t="shared" si="128"/>
        <v>0</v>
      </c>
    </row>
    <row r="493" spans="1:11" x14ac:dyDescent="0.35">
      <c r="A493" s="2">
        <v>3371</v>
      </c>
      <c r="B493" s="2">
        <f t="shared" si="129"/>
        <v>52</v>
      </c>
      <c r="C493" s="2">
        <f t="shared" si="130"/>
        <v>43</v>
      </c>
      <c r="D493" s="1" t="s">
        <v>119</v>
      </c>
      <c r="E493" t="str">
        <f t="shared" si="131"/>
        <v>0000</v>
      </c>
      <c r="F493" t="str">
        <f t="shared" si="126"/>
        <v>000000</v>
      </c>
      <c r="G493" t="str">
        <f t="shared" si="127"/>
        <v>000000</v>
      </c>
      <c r="H493" t="str">
        <f>LOOKUP(E493,Lookups!$A$1:$A$16,Lookups!$B$1:$B$16)</f>
        <v>z</v>
      </c>
      <c r="I493">
        <f t="shared" si="132"/>
        <v>0</v>
      </c>
      <c r="J493">
        <f t="shared" si="133"/>
        <v>0</v>
      </c>
      <c r="K493">
        <f t="shared" si="128"/>
        <v>0</v>
      </c>
    </row>
    <row r="494" spans="1:11" x14ac:dyDescent="0.35">
      <c r="A494" s="2">
        <v>3372</v>
      </c>
      <c r="B494" s="2">
        <f t="shared" si="129"/>
        <v>52</v>
      </c>
      <c r="C494" s="2">
        <f t="shared" si="130"/>
        <v>44</v>
      </c>
      <c r="D494" s="1" t="s">
        <v>119</v>
      </c>
      <c r="E494" t="str">
        <f t="shared" si="131"/>
        <v>0000</v>
      </c>
      <c r="F494" t="str">
        <f t="shared" si="126"/>
        <v>000000</v>
      </c>
      <c r="G494" t="str">
        <f t="shared" si="127"/>
        <v>000000</v>
      </c>
      <c r="H494" t="str">
        <f>LOOKUP(E494,Lookups!$A$1:$A$16,Lookups!$B$1:$B$16)</f>
        <v>z</v>
      </c>
      <c r="I494">
        <f t="shared" si="132"/>
        <v>0</v>
      </c>
      <c r="J494">
        <f t="shared" si="133"/>
        <v>0</v>
      </c>
      <c r="K494">
        <f t="shared" si="128"/>
        <v>0</v>
      </c>
    </row>
    <row r="495" spans="1:11" x14ac:dyDescent="0.35">
      <c r="A495" s="2">
        <v>3373</v>
      </c>
      <c r="B495" s="2">
        <f t="shared" si="129"/>
        <v>52</v>
      </c>
      <c r="C495" s="2">
        <f t="shared" si="130"/>
        <v>45</v>
      </c>
      <c r="D495" s="1" t="s">
        <v>119</v>
      </c>
      <c r="E495" t="str">
        <f t="shared" si="131"/>
        <v>0000</v>
      </c>
      <c r="F495" t="str">
        <f t="shared" si="126"/>
        <v>000000</v>
      </c>
      <c r="G495" t="str">
        <f t="shared" si="127"/>
        <v>000000</v>
      </c>
      <c r="H495" t="str">
        <f>LOOKUP(E495,Lookups!$A$1:$A$16,Lookups!$B$1:$B$16)</f>
        <v>z</v>
      </c>
      <c r="I495">
        <f t="shared" si="132"/>
        <v>0</v>
      </c>
      <c r="J495">
        <f t="shared" si="133"/>
        <v>0</v>
      </c>
      <c r="K495">
        <f t="shared" si="128"/>
        <v>0</v>
      </c>
    </row>
    <row r="496" spans="1:11" x14ac:dyDescent="0.35">
      <c r="A496" s="2">
        <v>3374</v>
      </c>
      <c r="B496" s="2">
        <f t="shared" si="129"/>
        <v>52</v>
      </c>
      <c r="C496" s="2">
        <f t="shared" si="130"/>
        <v>46</v>
      </c>
      <c r="D496" s="1" t="s">
        <v>119</v>
      </c>
      <c r="E496" t="str">
        <f t="shared" si="131"/>
        <v>0000</v>
      </c>
      <c r="F496" t="str">
        <f t="shared" si="126"/>
        <v>000000</v>
      </c>
      <c r="G496" t="str">
        <f t="shared" si="127"/>
        <v>000000</v>
      </c>
      <c r="H496" t="str">
        <f>LOOKUP(E496,Lookups!$A$1:$A$16,Lookups!$B$1:$B$16)</f>
        <v>z</v>
      </c>
      <c r="I496">
        <f t="shared" si="132"/>
        <v>0</v>
      </c>
      <c r="J496">
        <f t="shared" si="133"/>
        <v>0</v>
      </c>
      <c r="K496">
        <f t="shared" si="128"/>
        <v>0</v>
      </c>
    </row>
    <row r="497" spans="1:11" x14ac:dyDescent="0.35">
      <c r="A497" s="2">
        <v>3375</v>
      </c>
      <c r="B497" s="2">
        <f t="shared" si="129"/>
        <v>52</v>
      </c>
      <c r="C497" s="2">
        <f t="shared" si="130"/>
        <v>47</v>
      </c>
      <c r="D497" s="1" t="s">
        <v>119</v>
      </c>
      <c r="E497" t="str">
        <f t="shared" si="131"/>
        <v>0000</v>
      </c>
      <c r="F497" t="str">
        <f t="shared" si="126"/>
        <v>000000</v>
      </c>
      <c r="G497" t="str">
        <f t="shared" si="127"/>
        <v>000000</v>
      </c>
      <c r="H497" t="str">
        <f>LOOKUP(E497,Lookups!$A$1:$A$16,Lookups!$B$1:$B$16)</f>
        <v>z</v>
      </c>
      <c r="I497">
        <f t="shared" si="132"/>
        <v>0</v>
      </c>
      <c r="J497">
        <f t="shared" si="133"/>
        <v>0</v>
      </c>
      <c r="K497">
        <f t="shared" si="128"/>
        <v>0</v>
      </c>
    </row>
    <row r="498" spans="1:11" x14ac:dyDescent="0.35">
      <c r="A498" s="2">
        <v>3376</v>
      </c>
      <c r="B498" s="2">
        <f t="shared" si="129"/>
        <v>52</v>
      </c>
      <c r="C498" s="2">
        <f t="shared" si="130"/>
        <v>48</v>
      </c>
      <c r="D498" s="1" t="s">
        <v>119</v>
      </c>
      <c r="E498" t="str">
        <f t="shared" si="131"/>
        <v>0000</v>
      </c>
      <c r="F498" t="str">
        <f t="shared" si="126"/>
        <v>000000</v>
      </c>
      <c r="G498" t="str">
        <f t="shared" si="127"/>
        <v>000000</v>
      </c>
      <c r="H498" t="str">
        <f>LOOKUP(E498,Lookups!$A$1:$A$16,Lookups!$B$1:$B$16)</f>
        <v>z</v>
      </c>
      <c r="I498">
        <f t="shared" si="132"/>
        <v>0</v>
      </c>
      <c r="J498">
        <f t="shared" si="133"/>
        <v>0</v>
      </c>
      <c r="K498">
        <f t="shared" si="128"/>
        <v>0</v>
      </c>
    </row>
    <row r="499" spans="1:11" x14ac:dyDescent="0.35">
      <c r="A499" s="2">
        <v>3377</v>
      </c>
      <c r="B499" s="2">
        <f t="shared" si="129"/>
        <v>52</v>
      </c>
      <c r="C499" s="2">
        <f t="shared" si="130"/>
        <v>49</v>
      </c>
      <c r="D499" s="1" t="s">
        <v>119</v>
      </c>
      <c r="E499" t="str">
        <f t="shared" si="131"/>
        <v>0000</v>
      </c>
      <c r="F499" t="str">
        <f t="shared" si="126"/>
        <v>000000</v>
      </c>
      <c r="G499" t="str">
        <f t="shared" si="127"/>
        <v>000000</v>
      </c>
      <c r="H499" t="str">
        <f>LOOKUP(E499,Lookups!$A$1:$A$16,Lookups!$B$1:$B$16)</f>
        <v>z</v>
      </c>
      <c r="I499">
        <f t="shared" si="132"/>
        <v>0</v>
      </c>
      <c r="J499">
        <f t="shared" si="133"/>
        <v>0</v>
      </c>
      <c r="K499">
        <f t="shared" si="128"/>
        <v>0</v>
      </c>
    </row>
    <row r="500" spans="1:11" x14ac:dyDescent="0.35">
      <c r="A500" s="2">
        <v>3378</v>
      </c>
      <c r="B500" s="2">
        <f t="shared" si="129"/>
        <v>52</v>
      </c>
      <c r="C500" s="2">
        <f t="shared" si="130"/>
        <v>50</v>
      </c>
      <c r="D500" s="1" t="s">
        <v>119</v>
      </c>
      <c r="E500" t="str">
        <f t="shared" si="131"/>
        <v>0000</v>
      </c>
      <c r="F500" t="str">
        <f t="shared" si="126"/>
        <v>000000</v>
      </c>
      <c r="G500" t="str">
        <f t="shared" si="127"/>
        <v>000000</v>
      </c>
      <c r="H500" t="str">
        <f>LOOKUP(E500,Lookups!$A$1:$A$16,Lookups!$B$1:$B$16)</f>
        <v>z</v>
      </c>
      <c r="I500">
        <f t="shared" si="132"/>
        <v>0</v>
      </c>
      <c r="J500">
        <f t="shared" si="133"/>
        <v>0</v>
      </c>
      <c r="K500">
        <f t="shared" si="128"/>
        <v>0</v>
      </c>
    </row>
    <row r="501" spans="1:11" x14ac:dyDescent="0.35">
      <c r="A501" s="2">
        <v>3379</v>
      </c>
      <c r="B501" s="2">
        <f t="shared" si="129"/>
        <v>52</v>
      </c>
      <c r="C501" s="2">
        <f t="shared" si="130"/>
        <v>51</v>
      </c>
      <c r="D501" s="1" t="s">
        <v>119</v>
      </c>
      <c r="E501" t="str">
        <f t="shared" si="131"/>
        <v>0000</v>
      </c>
      <c r="F501" t="str">
        <f t="shared" si="126"/>
        <v>000000</v>
      </c>
      <c r="G501" t="str">
        <f t="shared" si="127"/>
        <v>000000</v>
      </c>
      <c r="H501" t="str">
        <f>LOOKUP(E501,Lookups!$A$1:$A$16,Lookups!$B$1:$B$16)</f>
        <v>z</v>
      </c>
      <c r="I501">
        <f t="shared" si="132"/>
        <v>0</v>
      </c>
      <c r="J501">
        <f t="shared" si="133"/>
        <v>0</v>
      </c>
      <c r="K501">
        <f t="shared" si="128"/>
        <v>0</v>
      </c>
    </row>
    <row r="502" spans="1:11" x14ac:dyDescent="0.35">
      <c r="A502" s="2">
        <v>3380</v>
      </c>
      <c r="B502" s="2">
        <f t="shared" si="129"/>
        <v>52</v>
      </c>
      <c r="C502" s="2">
        <f t="shared" si="130"/>
        <v>52</v>
      </c>
      <c r="D502" s="1" t="s">
        <v>119</v>
      </c>
      <c r="E502" t="str">
        <f t="shared" si="131"/>
        <v>0000</v>
      </c>
      <c r="F502" t="str">
        <f t="shared" si="126"/>
        <v>000000</v>
      </c>
      <c r="G502" t="str">
        <f t="shared" si="127"/>
        <v>000000</v>
      </c>
      <c r="H502" t="str">
        <f>LOOKUP(E502,Lookups!$A$1:$A$16,Lookups!$B$1:$B$16)</f>
        <v>z</v>
      </c>
      <c r="I502">
        <f t="shared" si="132"/>
        <v>0</v>
      </c>
      <c r="J502">
        <f t="shared" si="133"/>
        <v>0</v>
      </c>
      <c r="K502">
        <f t="shared" si="128"/>
        <v>0</v>
      </c>
    </row>
    <row r="503" spans="1:11" x14ac:dyDescent="0.35">
      <c r="A503" s="2">
        <v>3381</v>
      </c>
      <c r="B503" s="2">
        <f t="shared" si="129"/>
        <v>52</v>
      </c>
      <c r="C503" s="2">
        <f t="shared" si="130"/>
        <v>53</v>
      </c>
      <c r="D503" s="1" t="s">
        <v>119</v>
      </c>
      <c r="E503" t="str">
        <f t="shared" si="131"/>
        <v>0000</v>
      </c>
      <c r="F503" t="str">
        <f t="shared" si="126"/>
        <v>000000</v>
      </c>
      <c r="G503" t="str">
        <f t="shared" si="127"/>
        <v>000000</v>
      </c>
      <c r="H503" t="str">
        <f>LOOKUP(E503,Lookups!$A$1:$A$16,Lookups!$B$1:$B$16)</f>
        <v>z</v>
      </c>
      <c r="I503">
        <f t="shared" si="132"/>
        <v>0</v>
      </c>
      <c r="J503">
        <f t="shared" si="133"/>
        <v>0</v>
      </c>
      <c r="K503">
        <f t="shared" si="128"/>
        <v>0</v>
      </c>
    </row>
    <row r="504" spans="1:11" x14ac:dyDescent="0.35">
      <c r="A504" s="2">
        <v>3382</v>
      </c>
      <c r="B504" s="2">
        <f t="shared" si="129"/>
        <v>52</v>
      </c>
      <c r="C504" s="2">
        <f t="shared" si="130"/>
        <v>54</v>
      </c>
      <c r="D504" s="1" t="s">
        <v>119</v>
      </c>
      <c r="E504" t="str">
        <f t="shared" si="131"/>
        <v>0000</v>
      </c>
      <c r="F504" t="str">
        <f t="shared" si="126"/>
        <v>000000</v>
      </c>
      <c r="G504" t="str">
        <f t="shared" si="127"/>
        <v>000000</v>
      </c>
      <c r="H504" t="str">
        <f>LOOKUP(E504,Lookups!$A$1:$A$16,Lookups!$B$1:$B$16)</f>
        <v>z</v>
      </c>
      <c r="I504">
        <f t="shared" si="132"/>
        <v>0</v>
      </c>
      <c r="J504">
        <f t="shared" si="133"/>
        <v>0</v>
      </c>
      <c r="K504">
        <f t="shared" si="128"/>
        <v>0</v>
      </c>
    </row>
    <row r="505" spans="1:11" x14ac:dyDescent="0.35">
      <c r="A505" s="2">
        <v>3383</v>
      </c>
      <c r="B505" s="2">
        <f t="shared" si="129"/>
        <v>52</v>
      </c>
      <c r="C505" s="2">
        <f t="shared" si="130"/>
        <v>55</v>
      </c>
      <c r="D505" s="1" t="s">
        <v>119</v>
      </c>
      <c r="E505" t="str">
        <f t="shared" si="131"/>
        <v>0000</v>
      </c>
      <c r="F505" t="str">
        <f t="shared" si="126"/>
        <v>000000</v>
      </c>
      <c r="G505" t="str">
        <f t="shared" si="127"/>
        <v>000000</v>
      </c>
      <c r="H505" t="str">
        <f>LOOKUP(E505,Lookups!$A$1:$A$16,Lookups!$B$1:$B$16)</f>
        <v>z</v>
      </c>
      <c r="I505">
        <f t="shared" si="132"/>
        <v>0</v>
      </c>
      <c r="J505">
        <f t="shared" si="133"/>
        <v>0</v>
      </c>
      <c r="K505">
        <f t="shared" si="128"/>
        <v>0</v>
      </c>
    </row>
    <row r="506" spans="1:11" x14ac:dyDescent="0.35">
      <c r="A506" s="2">
        <v>3384</v>
      </c>
      <c r="B506" s="2">
        <f t="shared" si="129"/>
        <v>52</v>
      </c>
      <c r="C506" s="2">
        <f t="shared" si="130"/>
        <v>56</v>
      </c>
      <c r="D506" s="1" t="s">
        <v>119</v>
      </c>
      <c r="E506" t="str">
        <f t="shared" si="131"/>
        <v>0000</v>
      </c>
      <c r="F506" t="str">
        <f t="shared" si="126"/>
        <v>000000</v>
      </c>
      <c r="G506" t="str">
        <f t="shared" si="127"/>
        <v>000000</v>
      </c>
      <c r="H506" t="str">
        <f>LOOKUP(E506,Lookups!$A$1:$A$16,Lookups!$B$1:$B$16)</f>
        <v>z</v>
      </c>
      <c r="I506">
        <f t="shared" si="132"/>
        <v>0</v>
      </c>
      <c r="J506">
        <f t="shared" si="133"/>
        <v>0</v>
      </c>
      <c r="K506">
        <f t="shared" si="128"/>
        <v>0</v>
      </c>
    </row>
    <row r="507" spans="1:11" x14ac:dyDescent="0.35">
      <c r="A507" s="2">
        <v>3385</v>
      </c>
      <c r="B507" s="2">
        <f t="shared" si="129"/>
        <v>52</v>
      </c>
      <c r="C507" s="2">
        <f t="shared" si="130"/>
        <v>57</v>
      </c>
      <c r="D507" s="1" t="s">
        <v>119</v>
      </c>
      <c r="E507" t="str">
        <f t="shared" si="131"/>
        <v>0000</v>
      </c>
      <c r="F507" t="str">
        <f t="shared" si="126"/>
        <v>000000</v>
      </c>
      <c r="G507" t="str">
        <f t="shared" si="127"/>
        <v>000000</v>
      </c>
      <c r="H507" t="str">
        <f>LOOKUP(E507,Lookups!$A$1:$A$16,Lookups!$B$1:$B$16)</f>
        <v>z</v>
      </c>
      <c r="I507">
        <f t="shared" si="132"/>
        <v>0</v>
      </c>
      <c r="J507">
        <f t="shared" si="133"/>
        <v>0</v>
      </c>
      <c r="K507">
        <f t="shared" si="128"/>
        <v>0</v>
      </c>
    </row>
    <row r="508" spans="1:11" x14ac:dyDescent="0.35">
      <c r="A508" s="2">
        <v>3386</v>
      </c>
      <c r="B508" s="2">
        <f t="shared" si="129"/>
        <v>52</v>
      </c>
      <c r="C508" s="2">
        <f t="shared" si="130"/>
        <v>58</v>
      </c>
      <c r="D508" s="1" t="s">
        <v>119</v>
      </c>
      <c r="E508" t="str">
        <f t="shared" si="131"/>
        <v>0000</v>
      </c>
      <c r="F508" t="str">
        <f t="shared" si="126"/>
        <v>000000</v>
      </c>
      <c r="G508" t="str">
        <f t="shared" si="127"/>
        <v>000000</v>
      </c>
      <c r="H508" t="str">
        <f>LOOKUP(E508,Lookups!$A$1:$A$16,Lookups!$B$1:$B$16)</f>
        <v>z</v>
      </c>
      <c r="I508">
        <f t="shared" si="132"/>
        <v>0</v>
      </c>
      <c r="J508">
        <f t="shared" si="133"/>
        <v>0</v>
      </c>
      <c r="K508">
        <f t="shared" si="128"/>
        <v>0</v>
      </c>
    </row>
    <row r="509" spans="1:11" x14ac:dyDescent="0.35">
      <c r="A509" s="2">
        <v>3387</v>
      </c>
      <c r="B509" s="2">
        <f t="shared" si="129"/>
        <v>52</v>
      </c>
      <c r="C509" s="2">
        <f t="shared" si="130"/>
        <v>59</v>
      </c>
      <c r="D509" s="1" t="s">
        <v>119</v>
      </c>
      <c r="E509" t="str">
        <f t="shared" si="131"/>
        <v>0000</v>
      </c>
      <c r="F509" t="str">
        <f t="shared" si="126"/>
        <v>000000</v>
      </c>
      <c r="G509" t="str">
        <f t="shared" si="127"/>
        <v>000000</v>
      </c>
      <c r="H509" t="str">
        <f>LOOKUP(E509,Lookups!$A$1:$A$16,Lookups!$B$1:$B$16)</f>
        <v>z</v>
      </c>
      <c r="I509">
        <f t="shared" si="132"/>
        <v>0</v>
      </c>
      <c r="J509">
        <f t="shared" si="133"/>
        <v>0</v>
      </c>
      <c r="K509">
        <f t="shared" si="128"/>
        <v>0</v>
      </c>
    </row>
    <row r="510" spans="1:11" x14ac:dyDescent="0.35">
      <c r="A510" s="2">
        <v>3388</v>
      </c>
      <c r="B510" s="2">
        <f t="shared" si="129"/>
        <v>52</v>
      </c>
      <c r="C510" s="2">
        <f t="shared" si="130"/>
        <v>60</v>
      </c>
      <c r="D510" s="1" t="s">
        <v>119</v>
      </c>
      <c r="E510" t="str">
        <f t="shared" si="131"/>
        <v>0000</v>
      </c>
      <c r="F510" t="str">
        <f t="shared" si="126"/>
        <v>000000</v>
      </c>
      <c r="G510" t="str">
        <f t="shared" si="127"/>
        <v>000000</v>
      </c>
      <c r="H510" t="str">
        <f>LOOKUP(E510,Lookups!$A$1:$A$16,Lookups!$B$1:$B$16)</f>
        <v>z</v>
      </c>
      <c r="I510">
        <f t="shared" si="132"/>
        <v>0</v>
      </c>
      <c r="J510">
        <f t="shared" si="133"/>
        <v>0</v>
      </c>
      <c r="K510">
        <f t="shared" si="128"/>
        <v>0</v>
      </c>
    </row>
    <row r="511" spans="1:11" x14ac:dyDescent="0.35">
      <c r="A511" s="2">
        <v>3389</v>
      </c>
      <c r="B511" s="2">
        <f t="shared" si="129"/>
        <v>52</v>
      </c>
      <c r="C511" s="2">
        <f t="shared" si="130"/>
        <v>61</v>
      </c>
      <c r="D511" s="1" t="s">
        <v>119</v>
      </c>
      <c r="E511" t="str">
        <f t="shared" si="131"/>
        <v>0000</v>
      </c>
      <c r="F511" t="str">
        <f t="shared" si="126"/>
        <v>000000</v>
      </c>
      <c r="G511" t="str">
        <f t="shared" si="127"/>
        <v>000000</v>
      </c>
      <c r="H511" t="str">
        <f>LOOKUP(E511,Lookups!$A$1:$A$16,Lookups!$B$1:$B$16)</f>
        <v>z</v>
      </c>
      <c r="I511">
        <f t="shared" si="132"/>
        <v>0</v>
      </c>
      <c r="J511">
        <f t="shared" si="133"/>
        <v>0</v>
      </c>
      <c r="K511">
        <f t="shared" si="128"/>
        <v>0</v>
      </c>
    </row>
    <row r="512" spans="1:11" x14ac:dyDescent="0.35">
      <c r="A512" s="2">
        <v>3390</v>
      </c>
      <c r="B512" s="2">
        <f t="shared" si="129"/>
        <v>52</v>
      </c>
      <c r="C512" s="2">
        <f t="shared" si="130"/>
        <v>62</v>
      </c>
      <c r="D512" s="1" t="s">
        <v>119</v>
      </c>
      <c r="E512" t="str">
        <f t="shared" si="131"/>
        <v>0000</v>
      </c>
      <c r="F512" t="str">
        <f t="shared" si="126"/>
        <v>000000</v>
      </c>
      <c r="G512" t="str">
        <f t="shared" si="127"/>
        <v>000000</v>
      </c>
      <c r="H512" t="str">
        <f>LOOKUP(E512,Lookups!$A$1:$A$16,Lookups!$B$1:$B$16)</f>
        <v>z</v>
      </c>
      <c r="I512">
        <f t="shared" si="132"/>
        <v>0</v>
      </c>
      <c r="J512">
        <f t="shared" si="133"/>
        <v>0</v>
      </c>
      <c r="K512">
        <f t="shared" si="128"/>
        <v>0</v>
      </c>
    </row>
    <row r="513" spans="1:11" x14ac:dyDescent="0.35">
      <c r="A513" s="2">
        <v>3391</v>
      </c>
      <c r="B513" s="2">
        <f t="shared" si="129"/>
        <v>52</v>
      </c>
      <c r="C513" s="2">
        <f t="shared" si="130"/>
        <v>63</v>
      </c>
      <c r="D513" s="1" t="s">
        <v>119</v>
      </c>
      <c r="E513" t="str">
        <f t="shared" si="131"/>
        <v>0000</v>
      </c>
      <c r="F513" t="str">
        <f t="shared" si="126"/>
        <v>000000</v>
      </c>
      <c r="G513" t="str">
        <f t="shared" si="127"/>
        <v>000000</v>
      </c>
      <c r="H513" t="str">
        <f>LOOKUP(E513,Lookups!$A$1:$A$16,Lookups!$B$1:$B$16)</f>
        <v>z</v>
      </c>
      <c r="I513">
        <f t="shared" si="132"/>
        <v>0</v>
      </c>
      <c r="J513">
        <f t="shared" si="133"/>
        <v>0</v>
      </c>
      <c r="K513">
        <f t="shared" si="128"/>
        <v>0</v>
      </c>
    </row>
    <row r="514" spans="1:11" x14ac:dyDescent="0.35">
      <c r="A514" s="2">
        <v>3392</v>
      </c>
      <c r="B514" s="2">
        <f t="shared" si="129"/>
        <v>53</v>
      </c>
      <c r="C514" s="2">
        <f t="shared" si="130"/>
        <v>0</v>
      </c>
      <c r="D514" s="1" t="s">
        <v>119</v>
      </c>
      <c r="E514" t="str">
        <f t="shared" si="131"/>
        <v>0000</v>
      </c>
      <c r="F514" t="str">
        <f t="shared" ref="F514:F577" si="134">MID(D514,19,6)</f>
        <v>000000</v>
      </c>
      <c r="G514" t="str">
        <f t="shared" ref="G514:G577" si="135">MID(D514,25,6)</f>
        <v>000000</v>
      </c>
      <c r="H514" t="str">
        <f>LOOKUP(E514,Lookups!$A$1:$A$16,Lookups!$B$1:$B$16)</f>
        <v>z</v>
      </c>
      <c r="I514">
        <f t="shared" si="132"/>
        <v>0</v>
      </c>
      <c r="J514">
        <f t="shared" si="133"/>
        <v>0</v>
      </c>
      <c r="K514">
        <f t="shared" ref="K514:K577" si="136">I514*64+J514</f>
        <v>0</v>
      </c>
    </row>
    <row r="515" spans="1:11" x14ac:dyDescent="0.35">
      <c r="A515" s="2">
        <v>3393</v>
      </c>
      <c r="B515" s="2">
        <f t="shared" ref="B515:B578" si="137">QUOTIENT(A515,64)</f>
        <v>53</v>
      </c>
      <c r="C515" s="2">
        <f t="shared" ref="C515:C578" si="138">MOD(A515,64)</f>
        <v>1</v>
      </c>
      <c r="D515" s="1" t="s">
        <v>119</v>
      </c>
      <c r="E515" t="str">
        <f t="shared" ref="E515:E578" si="139">MID(D515,13,4)</f>
        <v>0000</v>
      </c>
      <c r="F515" t="str">
        <f t="shared" si="134"/>
        <v>000000</v>
      </c>
      <c r="G515" t="str">
        <f t="shared" si="135"/>
        <v>000000</v>
      </c>
      <c r="H515" t="str">
        <f>LOOKUP(E515,Lookups!$A$1:$A$16,Lookups!$B$1:$B$16)</f>
        <v>z</v>
      </c>
      <c r="I515">
        <f t="shared" ref="I515:I578" si="140">BIN2DEC(F515)</f>
        <v>0</v>
      </c>
      <c r="J515">
        <f t="shared" ref="J515:J578" si="141">BIN2DEC(G515)</f>
        <v>0</v>
      </c>
      <c r="K515">
        <f t="shared" si="136"/>
        <v>0</v>
      </c>
    </row>
    <row r="516" spans="1:11" x14ac:dyDescent="0.35">
      <c r="A516" s="2">
        <v>3394</v>
      </c>
      <c r="B516" s="2">
        <f t="shared" si="137"/>
        <v>53</v>
      </c>
      <c r="C516" s="2">
        <f t="shared" si="138"/>
        <v>2</v>
      </c>
      <c r="D516" s="1" t="s">
        <v>119</v>
      </c>
      <c r="E516" t="str">
        <f t="shared" si="139"/>
        <v>0000</v>
      </c>
      <c r="F516" t="str">
        <f t="shared" si="134"/>
        <v>000000</v>
      </c>
      <c r="G516" t="str">
        <f t="shared" si="135"/>
        <v>000000</v>
      </c>
      <c r="H516" t="str">
        <f>LOOKUP(E516,Lookups!$A$1:$A$16,Lookups!$B$1:$B$16)</f>
        <v>z</v>
      </c>
      <c r="I516">
        <f t="shared" si="140"/>
        <v>0</v>
      </c>
      <c r="J516">
        <f t="shared" si="141"/>
        <v>0</v>
      </c>
      <c r="K516">
        <f t="shared" si="136"/>
        <v>0</v>
      </c>
    </row>
    <row r="517" spans="1:11" x14ac:dyDescent="0.35">
      <c r="A517" s="2">
        <v>3395</v>
      </c>
      <c r="B517" s="2">
        <f t="shared" si="137"/>
        <v>53</v>
      </c>
      <c r="C517" s="2">
        <f t="shared" si="138"/>
        <v>3</v>
      </c>
      <c r="D517" s="1" t="s">
        <v>119</v>
      </c>
      <c r="E517" t="str">
        <f t="shared" si="139"/>
        <v>0000</v>
      </c>
      <c r="F517" t="str">
        <f t="shared" si="134"/>
        <v>000000</v>
      </c>
      <c r="G517" t="str">
        <f t="shared" si="135"/>
        <v>000000</v>
      </c>
      <c r="H517" t="str">
        <f>LOOKUP(E517,Lookups!$A$1:$A$16,Lookups!$B$1:$B$16)</f>
        <v>z</v>
      </c>
      <c r="I517">
        <f t="shared" si="140"/>
        <v>0</v>
      </c>
      <c r="J517">
        <f t="shared" si="141"/>
        <v>0</v>
      </c>
      <c r="K517">
        <f t="shared" si="136"/>
        <v>0</v>
      </c>
    </row>
    <row r="518" spans="1:11" x14ac:dyDescent="0.35">
      <c r="A518" s="2">
        <v>3396</v>
      </c>
      <c r="B518" s="2">
        <f t="shared" si="137"/>
        <v>53</v>
      </c>
      <c r="C518" s="2">
        <f t="shared" si="138"/>
        <v>4</v>
      </c>
      <c r="D518" s="1" t="s">
        <v>119</v>
      </c>
      <c r="E518" t="str">
        <f t="shared" si="139"/>
        <v>0000</v>
      </c>
      <c r="F518" t="str">
        <f t="shared" si="134"/>
        <v>000000</v>
      </c>
      <c r="G518" t="str">
        <f t="shared" si="135"/>
        <v>000000</v>
      </c>
      <c r="H518" t="str">
        <f>LOOKUP(E518,Lookups!$A$1:$A$16,Lookups!$B$1:$B$16)</f>
        <v>z</v>
      </c>
      <c r="I518">
        <f t="shared" si="140"/>
        <v>0</v>
      </c>
      <c r="J518">
        <f t="shared" si="141"/>
        <v>0</v>
      </c>
      <c r="K518">
        <f t="shared" si="136"/>
        <v>0</v>
      </c>
    </row>
    <row r="519" spans="1:11" x14ac:dyDescent="0.35">
      <c r="A519" s="2">
        <v>3397</v>
      </c>
      <c r="B519" s="2">
        <f t="shared" si="137"/>
        <v>53</v>
      </c>
      <c r="C519" s="2">
        <f t="shared" si="138"/>
        <v>5</v>
      </c>
      <c r="D519" s="1" t="s">
        <v>119</v>
      </c>
      <c r="E519" t="str">
        <f t="shared" si="139"/>
        <v>0000</v>
      </c>
      <c r="F519" t="str">
        <f t="shared" si="134"/>
        <v>000000</v>
      </c>
      <c r="G519" t="str">
        <f t="shared" si="135"/>
        <v>000000</v>
      </c>
      <c r="H519" t="str">
        <f>LOOKUP(E519,Lookups!$A$1:$A$16,Lookups!$B$1:$B$16)</f>
        <v>z</v>
      </c>
      <c r="I519">
        <f t="shared" si="140"/>
        <v>0</v>
      </c>
      <c r="J519">
        <f t="shared" si="141"/>
        <v>0</v>
      </c>
      <c r="K519">
        <f t="shared" si="136"/>
        <v>0</v>
      </c>
    </row>
    <row r="520" spans="1:11" x14ac:dyDescent="0.35">
      <c r="A520" s="2">
        <v>3398</v>
      </c>
      <c r="B520" s="2">
        <f t="shared" si="137"/>
        <v>53</v>
      </c>
      <c r="C520" s="2">
        <f t="shared" si="138"/>
        <v>6</v>
      </c>
      <c r="D520" s="1" t="s">
        <v>119</v>
      </c>
      <c r="E520" t="str">
        <f t="shared" si="139"/>
        <v>0000</v>
      </c>
      <c r="F520" t="str">
        <f t="shared" si="134"/>
        <v>000000</v>
      </c>
      <c r="G520" t="str">
        <f t="shared" si="135"/>
        <v>000000</v>
      </c>
      <c r="H520" t="str">
        <f>LOOKUP(E520,Lookups!$A$1:$A$16,Lookups!$B$1:$B$16)</f>
        <v>z</v>
      </c>
      <c r="I520">
        <f t="shared" si="140"/>
        <v>0</v>
      </c>
      <c r="J520">
        <f t="shared" si="141"/>
        <v>0</v>
      </c>
      <c r="K520">
        <f t="shared" si="136"/>
        <v>0</v>
      </c>
    </row>
    <row r="521" spans="1:11" x14ac:dyDescent="0.35">
      <c r="A521" s="2">
        <v>3399</v>
      </c>
      <c r="B521" s="2">
        <f t="shared" si="137"/>
        <v>53</v>
      </c>
      <c r="C521" s="2">
        <f t="shared" si="138"/>
        <v>7</v>
      </c>
      <c r="D521" s="1" t="s">
        <v>119</v>
      </c>
      <c r="E521" t="str">
        <f t="shared" si="139"/>
        <v>0000</v>
      </c>
      <c r="F521" t="str">
        <f t="shared" si="134"/>
        <v>000000</v>
      </c>
      <c r="G521" t="str">
        <f t="shared" si="135"/>
        <v>000000</v>
      </c>
      <c r="H521" t="str">
        <f>LOOKUP(E521,Lookups!$A$1:$A$16,Lookups!$B$1:$B$16)</f>
        <v>z</v>
      </c>
      <c r="I521">
        <f t="shared" si="140"/>
        <v>0</v>
      </c>
      <c r="J521">
        <f t="shared" si="141"/>
        <v>0</v>
      </c>
      <c r="K521">
        <f t="shared" si="136"/>
        <v>0</v>
      </c>
    </row>
    <row r="522" spans="1:11" x14ac:dyDescent="0.35">
      <c r="A522" s="2">
        <v>3400</v>
      </c>
      <c r="B522" s="2">
        <f t="shared" si="137"/>
        <v>53</v>
      </c>
      <c r="C522" s="2">
        <f t="shared" si="138"/>
        <v>8</v>
      </c>
      <c r="D522" s="1" t="s">
        <v>119</v>
      </c>
      <c r="E522" t="str">
        <f t="shared" si="139"/>
        <v>0000</v>
      </c>
      <c r="F522" t="str">
        <f t="shared" si="134"/>
        <v>000000</v>
      </c>
      <c r="G522" t="str">
        <f t="shared" si="135"/>
        <v>000000</v>
      </c>
      <c r="H522" t="str">
        <f>LOOKUP(E522,Lookups!$A$1:$A$16,Lookups!$B$1:$B$16)</f>
        <v>z</v>
      </c>
      <c r="I522">
        <f t="shared" si="140"/>
        <v>0</v>
      </c>
      <c r="J522">
        <f t="shared" si="141"/>
        <v>0</v>
      </c>
      <c r="K522">
        <f t="shared" si="136"/>
        <v>0</v>
      </c>
    </row>
    <row r="523" spans="1:11" x14ac:dyDescent="0.35">
      <c r="A523" s="2">
        <v>3401</v>
      </c>
      <c r="B523" s="2">
        <f t="shared" si="137"/>
        <v>53</v>
      </c>
      <c r="C523" s="2">
        <f t="shared" si="138"/>
        <v>9</v>
      </c>
      <c r="D523" s="1" t="s">
        <v>119</v>
      </c>
      <c r="E523" t="str">
        <f t="shared" si="139"/>
        <v>0000</v>
      </c>
      <c r="F523" t="str">
        <f t="shared" si="134"/>
        <v>000000</v>
      </c>
      <c r="G523" t="str">
        <f t="shared" si="135"/>
        <v>000000</v>
      </c>
      <c r="H523" t="str">
        <f>LOOKUP(E523,Lookups!$A$1:$A$16,Lookups!$B$1:$B$16)</f>
        <v>z</v>
      </c>
      <c r="I523">
        <f t="shared" si="140"/>
        <v>0</v>
      </c>
      <c r="J523">
        <f t="shared" si="141"/>
        <v>0</v>
      </c>
      <c r="K523">
        <f t="shared" si="136"/>
        <v>0</v>
      </c>
    </row>
    <row r="524" spans="1:11" x14ac:dyDescent="0.35">
      <c r="A524" s="2">
        <v>3402</v>
      </c>
      <c r="B524" s="2">
        <f t="shared" si="137"/>
        <v>53</v>
      </c>
      <c r="C524" s="2">
        <f t="shared" si="138"/>
        <v>10</v>
      </c>
      <c r="D524" s="1" t="s">
        <v>119</v>
      </c>
      <c r="E524" t="str">
        <f t="shared" si="139"/>
        <v>0000</v>
      </c>
      <c r="F524" t="str">
        <f t="shared" si="134"/>
        <v>000000</v>
      </c>
      <c r="G524" t="str">
        <f t="shared" si="135"/>
        <v>000000</v>
      </c>
      <c r="H524" t="str">
        <f>LOOKUP(E524,Lookups!$A$1:$A$16,Lookups!$B$1:$B$16)</f>
        <v>z</v>
      </c>
      <c r="I524">
        <f t="shared" si="140"/>
        <v>0</v>
      </c>
      <c r="J524">
        <f t="shared" si="141"/>
        <v>0</v>
      </c>
      <c r="K524">
        <f t="shared" si="136"/>
        <v>0</v>
      </c>
    </row>
    <row r="525" spans="1:11" x14ac:dyDescent="0.35">
      <c r="A525" s="2">
        <v>3403</v>
      </c>
      <c r="B525" s="2">
        <f t="shared" si="137"/>
        <v>53</v>
      </c>
      <c r="C525" s="2">
        <f t="shared" si="138"/>
        <v>11</v>
      </c>
      <c r="D525" s="1" t="s">
        <v>119</v>
      </c>
      <c r="E525" t="str">
        <f t="shared" si="139"/>
        <v>0000</v>
      </c>
      <c r="F525" t="str">
        <f t="shared" si="134"/>
        <v>000000</v>
      </c>
      <c r="G525" t="str">
        <f t="shared" si="135"/>
        <v>000000</v>
      </c>
      <c r="H525" t="str">
        <f>LOOKUP(E525,Lookups!$A$1:$A$16,Lookups!$B$1:$B$16)</f>
        <v>z</v>
      </c>
      <c r="I525">
        <f t="shared" si="140"/>
        <v>0</v>
      </c>
      <c r="J525">
        <f t="shared" si="141"/>
        <v>0</v>
      </c>
      <c r="K525">
        <f t="shared" si="136"/>
        <v>0</v>
      </c>
    </row>
    <row r="526" spans="1:11" x14ac:dyDescent="0.35">
      <c r="A526" s="2">
        <v>3404</v>
      </c>
      <c r="B526" s="2">
        <f t="shared" si="137"/>
        <v>53</v>
      </c>
      <c r="C526" s="2">
        <f t="shared" si="138"/>
        <v>12</v>
      </c>
      <c r="D526" s="1" t="s">
        <v>119</v>
      </c>
      <c r="E526" t="str">
        <f t="shared" si="139"/>
        <v>0000</v>
      </c>
      <c r="F526" t="str">
        <f t="shared" si="134"/>
        <v>000000</v>
      </c>
      <c r="G526" t="str">
        <f t="shared" si="135"/>
        <v>000000</v>
      </c>
      <c r="H526" t="str">
        <f>LOOKUP(E526,Lookups!$A$1:$A$16,Lookups!$B$1:$B$16)</f>
        <v>z</v>
      </c>
      <c r="I526">
        <f t="shared" si="140"/>
        <v>0</v>
      </c>
      <c r="J526">
        <f t="shared" si="141"/>
        <v>0</v>
      </c>
      <c r="K526">
        <f t="shared" si="136"/>
        <v>0</v>
      </c>
    </row>
    <row r="527" spans="1:11" x14ac:dyDescent="0.35">
      <c r="A527" s="2">
        <v>3405</v>
      </c>
      <c r="B527" s="2">
        <f t="shared" si="137"/>
        <v>53</v>
      </c>
      <c r="C527" s="2">
        <f t="shared" si="138"/>
        <v>13</v>
      </c>
      <c r="D527" s="1" t="s">
        <v>119</v>
      </c>
      <c r="E527" t="str">
        <f t="shared" si="139"/>
        <v>0000</v>
      </c>
      <c r="F527" t="str">
        <f t="shared" si="134"/>
        <v>000000</v>
      </c>
      <c r="G527" t="str">
        <f t="shared" si="135"/>
        <v>000000</v>
      </c>
      <c r="H527" t="str">
        <f>LOOKUP(E527,Lookups!$A$1:$A$16,Lookups!$B$1:$B$16)</f>
        <v>z</v>
      </c>
      <c r="I527">
        <f t="shared" si="140"/>
        <v>0</v>
      </c>
      <c r="J527">
        <f t="shared" si="141"/>
        <v>0</v>
      </c>
      <c r="K527">
        <f t="shared" si="136"/>
        <v>0</v>
      </c>
    </row>
    <row r="528" spans="1:11" x14ac:dyDescent="0.35">
      <c r="A528" s="2">
        <v>3406</v>
      </c>
      <c r="B528" s="2">
        <f t="shared" si="137"/>
        <v>53</v>
      </c>
      <c r="C528" s="2">
        <f t="shared" si="138"/>
        <v>14</v>
      </c>
      <c r="D528" s="1" t="s">
        <v>119</v>
      </c>
      <c r="E528" t="str">
        <f t="shared" si="139"/>
        <v>0000</v>
      </c>
      <c r="F528" t="str">
        <f t="shared" si="134"/>
        <v>000000</v>
      </c>
      <c r="G528" t="str">
        <f t="shared" si="135"/>
        <v>000000</v>
      </c>
      <c r="H528" t="str">
        <f>LOOKUP(E528,Lookups!$A$1:$A$16,Lookups!$B$1:$B$16)</f>
        <v>z</v>
      </c>
      <c r="I528">
        <f t="shared" si="140"/>
        <v>0</v>
      </c>
      <c r="J528">
        <f t="shared" si="141"/>
        <v>0</v>
      </c>
      <c r="K528">
        <f t="shared" si="136"/>
        <v>0</v>
      </c>
    </row>
    <row r="529" spans="1:11" x14ac:dyDescent="0.35">
      <c r="A529" s="2">
        <v>3407</v>
      </c>
      <c r="B529" s="2">
        <f t="shared" si="137"/>
        <v>53</v>
      </c>
      <c r="C529" s="2">
        <f t="shared" si="138"/>
        <v>15</v>
      </c>
      <c r="D529" s="1" t="s">
        <v>119</v>
      </c>
      <c r="E529" t="str">
        <f t="shared" si="139"/>
        <v>0000</v>
      </c>
      <c r="F529" t="str">
        <f t="shared" si="134"/>
        <v>000000</v>
      </c>
      <c r="G529" t="str">
        <f t="shared" si="135"/>
        <v>000000</v>
      </c>
      <c r="H529" t="str">
        <f>LOOKUP(E529,Lookups!$A$1:$A$16,Lookups!$B$1:$B$16)</f>
        <v>z</v>
      </c>
      <c r="I529">
        <f t="shared" si="140"/>
        <v>0</v>
      </c>
      <c r="J529">
        <f t="shared" si="141"/>
        <v>0</v>
      </c>
      <c r="K529">
        <f t="shared" si="136"/>
        <v>0</v>
      </c>
    </row>
    <row r="530" spans="1:11" x14ac:dyDescent="0.35">
      <c r="A530" s="2">
        <v>3408</v>
      </c>
      <c r="B530" s="2">
        <f t="shared" si="137"/>
        <v>53</v>
      </c>
      <c r="C530" s="2">
        <f t="shared" si="138"/>
        <v>16</v>
      </c>
      <c r="D530" s="1" t="s">
        <v>119</v>
      </c>
      <c r="E530" t="str">
        <f t="shared" si="139"/>
        <v>0000</v>
      </c>
      <c r="F530" t="str">
        <f t="shared" si="134"/>
        <v>000000</v>
      </c>
      <c r="G530" t="str">
        <f t="shared" si="135"/>
        <v>000000</v>
      </c>
      <c r="H530" t="str">
        <f>LOOKUP(E530,Lookups!$A$1:$A$16,Lookups!$B$1:$B$16)</f>
        <v>z</v>
      </c>
      <c r="I530">
        <f t="shared" si="140"/>
        <v>0</v>
      </c>
      <c r="J530">
        <f t="shared" si="141"/>
        <v>0</v>
      </c>
      <c r="K530">
        <f t="shared" si="136"/>
        <v>0</v>
      </c>
    </row>
    <row r="531" spans="1:11" x14ac:dyDescent="0.35">
      <c r="A531" s="2">
        <v>3409</v>
      </c>
      <c r="B531" s="2">
        <f t="shared" si="137"/>
        <v>53</v>
      </c>
      <c r="C531" s="2">
        <f t="shared" si="138"/>
        <v>17</v>
      </c>
      <c r="D531" s="1" t="s">
        <v>119</v>
      </c>
      <c r="E531" t="str">
        <f t="shared" si="139"/>
        <v>0000</v>
      </c>
      <c r="F531" t="str">
        <f t="shared" si="134"/>
        <v>000000</v>
      </c>
      <c r="G531" t="str">
        <f t="shared" si="135"/>
        <v>000000</v>
      </c>
      <c r="H531" t="str">
        <f>LOOKUP(E531,Lookups!$A$1:$A$16,Lookups!$B$1:$B$16)</f>
        <v>z</v>
      </c>
      <c r="I531">
        <f t="shared" si="140"/>
        <v>0</v>
      </c>
      <c r="J531">
        <f t="shared" si="141"/>
        <v>0</v>
      </c>
      <c r="K531">
        <f t="shared" si="136"/>
        <v>0</v>
      </c>
    </row>
    <row r="532" spans="1:11" x14ac:dyDescent="0.35">
      <c r="A532" s="2">
        <v>3410</v>
      </c>
      <c r="B532" s="2">
        <f t="shared" si="137"/>
        <v>53</v>
      </c>
      <c r="C532" s="2">
        <f t="shared" si="138"/>
        <v>18</v>
      </c>
      <c r="D532" s="1" t="s">
        <v>119</v>
      </c>
      <c r="E532" t="str">
        <f t="shared" si="139"/>
        <v>0000</v>
      </c>
      <c r="F532" t="str">
        <f t="shared" si="134"/>
        <v>000000</v>
      </c>
      <c r="G532" t="str">
        <f t="shared" si="135"/>
        <v>000000</v>
      </c>
      <c r="H532" t="str">
        <f>LOOKUP(E532,Lookups!$A$1:$A$16,Lookups!$B$1:$B$16)</f>
        <v>z</v>
      </c>
      <c r="I532">
        <f t="shared" si="140"/>
        <v>0</v>
      </c>
      <c r="J532">
        <f t="shared" si="141"/>
        <v>0</v>
      </c>
      <c r="K532">
        <f t="shared" si="136"/>
        <v>0</v>
      </c>
    </row>
    <row r="533" spans="1:11" x14ac:dyDescent="0.35">
      <c r="A533" s="2">
        <v>3411</v>
      </c>
      <c r="B533" s="2">
        <f t="shared" si="137"/>
        <v>53</v>
      </c>
      <c r="C533" s="2">
        <f t="shared" si="138"/>
        <v>19</v>
      </c>
      <c r="D533" s="1" t="s">
        <v>119</v>
      </c>
      <c r="E533" t="str">
        <f t="shared" si="139"/>
        <v>0000</v>
      </c>
      <c r="F533" t="str">
        <f t="shared" si="134"/>
        <v>000000</v>
      </c>
      <c r="G533" t="str">
        <f t="shared" si="135"/>
        <v>000000</v>
      </c>
      <c r="H533" t="str">
        <f>LOOKUP(E533,Lookups!$A$1:$A$16,Lookups!$B$1:$B$16)</f>
        <v>z</v>
      </c>
      <c r="I533">
        <f t="shared" si="140"/>
        <v>0</v>
      </c>
      <c r="J533">
        <f t="shared" si="141"/>
        <v>0</v>
      </c>
      <c r="K533">
        <f t="shared" si="136"/>
        <v>0</v>
      </c>
    </row>
    <row r="534" spans="1:11" x14ac:dyDescent="0.35">
      <c r="A534" s="2">
        <v>3412</v>
      </c>
      <c r="B534" s="2">
        <f t="shared" si="137"/>
        <v>53</v>
      </c>
      <c r="C534" s="2">
        <f t="shared" si="138"/>
        <v>20</v>
      </c>
      <c r="D534" s="1" t="s">
        <v>119</v>
      </c>
      <c r="E534" t="str">
        <f t="shared" si="139"/>
        <v>0000</v>
      </c>
      <c r="F534" t="str">
        <f t="shared" si="134"/>
        <v>000000</v>
      </c>
      <c r="G534" t="str">
        <f t="shared" si="135"/>
        <v>000000</v>
      </c>
      <c r="H534" t="str">
        <f>LOOKUP(E534,Lookups!$A$1:$A$16,Lookups!$B$1:$B$16)</f>
        <v>z</v>
      </c>
      <c r="I534">
        <f t="shared" si="140"/>
        <v>0</v>
      </c>
      <c r="J534">
        <f t="shared" si="141"/>
        <v>0</v>
      </c>
      <c r="K534">
        <f t="shared" si="136"/>
        <v>0</v>
      </c>
    </row>
    <row r="535" spans="1:11" x14ac:dyDescent="0.35">
      <c r="A535" s="2">
        <v>3413</v>
      </c>
      <c r="B535" s="2">
        <f t="shared" si="137"/>
        <v>53</v>
      </c>
      <c r="C535" s="2">
        <f t="shared" si="138"/>
        <v>21</v>
      </c>
      <c r="D535" s="1" t="s">
        <v>119</v>
      </c>
      <c r="E535" t="str">
        <f t="shared" si="139"/>
        <v>0000</v>
      </c>
      <c r="F535" t="str">
        <f t="shared" si="134"/>
        <v>000000</v>
      </c>
      <c r="G535" t="str">
        <f t="shared" si="135"/>
        <v>000000</v>
      </c>
      <c r="H535" t="str">
        <f>LOOKUP(E535,Lookups!$A$1:$A$16,Lookups!$B$1:$B$16)</f>
        <v>z</v>
      </c>
      <c r="I535">
        <f t="shared" si="140"/>
        <v>0</v>
      </c>
      <c r="J535">
        <f t="shared" si="141"/>
        <v>0</v>
      </c>
      <c r="K535">
        <f t="shared" si="136"/>
        <v>0</v>
      </c>
    </row>
    <row r="536" spans="1:11" x14ac:dyDescent="0.35">
      <c r="A536" s="2">
        <v>3414</v>
      </c>
      <c r="B536" s="2">
        <f t="shared" si="137"/>
        <v>53</v>
      </c>
      <c r="C536" s="2">
        <f t="shared" si="138"/>
        <v>22</v>
      </c>
      <c r="D536" s="1" t="s">
        <v>119</v>
      </c>
      <c r="E536" t="str">
        <f t="shared" si="139"/>
        <v>0000</v>
      </c>
      <c r="F536" t="str">
        <f t="shared" si="134"/>
        <v>000000</v>
      </c>
      <c r="G536" t="str">
        <f t="shared" si="135"/>
        <v>000000</v>
      </c>
      <c r="H536" t="str">
        <f>LOOKUP(E536,Lookups!$A$1:$A$16,Lookups!$B$1:$B$16)</f>
        <v>z</v>
      </c>
      <c r="I536">
        <f t="shared" si="140"/>
        <v>0</v>
      </c>
      <c r="J536">
        <f t="shared" si="141"/>
        <v>0</v>
      </c>
      <c r="K536">
        <f t="shared" si="136"/>
        <v>0</v>
      </c>
    </row>
    <row r="537" spans="1:11" x14ac:dyDescent="0.35">
      <c r="A537" s="2">
        <v>3415</v>
      </c>
      <c r="B537" s="2">
        <f t="shared" si="137"/>
        <v>53</v>
      </c>
      <c r="C537" s="2">
        <f t="shared" si="138"/>
        <v>23</v>
      </c>
      <c r="D537" s="1" t="s">
        <v>119</v>
      </c>
      <c r="E537" t="str">
        <f t="shared" si="139"/>
        <v>0000</v>
      </c>
      <c r="F537" t="str">
        <f t="shared" si="134"/>
        <v>000000</v>
      </c>
      <c r="G537" t="str">
        <f t="shared" si="135"/>
        <v>000000</v>
      </c>
      <c r="H537" t="str">
        <f>LOOKUP(E537,Lookups!$A$1:$A$16,Lookups!$B$1:$B$16)</f>
        <v>z</v>
      </c>
      <c r="I537">
        <f t="shared" si="140"/>
        <v>0</v>
      </c>
      <c r="J537">
        <f t="shared" si="141"/>
        <v>0</v>
      </c>
      <c r="K537">
        <f t="shared" si="136"/>
        <v>0</v>
      </c>
    </row>
    <row r="538" spans="1:11" x14ac:dyDescent="0.35">
      <c r="A538" s="2">
        <v>3416</v>
      </c>
      <c r="B538" s="2">
        <f t="shared" si="137"/>
        <v>53</v>
      </c>
      <c r="C538" s="2">
        <f t="shared" si="138"/>
        <v>24</v>
      </c>
      <c r="D538" s="1" t="s">
        <v>119</v>
      </c>
      <c r="E538" t="str">
        <f t="shared" si="139"/>
        <v>0000</v>
      </c>
      <c r="F538" t="str">
        <f t="shared" si="134"/>
        <v>000000</v>
      </c>
      <c r="G538" t="str">
        <f t="shared" si="135"/>
        <v>000000</v>
      </c>
      <c r="H538" t="str">
        <f>LOOKUP(E538,Lookups!$A$1:$A$16,Lookups!$B$1:$B$16)</f>
        <v>z</v>
      </c>
      <c r="I538">
        <f t="shared" si="140"/>
        <v>0</v>
      </c>
      <c r="J538">
        <f t="shared" si="141"/>
        <v>0</v>
      </c>
      <c r="K538">
        <f t="shared" si="136"/>
        <v>0</v>
      </c>
    </row>
    <row r="539" spans="1:11" x14ac:dyDescent="0.35">
      <c r="A539" s="2">
        <v>3417</v>
      </c>
      <c r="B539" s="2">
        <f t="shared" si="137"/>
        <v>53</v>
      </c>
      <c r="C539" s="2">
        <f t="shared" si="138"/>
        <v>25</v>
      </c>
      <c r="D539" s="1" t="s">
        <v>119</v>
      </c>
      <c r="E539" t="str">
        <f t="shared" si="139"/>
        <v>0000</v>
      </c>
      <c r="F539" t="str">
        <f t="shared" si="134"/>
        <v>000000</v>
      </c>
      <c r="G539" t="str">
        <f t="shared" si="135"/>
        <v>000000</v>
      </c>
      <c r="H539" t="str">
        <f>LOOKUP(E539,Lookups!$A$1:$A$16,Lookups!$B$1:$B$16)</f>
        <v>z</v>
      </c>
      <c r="I539">
        <f t="shared" si="140"/>
        <v>0</v>
      </c>
      <c r="J539">
        <f t="shared" si="141"/>
        <v>0</v>
      </c>
      <c r="K539">
        <f t="shared" si="136"/>
        <v>0</v>
      </c>
    </row>
    <row r="540" spans="1:11" x14ac:dyDescent="0.35">
      <c r="A540" s="2">
        <v>3418</v>
      </c>
      <c r="B540" s="2">
        <f t="shared" si="137"/>
        <v>53</v>
      </c>
      <c r="C540" s="2">
        <f t="shared" si="138"/>
        <v>26</v>
      </c>
      <c r="D540" s="1" t="s">
        <v>119</v>
      </c>
      <c r="E540" t="str">
        <f t="shared" si="139"/>
        <v>0000</v>
      </c>
      <c r="F540" t="str">
        <f t="shared" si="134"/>
        <v>000000</v>
      </c>
      <c r="G540" t="str">
        <f t="shared" si="135"/>
        <v>000000</v>
      </c>
      <c r="H540" t="str">
        <f>LOOKUP(E540,Lookups!$A$1:$A$16,Lookups!$B$1:$B$16)</f>
        <v>z</v>
      </c>
      <c r="I540">
        <f t="shared" si="140"/>
        <v>0</v>
      </c>
      <c r="J540">
        <f t="shared" si="141"/>
        <v>0</v>
      </c>
      <c r="K540">
        <f t="shared" si="136"/>
        <v>0</v>
      </c>
    </row>
    <row r="541" spans="1:11" x14ac:dyDescent="0.35">
      <c r="A541" s="2">
        <v>3419</v>
      </c>
      <c r="B541" s="2">
        <f t="shared" si="137"/>
        <v>53</v>
      </c>
      <c r="C541" s="2">
        <f t="shared" si="138"/>
        <v>27</v>
      </c>
      <c r="D541" s="1" t="s">
        <v>119</v>
      </c>
      <c r="E541" t="str">
        <f t="shared" si="139"/>
        <v>0000</v>
      </c>
      <c r="F541" t="str">
        <f t="shared" si="134"/>
        <v>000000</v>
      </c>
      <c r="G541" t="str">
        <f t="shared" si="135"/>
        <v>000000</v>
      </c>
      <c r="H541" t="str">
        <f>LOOKUP(E541,Lookups!$A$1:$A$16,Lookups!$B$1:$B$16)</f>
        <v>z</v>
      </c>
      <c r="I541">
        <f t="shared" si="140"/>
        <v>0</v>
      </c>
      <c r="J541">
        <f t="shared" si="141"/>
        <v>0</v>
      </c>
      <c r="K541">
        <f t="shared" si="136"/>
        <v>0</v>
      </c>
    </row>
    <row r="542" spans="1:11" x14ac:dyDescent="0.35">
      <c r="A542" s="2">
        <v>3420</v>
      </c>
      <c r="B542" s="2">
        <f t="shared" si="137"/>
        <v>53</v>
      </c>
      <c r="C542" s="2">
        <f t="shared" si="138"/>
        <v>28</v>
      </c>
      <c r="D542" s="1" t="s">
        <v>119</v>
      </c>
      <c r="E542" t="str">
        <f t="shared" si="139"/>
        <v>0000</v>
      </c>
      <c r="F542" t="str">
        <f t="shared" si="134"/>
        <v>000000</v>
      </c>
      <c r="G542" t="str">
        <f t="shared" si="135"/>
        <v>000000</v>
      </c>
      <c r="H542" t="str">
        <f>LOOKUP(E542,Lookups!$A$1:$A$16,Lookups!$B$1:$B$16)</f>
        <v>z</v>
      </c>
      <c r="I542">
        <f t="shared" si="140"/>
        <v>0</v>
      </c>
      <c r="J542">
        <f t="shared" si="141"/>
        <v>0</v>
      </c>
      <c r="K542">
        <f t="shared" si="136"/>
        <v>0</v>
      </c>
    </row>
    <row r="543" spans="1:11" x14ac:dyDescent="0.35">
      <c r="A543" s="2">
        <v>3421</v>
      </c>
      <c r="B543" s="2">
        <f t="shared" si="137"/>
        <v>53</v>
      </c>
      <c r="C543" s="2">
        <f t="shared" si="138"/>
        <v>29</v>
      </c>
      <c r="D543" s="1" t="s">
        <v>119</v>
      </c>
      <c r="E543" t="str">
        <f t="shared" si="139"/>
        <v>0000</v>
      </c>
      <c r="F543" t="str">
        <f t="shared" si="134"/>
        <v>000000</v>
      </c>
      <c r="G543" t="str">
        <f t="shared" si="135"/>
        <v>000000</v>
      </c>
      <c r="H543" t="str">
        <f>LOOKUP(E543,Lookups!$A$1:$A$16,Lookups!$B$1:$B$16)</f>
        <v>z</v>
      </c>
      <c r="I543">
        <f t="shared" si="140"/>
        <v>0</v>
      </c>
      <c r="J543">
        <f t="shared" si="141"/>
        <v>0</v>
      </c>
      <c r="K543">
        <f t="shared" si="136"/>
        <v>0</v>
      </c>
    </row>
    <row r="544" spans="1:11" x14ac:dyDescent="0.35">
      <c r="A544" s="2">
        <v>3422</v>
      </c>
      <c r="B544" s="2">
        <f t="shared" si="137"/>
        <v>53</v>
      </c>
      <c r="C544" s="2">
        <f t="shared" si="138"/>
        <v>30</v>
      </c>
      <c r="D544" s="1" t="s">
        <v>119</v>
      </c>
      <c r="E544" t="str">
        <f t="shared" si="139"/>
        <v>0000</v>
      </c>
      <c r="F544" t="str">
        <f t="shared" si="134"/>
        <v>000000</v>
      </c>
      <c r="G544" t="str">
        <f t="shared" si="135"/>
        <v>000000</v>
      </c>
      <c r="H544" t="str">
        <f>LOOKUP(E544,Lookups!$A$1:$A$16,Lookups!$B$1:$B$16)</f>
        <v>z</v>
      </c>
      <c r="I544">
        <f t="shared" si="140"/>
        <v>0</v>
      </c>
      <c r="J544">
        <f t="shared" si="141"/>
        <v>0</v>
      </c>
      <c r="K544">
        <f t="shared" si="136"/>
        <v>0</v>
      </c>
    </row>
    <row r="545" spans="1:11" x14ac:dyDescent="0.35">
      <c r="A545" s="2">
        <v>3423</v>
      </c>
      <c r="B545" s="2">
        <f t="shared" si="137"/>
        <v>53</v>
      </c>
      <c r="C545" s="2">
        <f t="shared" si="138"/>
        <v>31</v>
      </c>
      <c r="D545" s="1" t="s">
        <v>119</v>
      </c>
      <c r="E545" t="str">
        <f t="shared" si="139"/>
        <v>0000</v>
      </c>
      <c r="F545" t="str">
        <f t="shared" si="134"/>
        <v>000000</v>
      </c>
      <c r="G545" t="str">
        <f t="shared" si="135"/>
        <v>000000</v>
      </c>
      <c r="H545" t="str">
        <f>LOOKUP(E545,Lookups!$A$1:$A$16,Lookups!$B$1:$B$16)</f>
        <v>z</v>
      </c>
      <c r="I545">
        <f t="shared" si="140"/>
        <v>0</v>
      </c>
      <c r="J545">
        <f t="shared" si="141"/>
        <v>0</v>
      </c>
      <c r="K545">
        <f t="shared" si="136"/>
        <v>0</v>
      </c>
    </row>
    <row r="546" spans="1:11" x14ac:dyDescent="0.35">
      <c r="A546" s="2">
        <v>3424</v>
      </c>
      <c r="B546" s="2">
        <f t="shared" si="137"/>
        <v>53</v>
      </c>
      <c r="C546" s="2">
        <f t="shared" si="138"/>
        <v>32</v>
      </c>
      <c r="D546" s="1" t="s">
        <v>119</v>
      </c>
      <c r="E546" t="str">
        <f t="shared" si="139"/>
        <v>0000</v>
      </c>
      <c r="F546" t="str">
        <f t="shared" si="134"/>
        <v>000000</v>
      </c>
      <c r="G546" t="str">
        <f t="shared" si="135"/>
        <v>000000</v>
      </c>
      <c r="H546" t="str">
        <f>LOOKUP(E546,Lookups!$A$1:$A$16,Lookups!$B$1:$B$16)</f>
        <v>z</v>
      </c>
      <c r="I546">
        <f t="shared" si="140"/>
        <v>0</v>
      </c>
      <c r="J546">
        <f t="shared" si="141"/>
        <v>0</v>
      </c>
      <c r="K546">
        <f t="shared" si="136"/>
        <v>0</v>
      </c>
    </row>
    <row r="547" spans="1:11" x14ac:dyDescent="0.35">
      <c r="A547" s="2">
        <v>3425</v>
      </c>
      <c r="B547" s="2">
        <f t="shared" si="137"/>
        <v>53</v>
      </c>
      <c r="C547" s="2">
        <f t="shared" si="138"/>
        <v>33</v>
      </c>
      <c r="D547" s="1" t="s">
        <v>119</v>
      </c>
      <c r="E547" t="str">
        <f t="shared" si="139"/>
        <v>0000</v>
      </c>
      <c r="F547" t="str">
        <f t="shared" si="134"/>
        <v>000000</v>
      </c>
      <c r="G547" t="str">
        <f t="shared" si="135"/>
        <v>000000</v>
      </c>
      <c r="H547" t="str">
        <f>LOOKUP(E547,Lookups!$A$1:$A$16,Lookups!$B$1:$B$16)</f>
        <v>z</v>
      </c>
      <c r="I547">
        <f t="shared" si="140"/>
        <v>0</v>
      </c>
      <c r="J547">
        <f t="shared" si="141"/>
        <v>0</v>
      </c>
      <c r="K547">
        <f t="shared" si="136"/>
        <v>0</v>
      </c>
    </row>
    <row r="548" spans="1:11" x14ac:dyDescent="0.35">
      <c r="A548" s="2">
        <v>3426</v>
      </c>
      <c r="B548" s="2">
        <f t="shared" si="137"/>
        <v>53</v>
      </c>
      <c r="C548" s="2">
        <f t="shared" si="138"/>
        <v>34</v>
      </c>
      <c r="D548" s="1" t="s">
        <v>119</v>
      </c>
      <c r="E548" t="str">
        <f t="shared" si="139"/>
        <v>0000</v>
      </c>
      <c r="F548" t="str">
        <f t="shared" si="134"/>
        <v>000000</v>
      </c>
      <c r="G548" t="str">
        <f t="shared" si="135"/>
        <v>000000</v>
      </c>
      <c r="H548" t="str">
        <f>LOOKUP(E548,Lookups!$A$1:$A$16,Lookups!$B$1:$B$16)</f>
        <v>z</v>
      </c>
      <c r="I548">
        <f t="shared" si="140"/>
        <v>0</v>
      </c>
      <c r="J548">
        <f t="shared" si="141"/>
        <v>0</v>
      </c>
      <c r="K548">
        <f t="shared" si="136"/>
        <v>0</v>
      </c>
    </row>
    <row r="549" spans="1:11" x14ac:dyDescent="0.35">
      <c r="A549" s="2">
        <v>3427</v>
      </c>
      <c r="B549" s="2">
        <f t="shared" si="137"/>
        <v>53</v>
      </c>
      <c r="C549" s="2">
        <f t="shared" si="138"/>
        <v>35</v>
      </c>
      <c r="D549" s="1" t="s">
        <v>119</v>
      </c>
      <c r="E549" t="str">
        <f t="shared" si="139"/>
        <v>0000</v>
      </c>
      <c r="F549" t="str">
        <f t="shared" si="134"/>
        <v>000000</v>
      </c>
      <c r="G549" t="str">
        <f t="shared" si="135"/>
        <v>000000</v>
      </c>
      <c r="H549" t="str">
        <f>LOOKUP(E549,Lookups!$A$1:$A$16,Lookups!$B$1:$B$16)</f>
        <v>z</v>
      </c>
      <c r="I549">
        <f t="shared" si="140"/>
        <v>0</v>
      </c>
      <c r="J549">
        <f t="shared" si="141"/>
        <v>0</v>
      </c>
      <c r="K549">
        <f t="shared" si="136"/>
        <v>0</v>
      </c>
    </row>
    <row r="550" spans="1:11" x14ac:dyDescent="0.35">
      <c r="A550" s="2">
        <v>3428</v>
      </c>
      <c r="B550" s="2">
        <f t="shared" si="137"/>
        <v>53</v>
      </c>
      <c r="C550" s="2">
        <f t="shared" si="138"/>
        <v>36</v>
      </c>
      <c r="D550" s="1" t="s">
        <v>119</v>
      </c>
      <c r="E550" t="str">
        <f t="shared" si="139"/>
        <v>0000</v>
      </c>
      <c r="F550" t="str">
        <f t="shared" si="134"/>
        <v>000000</v>
      </c>
      <c r="G550" t="str">
        <f t="shared" si="135"/>
        <v>000000</v>
      </c>
      <c r="H550" t="str">
        <f>LOOKUP(E550,Lookups!$A$1:$A$16,Lookups!$B$1:$B$16)</f>
        <v>z</v>
      </c>
      <c r="I550">
        <f t="shared" si="140"/>
        <v>0</v>
      </c>
      <c r="J550">
        <f t="shared" si="141"/>
        <v>0</v>
      </c>
      <c r="K550">
        <f t="shared" si="136"/>
        <v>0</v>
      </c>
    </row>
    <row r="551" spans="1:11" x14ac:dyDescent="0.35">
      <c r="A551" s="2">
        <v>3429</v>
      </c>
      <c r="B551" s="2">
        <f t="shared" si="137"/>
        <v>53</v>
      </c>
      <c r="C551" s="2">
        <f t="shared" si="138"/>
        <v>37</v>
      </c>
      <c r="D551" s="1" t="s">
        <v>119</v>
      </c>
      <c r="E551" t="str">
        <f t="shared" si="139"/>
        <v>0000</v>
      </c>
      <c r="F551" t="str">
        <f t="shared" si="134"/>
        <v>000000</v>
      </c>
      <c r="G551" t="str">
        <f t="shared" si="135"/>
        <v>000000</v>
      </c>
      <c r="H551" t="str">
        <f>LOOKUP(E551,Lookups!$A$1:$A$16,Lookups!$B$1:$B$16)</f>
        <v>z</v>
      </c>
      <c r="I551">
        <f t="shared" si="140"/>
        <v>0</v>
      </c>
      <c r="J551">
        <f t="shared" si="141"/>
        <v>0</v>
      </c>
      <c r="K551">
        <f t="shared" si="136"/>
        <v>0</v>
      </c>
    </row>
    <row r="552" spans="1:11" x14ac:dyDescent="0.35">
      <c r="A552" s="2">
        <v>3430</v>
      </c>
      <c r="B552" s="2">
        <f t="shared" si="137"/>
        <v>53</v>
      </c>
      <c r="C552" s="2">
        <f t="shared" si="138"/>
        <v>38</v>
      </c>
      <c r="D552" s="1" t="s">
        <v>119</v>
      </c>
      <c r="E552" t="str">
        <f t="shared" si="139"/>
        <v>0000</v>
      </c>
      <c r="F552" t="str">
        <f t="shared" si="134"/>
        <v>000000</v>
      </c>
      <c r="G552" t="str">
        <f t="shared" si="135"/>
        <v>000000</v>
      </c>
      <c r="H552" t="str">
        <f>LOOKUP(E552,Lookups!$A$1:$A$16,Lookups!$B$1:$B$16)</f>
        <v>z</v>
      </c>
      <c r="I552">
        <f t="shared" si="140"/>
        <v>0</v>
      </c>
      <c r="J552">
        <f t="shared" si="141"/>
        <v>0</v>
      </c>
      <c r="K552">
        <f t="shared" si="136"/>
        <v>0</v>
      </c>
    </row>
    <row r="553" spans="1:11" x14ac:dyDescent="0.35">
      <c r="A553" s="2">
        <v>3431</v>
      </c>
      <c r="B553" s="2">
        <f t="shared" si="137"/>
        <v>53</v>
      </c>
      <c r="C553" s="2">
        <f t="shared" si="138"/>
        <v>39</v>
      </c>
      <c r="D553" s="1" t="s">
        <v>119</v>
      </c>
      <c r="E553" t="str">
        <f t="shared" si="139"/>
        <v>0000</v>
      </c>
      <c r="F553" t="str">
        <f t="shared" si="134"/>
        <v>000000</v>
      </c>
      <c r="G553" t="str">
        <f t="shared" si="135"/>
        <v>000000</v>
      </c>
      <c r="H553" t="str">
        <f>LOOKUP(E553,Lookups!$A$1:$A$16,Lookups!$B$1:$B$16)</f>
        <v>z</v>
      </c>
      <c r="I553">
        <f t="shared" si="140"/>
        <v>0</v>
      </c>
      <c r="J553">
        <f t="shared" si="141"/>
        <v>0</v>
      </c>
      <c r="K553">
        <f t="shared" si="136"/>
        <v>0</v>
      </c>
    </row>
    <row r="554" spans="1:11" x14ac:dyDescent="0.35">
      <c r="A554" s="2">
        <v>3432</v>
      </c>
      <c r="B554" s="2">
        <f t="shared" si="137"/>
        <v>53</v>
      </c>
      <c r="C554" s="2">
        <f t="shared" si="138"/>
        <v>40</v>
      </c>
      <c r="D554" s="1" t="s">
        <v>119</v>
      </c>
      <c r="E554" t="str">
        <f t="shared" si="139"/>
        <v>0000</v>
      </c>
      <c r="F554" t="str">
        <f t="shared" si="134"/>
        <v>000000</v>
      </c>
      <c r="G554" t="str">
        <f t="shared" si="135"/>
        <v>000000</v>
      </c>
      <c r="H554" t="str">
        <f>LOOKUP(E554,Lookups!$A$1:$A$16,Lookups!$B$1:$B$16)</f>
        <v>z</v>
      </c>
      <c r="I554">
        <f t="shared" si="140"/>
        <v>0</v>
      </c>
      <c r="J554">
        <f t="shared" si="141"/>
        <v>0</v>
      </c>
      <c r="K554">
        <f t="shared" si="136"/>
        <v>0</v>
      </c>
    </row>
    <row r="555" spans="1:11" x14ac:dyDescent="0.35">
      <c r="A555" s="2">
        <v>3433</v>
      </c>
      <c r="B555" s="2">
        <f t="shared" si="137"/>
        <v>53</v>
      </c>
      <c r="C555" s="2">
        <f t="shared" si="138"/>
        <v>41</v>
      </c>
      <c r="D555" s="1" t="s">
        <v>119</v>
      </c>
      <c r="E555" t="str">
        <f t="shared" si="139"/>
        <v>0000</v>
      </c>
      <c r="F555" t="str">
        <f t="shared" si="134"/>
        <v>000000</v>
      </c>
      <c r="G555" t="str">
        <f t="shared" si="135"/>
        <v>000000</v>
      </c>
      <c r="H555" t="str">
        <f>LOOKUP(E555,Lookups!$A$1:$A$16,Lookups!$B$1:$B$16)</f>
        <v>z</v>
      </c>
      <c r="I555">
        <f t="shared" si="140"/>
        <v>0</v>
      </c>
      <c r="J555">
        <f t="shared" si="141"/>
        <v>0</v>
      </c>
      <c r="K555">
        <f t="shared" si="136"/>
        <v>0</v>
      </c>
    </row>
    <row r="556" spans="1:11" x14ac:dyDescent="0.35">
      <c r="A556" s="2">
        <v>3434</v>
      </c>
      <c r="B556" s="2">
        <f t="shared" si="137"/>
        <v>53</v>
      </c>
      <c r="C556" s="2">
        <f t="shared" si="138"/>
        <v>42</v>
      </c>
      <c r="D556" s="1" t="s">
        <v>119</v>
      </c>
      <c r="E556" t="str">
        <f t="shared" si="139"/>
        <v>0000</v>
      </c>
      <c r="F556" t="str">
        <f t="shared" si="134"/>
        <v>000000</v>
      </c>
      <c r="G556" t="str">
        <f t="shared" si="135"/>
        <v>000000</v>
      </c>
      <c r="H556" t="str">
        <f>LOOKUP(E556,Lookups!$A$1:$A$16,Lookups!$B$1:$B$16)</f>
        <v>z</v>
      </c>
      <c r="I556">
        <f t="shared" si="140"/>
        <v>0</v>
      </c>
      <c r="J556">
        <f t="shared" si="141"/>
        <v>0</v>
      </c>
      <c r="K556">
        <f t="shared" si="136"/>
        <v>0</v>
      </c>
    </row>
    <row r="557" spans="1:11" x14ac:dyDescent="0.35">
      <c r="A557" s="2">
        <v>3435</v>
      </c>
      <c r="B557" s="2">
        <f t="shared" si="137"/>
        <v>53</v>
      </c>
      <c r="C557" s="2">
        <f t="shared" si="138"/>
        <v>43</v>
      </c>
      <c r="D557" s="1" t="s">
        <v>119</v>
      </c>
      <c r="E557" t="str">
        <f t="shared" si="139"/>
        <v>0000</v>
      </c>
      <c r="F557" t="str">
        <f t="shared" si="134"/>
        <v>000000</v>
      </c>
      <c r="G557" t="str">
        <f t="shared" si="135"/>
        <v>000000</v>
      </c>
      <c r="H557" t="str">
        <f>LOOKUP(E557,Lookups!$A$1:$A$16,Lookups!$B$1:$B$16)</f>
        <v>z</v>
      </c>
      <c r="I557">
        <f t="shared" si="140"/>
        <v>0</v>
      </c>
      <c r="J557">
        <f t="shared" si="141"/>
        <v>0</v>
      </c>
      <c r="K557">
        <f t="shared" si="136"/>
        <v>0</v>
      </c>
    </row>
    <row r="558" spans="1:11" x14ac:dyDescent="0.35">
      <c r="A558" s="2">
        <v>3436</v>
      </c>
      <c r="B558" s="2">
        <f t="shared" si="137"/>
        <v>53</v>
      </c>
      <c r="C558" s="2">
        <f t="shared" si="138"/>
        <v>44</v>
      </c>
      <c r="D558" s="1" t="s">
        <v>119</v>
      </c>
      <c r="E558" t="str">
        <f t="shared" si="139"/>
        <v>0000</v>
      </c>
      <c r="F558" t="str">
        <f t="shared" si="134"/>
        <v>000000</v>
      </c>
      <c r="G558" t="str">
        <f t="shared" si="135"/>
        <v>000000</v>
      </c>
      <c r="H558" t="str">
        <f>LOOKUP(E558,Lookups!$A$1:$A$16,Lookups!$B$1:$B$16)</f>
        <v>z</v>
      </c>
      <c r="I558">
        <f t="shared" si="140"/>
        <v>0</v>
      </c>
      <c r="J558">
        <f t="shared" si="141"/>
        <v>0</v>
      </c>
      <c r="K558">
        <f t="shared" si="136"/>
        <v>0</v>
      </c>
    </row>
    <row r="559" spans="1:11" x14ac:dyDescent="0.35">
      <c r="A559" s="2">
        <v>3437</v>
      </c>
      <c r="B559" s="2">
        <f t="shared" si="137"/>
        <v>53</v>
      </c>
      <c r="C559" s="2">
        <f t="shared" si="138"/>
        <v>45</v>
      </c>
      <c r="D559" s="1" t="s">
        <v>119</v>
      </c>
      <c r="E559" t="str">
        <f t="shared" si="139"/>
        <v>0000</v>
      </c>
      <c r="F559" t="str">
        <f t="shared" si="134"/>
        <v>000000</v>
      </c>
      <c r="G559" t="str">
        <f t="shared" si="135"/>
        <v>000000</v>
      </c>
      <c r="H559" t="str">
        <f>LOOKUP(E559,Lookups!$A$1:$A$16,Lookups!$B$1:$B$16)</f>
        <v>z</v>
      </c>
      <c r="I559">
        <f t="shared" si="140"/>
        <v>0</v>
      </c>
      <c r="J559">
        <f t="shared" si="141"/>
        <v>0</v>
      </c>
      <c r="K559">
        <f t="shared" si="136"/>
        <v>0</v>
      </c>
    </row>
    <row r="560" spans="1:11" x14ac:dyDescent="0.35">
      <c r="A560" s="2">
        <v>3438</v>
      </c>
      <c r="B560" s="2">
        <f t="shared" si="137"/>
        <v>53</v>
      </c>
      <c r="C560" s="2">
        <f t="shared" si="138"/>
        <v>46</v>
      </c>
      <c r="D560" s="1" t="s">
        <v>119</v>
      </c>
      <c r="E560" t="str">
        <f t="shared" si="139"/>
        <v>0000</v>
      </c>
      <c r="F560" t="str">
        <f t="shared" si="134"/>
        <v>000000</v>
      </c>
      <c r="G560" t="str">
        <f t="shared" si="135"/>
        <v>000000</v>
      </c>
      <c r="H560" t="str">
        <f>LOOKUP(E560,Lookups!$A$1:$A$16,Lookups!$B$1:$B$16)</f>
        <v>z</v>
      </c>
      <c r="I560">
        <f t="shared" si="140"/>
        <v>0</v>
      </c>
      <c r="J560">
        <f t="shared" si="141"/>
        <v>0</v>
      </c>
      <c r="K560">
        <f t="shared" si="136"/>
        <v>0</v>
      </c>
    </row>
    <row r="561" spans="1:11" x14ac:dyDescent="0.35">
      <c r="A561" s="2">
        <v>3439</v>
      </c>
      <c r="B561" s="2">
        <f t="shared" si="137"/>
        <v>53</v>
      </c>
      <c r="C561" s="2">
        <f t="shared" si="138"/>
        <v>47</v>
      </c>
      <c r="D561" s="1" t="s">
        <v>119</v>
      </c>
      <c r="E561" t="str">
        <f t="shared" si="139"/>
        <v>0000</v>
      </c>
      <c r="F561" t="str">
        <f t="shared" si="134"/>
        <v>000000</v>
      </c>
      <c r="G561" t="str">
        <f t="shared" si="135"/>
        <v>000000</v>
      </c>
      <c r="H561" t="str">
        <f>LOOKUP(E561,Lookups!$A$1:$A$16,Lookups!$B$1:$B$16)</f>
        <v>z</v>
      </c>
      <c r="I561">
        <f t="shared" si="140"/>
        <v>0</v>
      </c>
      <c r="J561">
        <f t="shared" si="141"/>
        <v>0</v>
      </c>
      <c r="K561">
        <f t="shared" si="136"/>
        <v>0</v>
      </c>
    </row>
    <row r="562" spans="1:11" x14ac:dyDescent="0.35">
      <c r="A562" s="2">
        <v>3440</v>
      </c>
      <c r="B562" s="2">
        <f t="shared" si="137"/>
        <v>53</v>
      </c>
      <c r="C562" s="2">
        <f t="shared" si="138"/>
        <v>48</v>
      </c>
      <c r="D562" s="1" t="s">
        <v>119</v>
      </c>
      <c r="E562" t="str">
        <f t="shared" si="139"/>
        <v>0000</v>
      </c>
      <c r="F562" t="str">
        <f t="shared" si="134"/>
        <v>000000</v>
      </c>
      <c r="G562" t="str">
        <f t="shared" si="135"/>
        <v>000000</v>
      </c>
      <c r="H562" t="str">
        <f>LOOKUP(E562,Lookups!$A$1:$A$16,Lookups!$B$1:$B$16)</f>
        <v>z</v>
      </c>
      <c r="I562">
        <f t="shared" si="140"/>
        <v>0</v>
      </c>
      <c r="J562">
        <f t="shared" si="141"/>
        <v>0</v>
      </c>
      <c r="K562">
        <f t="shared" si="136"/>
        <v>0</v>
      </c>
    </row>
    <row r="563" spans="1:11" x14ac:dyDescent="0.35">
      <c r="A563" s="2">
        <v>3441</v>
      </c>
      <c r="B563" s="2">
        <f t="shared" si="137"/>
        <v>53</v>
      </c>
      <c r="C563" s="2">
        <f t="shared" si="138"/>
        <v>49</v>
      </c>
      <c r="D563" s="1" t="s">
        <v>119</v>
      </c>
      <c r="E563" t="str">
        <f t="shared" si="139"/>
        <v>0000</v>
      </c>
      <c r="F563" t="str">
        <f t="shared" si="134"/>
        <v>000000</v>
      </c>
      <c r="G563" t="str">
        <f t="shared" si="135"/>
        <v>000000</v>
      </c>
      <c r="H563" t="str">
        <f>LOOKUP(E563,Lookups!$A$1:$A$16,Lookups!$B$1:$B$16)</f>
        <v>z</v>
      </c>
      <c r="I563">
        <f t="shared" si="140"/>
        <v>0</v>
      </c>
      <c r="J563">
        <f t="shared" si="141"/>
        <v>0</v>
      </c>
      <c r="K563">
        <f t="shared" si="136"/>
        <v>0</v>
      </c>
    </row>
    <row r="564" spans="1:11" x14ac:dyDescent="0.35">
      <c r="A564" s="2">
        <v>3442</v>
      </c>
      <c r="B564" s="2">
        <f t="shared" si="137"/>
        <v>53</v>
      </c>
      <c r="C564" s="2">
        <f t="shared" si="138"/>
        <v>50</v>
      </c>
      <c r="D564" s="1" t="s">
        <v>119</v>
      </c>
      <c r="E564" t="str">
        <f t="shared" si="139"/>
        <v>0000</v>
      </c>
      <c r="F564" t="str">
        <f t="shared" si="134"/>
        <v>000000</v>
      </c>
      <c r="G564" t="str">
        <f t="shared" si="135"/>
        <v>000000</v>
      </c>
      <c r="H564" t="str">
        <f>LOOKUP(E564,Lookups!$A$1:$A$16,Lookups!$B$1:$B$16)</f>
        <v>z</v>
      </c>
      <c r="I564">
        <f t="shared" si="140"/>
        <v>0</v>
      </c>
      <c r="J564">
        <f t="shared" si="141"/>
        <v>0</v>
      </c>
      <c r="K564">
        <f t="shared" si="136"/>
        <v>0</v>
      </c>
    </row>
    <row r="565" spans="1:11" x14ac:dyDescent="0.35">
      <c r="A565" s="2">
        <v>3443</v>
      </c>
      <c r="B565" s="2">
        <f t="shared" si="137"/>
        <v>53</v>
      </c>
      <c r="C565" s="2">
        <f t="shared" si="138"/>
        <v>51</v>
      </c>
      <c r="D565" s="1" t="s">
        <v>119</v>
      </c>
      <c r="E565" t="str">
        <f t="shared" si="139"/>
        <v>0000</v>
      </c>
      <c r="F565" t="str">
        <f t="shared" si="134"/>
        <v>000000</v>
      </c>
      <c r="G565" t="str">
        <f t="shared" si="135"/>
        <v>000000</v>
      </c>
      <c r="H565" t="str">
        <f>LOOKUP(E565,Lookups!$A$1:$A$16,Lookups!$B$1:$B$16)</f>
        <v>z</v>
      </c>
      <c r="I565">
        <f t="shared" si="140"/>
        <v>0</v>
      </c>
      <c r="J565">
        <f t="shared" si="141"/>
        <v>0</v>
      </c>
      <c r="K565">
        <f t="shared" si="136"/>
        <v>0</v>
      </c>
    </row>
    <row r="566" spans="1:11" x14ac:dyDescent="0.35">
      <c r="A566" s="2">
        <v>3444</v>
      </c>
      <c r="B566" s="2">
        <f t="shared" si="137"/>
        <v>53</v>
      </c>
      <c r="C566" s="2">
        <f t="shared" si="138"/>
        <v>52</v>
      </c>
      <c r="D566" s="1" t="s">
        <v>119</v>
      </c>
      <c r="E566" t="str">
        <f t="shared" si="139"/>
        <v>0000</v>
      </c>
      <c r="F566" t="str">
        <f t="shared" si="134"/>
        <v>000000</v>
      </c>
      <c r="G566" t="str">
        <f t="shared" si="135"/>
        <v>000000</v>
      </c>
      <c r="H566" t="str">
        <f>LOOKUP(E566,Lookups!$A$1:$A$16,Lookups!$B$1:$B$16)</f>
        <v>z</v>
      </c>
      <c r="I566">
        <f t="shared" si="140"/>
        <v>0</v>
      </c>
      <c r="J566">
        <f t="shared" si="141"/>
        <v>0</v>
      </c>
      <c r="K566">
        <f t="shared" si="136"/>
        <v>0</v>
      </c>
    </row>
    <row r="567" spans="1:11" x14ac:dyDescent="0.35">
      <c r="A567" s="2">
        <v>3445</v>
      </c>
      <c r="B567" s="2">
        <f t="shared" si="137"/>
        <v>53</v>
      </c>
      <c r="C567" s="2">
        <f t="shared" si="138"/>
        <v>53</v>
      </c>
      <c r="D567" s="1" t="s">
        <v>119</v>
      </c>
      <c r="E567" t="str">
        <f t="shared" si="139"/>
        <v>0000</v>
      </c>
      <c r="F567" t="str">
        <f t="shared" si="134"/>
        <v>000000</v>
      </c>
      <c r="G567" t="str">
        <f t="shared" si="135"/>
        <v>000000</v>
      </c>
      <c r="H567" t="str">
        <f>LOOKUP(E567,Lookups!$A$1:$A$16,Lookups!$B$1:$B$16)</f>
        <v>z</v>
      </c>
      <c r="I567">
        <f t="shared" si="140"/>
        <v>0</v>
      </c>
      <c r="J567">
        <f t="shared" si="141"/>
        <v>0</v>
      </c>
      <c r="K567">
        <f t="shared" si="136"/>
        <v>0</v>
      </c>
    </row>
    <row r="568" spans="1:11" x14ac:dyDescent="0.35">
      <c r="A568" s="2">
        <v>3446</v>
      </c>
      <c r="B568" s="2">
        <f t="shared" si="137"/>
        <v>53</v>
      </c>
      <c r="C568" s="2">
        <f t="shared" si="138"/>
        <v>54</v>
      </c>
      <c r="D568" s="1" t="s">
        <v>119</v>
      </c>
      <c r="E568" t="str">
        <f t="shared" si="139"/>
        <v>0000</v>
      </c>
      <c r="F568" t="str">
        <f t="shared" si="134"/>
        <v>000000</v>
      </c>
      <c r="G568" t="str">
        <f t="shared" si="135"/>
        <v>000000</v>
      </c>
      <c r="H568" t="str">
        <f>LOOKUP(E568,Lookups!$A$1:$A$16,Lookups!$B$1:$B$16)</f>
        <v>z</v>
      </c>
      <c r="I568">
        <f t="shared" si="140"/>
        <v>0</v>
      </c>
      <c r="J568">
        <f t="shared" si="141"/>
        <v>0</v>
      </c>
      <c r="K568">
        <f t="shared" si="136"/>
        <v>0</v>
      </c>
    </row>
    <row r="569" spans="1:11" x14ac:dyDescent="0.35">
      <c r="A569" s="2">
        <v>3447</v>
      </c>
      <c r="B569" s="2">
        <f t="shared" si="137"/>
        <v>53</v>
      </c>
      <c r="C569" s="2">
        <f t="shared" si="138"/>
        <v>55</v>
      </c>
      <c r="D569" s="1" t="s">
        <v>119</v>
      </c>
      <c r="E569" t="str">
        <f t="shared" si="139"/>
        <v>0000</v>
      </c>
      <c r="F569" t="str">
        <f t="shared" si="134"/>
        <v>000000</v>
      </c>
      <c r="G569" t="str">
        <f t="shared" si="135"/>
        <v>000000</v>
      </c>
      <c r="H569" t="str">
        <f>LOOKUP(E569,Lookups!$A$1:$A$16,Lookups!$B$1:$B$16)</f>
        <v>z</v>
      </c>
      <c r="I569">
        <f t="shared" si="140"/>
        <v>0</v>
      </c>
      <c r="J569">
        <f t="shared" si="141"/>
        <v>0</v>
      </c>
      <c r="K569">
        <f t="shared" si="136"/>
        <v>0</v>
      </c>
    </row>
    <row r="570" spans="1:11" x14ac:dyDescent="0.35">
      <c r="A570" s="2">
        <v>3448</v>
      </c>
      <c r="B570" s="2">
        <f t="shared" si="137"/>
        <v>53</v>
      </c>
      <c r="C570" s="2">
        <f t="shared" si="138"/>
        <v>56</v>
      </c>
      <c r="D570" s="1" t="s">
        <v>119</v>
      </c>
      <c r="E570" t="str">
        <f t="shared" si="139"/>
        <v>0000</v>
      </c>
      <c r="F570" t="str">
        <f t="shared" si="134"/>
        <v>000000</v>
      </c>
      <c r="G570" t="str">
        <f t="shared" si="135"/>
        <v>000000</v>
      </c>
      <c r="H570" t="str">
        <f>LOOKUP(E570,Lookups!$A$1:$A$16,Lookups!$B$1:$B$16)</f>
        <v>z</v>
      </c>
      <c r="I570">
        <f t="shared" si="140"/>
        <v>0</v>
      </c>
      <c r="J570">
        <f t="shared" si="141"/>
        <v>0</v>
      </c>
      <c r="K570">
        <f t="shared" si="136"/>
        <v>0</v>
      </c>
    </row>
    <row r="571" spans="1:11" x14ac:dyDescent="0.35">
      <c r="A571" s="2">
        <v>3449</v>
      </c>
      <c r="B571" s="2">
        <f t="shared" si="137"/>
        <v>53</v>
      </c>
      <c r="C571" s="2">
        <f t="shared" si="138"/>
        <v>57</v>
      </c>
      <c r="D571" s="1" t="s">
        <v>119</v>
      </c>
      <c r="E571" t="str">
        <f t="shared" si="139"/>
        <v>0000</v>
      </c>
      <c r="F571" t="str">
        <f t="shared" si="134"/>
        <v>000000</v>
      </c>
      <c r="G571" t="str">
        <f t="shared" si="135"/>
        <v>000000</v>
      </c>
      <c r="H571" t="str">
        <f>LOOKUP(E571,Lookups!$A$1:$A$16,Lookups!$B$1:$B$16)</f>
        <v>z</v>
      </c>
      <c r="I571">
        <f t="shared" si="140"/>
        <v>0</v>
      </c>
      <c r="J571">
        <f t="shared" si="141"/>
        <v>0</v>
      </c>
      <c r="K571">
        <f t="shared" si="136"/>
        <v>0</v>
      </c>
    </row>
    <row r="572" spans="1:11" x14ac:dyDescent="0.35">
      <c r="A572" s="2">
        <v>3450</v>
      </c>
      <c r="B572" s="2">
        <f t="shared" si="137"/>
        <v>53</v>
      </c>
      <c r="C572" s="2">
        <f t="shared" si="138"/>
        <v>58</v>
      </c>
      <c r="D572" s="1" t="s">
        <v>119</v>
      </c>
      <c r="E572" t="str">
        <f t="shared" si="139"/>
        <v>0000</v>
      </c>
      <c r="F572" t="str">
        <f t="shared" si="134"/>
        <v>000000</v>
      </c>
      <c r="G572" t="str">
        <f t="shared" si="135"/>
        <v>000000</v>
      </c>
      <c r="H572" t="str">
        <f>LOOKUP(E572,Lookups!$A$1:$A$16,Lookups!$B$1:$B$16)</f>
        <v>z</v>
      </c>
      <c r="I572">
        <f t="shared" si="140"/>
        <v>0</v>
      </c>
      <c r="J572">
        <f t="shared" si="141"/>
        <v>0</v>
      </c>
      <c r="K572">
        <f t="shared" si="136"/>
        <v>0</v>
      </c>
    </row>
    <row r="573" spans="1:11" x14ac:dyDescent="0.35">
      <c r="A573" s="2">
        <v>3451</v>
      </c>
      <c r="B573" s="2">
        <f t="shared" si="137"/>
        <v>53</v>
      </c>
      <c r="C573" s="2">
        <f t="shared" si="138"/>
        <v>59</v>
      </c>
      <c r="D573" s="1" t="s">
        <v>119</v>
      </c>
      <c r="E573" t="str">
        <f t="shared" si="139"/>
        <v>0000</v>
      </c>
      <c r="F573" t="str">
        <f t="shared" si="134"/>
        <v>000000</v>
      </c>
      <c r="G573" t="str">
        <f t="shared" si="135"/>
        <v>000000</v>
      </c>
      <c r="H573" t="str">
        <f>LOOKUP(E573,Lookups!$A$1:$A$16,Lookups!$B$1:$B$16)</f>
        <v>z</v>
      </c>
      <c r="I573">
        <f t="shared" si="140"/>
        <v>0</v>
      </c>
      <c r="J573">
        <f t="shared" si="141"/>
        <v>0</v>
      </c>
      <c r="K573">
        <f t="shared" si="136"/>
        <v>0</v>
      </c>
    </row>
    <row r="574" spans="1:11" x14ac:dyDescent="0.35">
      <c r="A574" s="2">
        <v>3452</v>
      </c>
      <c r="B574" s="2">
        <f t="shared" si="137"/>
        <v>53</v>
      </c>
      <c r="C574" s="2">
        <f t="shared" si="138"/>
        <v>60</v>
      </c>
      <c r="D574" s="1" t="s">
        <v>119</v>
      </c>
      <c r="E574" t="str">
        <f t="shared" si="139"/>
        <v>0000</v>
      </c>
      <c r="F574" t="str">
        <f t="shared" si="134"/>
        <v>000000</v>
      </c>
      <c r="G574" t="str">
        <f t="shared" si="135"/>
        <v>000000</v>
      </c>
      <c r="H574" t="str">
        <f>LOOKUP(E574,Lookups!$A$1:$A$16,Lookups!$B$1:$B$16)</f>
        <v>z</v>
      </c>
      <c r="I574">
        <f t="shared" si="140"/>
        <v>0</v>
      </c>
      <c r="J574">
        <f t="shared" si="141"/>
        <v>0</v>
      </c>
      <c r="K574">
        <f t="shared" si="136"/>
        <v>0</v>
      </c>
    </row>
    <row r="575" spans="1:11" x14ac:dyDescent="0.35">
      <c r="A575" s="2">
        <v>3453</v>
      </c>
      <c r="B575" s="2">
        <f t="shared" si="137"/>
        <v>53</v>
      </c>
      <c r="C575" s="2">
        <f t="shared" si="138"/>
        <v>61</v>
      </c>
      <c r="D575" s="1" t="s">
        <v>119</v>
      </c>
      <c r="E575" t="str">
        <f t="shared" si="139"/>
        <v>0000</v>
      </c>
      <c r="F575" t="str">
        <f t="shared" si="134"/>
        <v>000000</v>
      </c>
      <c r="G575" t="str">
        <f t="shared" si="135"/>
        <v>000000</v>
      </c>
      <c r="H575" t="str">
        <f>LOOKUP(E575,Lookups!$A$1:$A$16,Lookups!$B$1:$B$16)</f>
        <v>z</v>
      </c>
      <c r="I575">
        <f t="shared" si="140"/>
        <v>0</v>
      </c>
      <c r="J575">
        <f t="shared" si="141"/>
        <v>0</v>
      </c>
      <c r="K575">
        <f t="shared" si="136"/>
        <v>0</v>
      </c>
    </row>
    <row r="576" spans="1:11" x14ac:dyDescent="0.35">
      <c r="A576" s="2">
        <v>3454</v>
      </c>
      <c r="B576" s="2">
        <f t="shared" si="137"/>
        <v>53</v>
      </c>
      <c r="C576" s="2">
        <f t="shared" si="138"/>
        <v>62</v>
      </c>
      <c r="D576" s="1" t="s">
        <v>119</v>
      </c>
      <c r="E576" t="str">
        <f t="shared" si="139"/>
        <v>0000</v>
      </c>
      <c r="F576" t="str">
        <f t="shared" si="134"/>
        <v>000000</v>
      </c>
      <c r="G576" t="str">
        <f t="shared" si="135"/>
        <v>000000</v>
      </c>
      <c r="H576" t="str">
        <f>LOOKUP(E576,Lookups!$A$1:$A$16,Lookups!$B$1:$B$16)</f>
        <v>z</v>
      </c>
      <c r="I576">
        <f t="shared" si="140"/>
        <v>0</v>
      </c>
      <c r="J576">
        <f t="shared" si="141"/>
        <v>0</v>
      </c>
      <c r="K576">
        <f t="shared" si="136"/>
        <v>0</v>
      </c>
    </row>
    <row r="577" spans="1:11" x14ac:dyDescent="0.35">
      <c r="A577" s="2">
        <v>3455</v>
      </c>
      <c r="B577" s="2">
        <f t="shared" si="137"/>
        <v>53</v>
      </c>
      <c r="C577" s="2">
        <f t="shared" si="138"/>
        <v>63</v>
      </c>
      <c r="D577" s="1" t="s">
        <v>119</v>
      </c>
      <c r="E577" t="str">
        <f t="shared" si="139"/>
        <v>0000</v>
      </c>
      <c r="F577" t="str">
        <f t="shared" si="134"/>
        <v>000000</v>
      </c>
      <c r="G577" t="str">
        <f t="shared" si="135"/>
        <v>000000</v>
      </c>
      <c r="H577" t="str">
        <f>LOOKUP(E577,Lookups!$A$1:$A$16,Lookups!$B$1:$B$16)</f>
        <v>z</v>
      </c>
      <c r="I577">
        <f t="shared" si="140"/>
        <v>0</v>
      </c>
      <c r="J577">
        <f t="shared" si="141"/>
        <v>0</v>
      </c>
      <c r="K577">
        <f t="shared" si="136"/>
        <v>0</v>
      </c>
    </row>
    <row r="578" spans="1:11" x14ac:dyDescent="0.35">
      <c r="A578" s="2">
        <v>3456</v>
      </c>
      <c r="B578" s="2">
        <f t="shared" si="137"/>
        <v>54</v>
      </c>
      <c r="C578" s="2">
        <f t="shared" si="138"/>
        <v>0</v>
      </c>
      <c r="D578" s="1" t="s">
        <v>119</v>
      </c>
      <c r="E578" t="str">
        <f t="shared" si="139"/>
        <v>0000</v>
      </c>
      <c r="F578" t="str">
        <f t="shared" ref="F578:F641" si="142">MID(D578,19,6)</f>
        <v>000000</v>
      </c>
      <c r="G578" t="str">
        <f t="shared" ref="G578:G641" si="143">MID(D578,25,6)</f>
        <v>000000</v>
      </c>
      <c r="H578" t="str">
        <f>LOOKUP(E578,Lookups!$A$1:$A$16,Lookups!$B$1:$B$16)</f>
        <v>z</v>
      </c>
      <c r="I578">
        <f t="shared" si="140"/>
        <v>0</v>
      </c>
      <c r="J578">
        <f t="shared" si="141"/>
        <v>0</v>
      </c>
      <c r="K578">
        <f t="shared" ref="K578:K641" si="144">I578*64+J578</f>
        <v>0</v>
      </c>
    </row>
    <row r="579" spans="1:11" x14ac:dyDescent="0.35">
      <c r="A579" s="2">
        <v>3457</v>
      </c>
      <c r="B579" s="2">
        <f t="shared" ref="B579:B641" si="145">QUOTIENT(A579,64)</f>
        <v>54</v>
      </c>
      <c r="C579" s="2">
        <f t="shared" ref="C579:C641" si="146">MOD(A579,64)</f>
        <v>1</v>
      </c>
      <c r="D579" s="1" t="s">
        <v>119</v>
      </c>
      <c r="E579" t="str">
        <f t="shared" ref="E579:E641" si="147">MID(D579,13,4)</f>
        <v>0000</v>
      </c>
      <c r="F579" t="str">
        <f t="shared" si="142"/>
        <v>000000</v>
      </c>
      <c r="G579" t="str">
        <f t="shared" si="143"/>
        <v>000000</v>
      </c>
      <c r="H579" t="str">
        <f>LOOKUP(E579,Lookups!$A$1:$A$16,Lookups!$B$1:$B$16)</f>
        <v>z</v>
      </c>
      <c r="I579">
        <f t="shared" ref="I579:I641" si="148">BIN2DEC(F579)</f>
        <v>0</v>
      </c>
      <c r="J579">
        <f t="shared" ref="J579:J641" si="149">BIN2DEC(G579)</f>
        <v>0</v>
      </c>
      <c r="K579">
        <f t="shared" si="144"/>
        <v>0</v>
      </c>
    </row>
    <row r="580" spans="1:11" x14ac:dyDescent="0.35">
      <c r="A580" s="2">
        <v>3458</v>
      </c>
      <c r="B580" s="2">
        <f t="shared" si="145"/>
        <v>54</v>
      </c>
      <c r="C580" s="2">
        <f t="shared" si="146"/>
        <v>2</v>
      </c>
      <c r="D580" s="1" t="s">
        <v>119</v>
      </c>
      <c r="E580" t="str">
        <f t="shared" si="147"/>
        <v>0000</v>
      </c>
      <c r="F580" t="str">
        <f t="shared" si="142"/>
        <v>000000</v>
      </c>
      <c r="G580" t="str">
        <f t="shared" si="143"/>
        <v>000000</v>
      </c>
      <c r="H580" t="str">
        <f>LOOKUP(E580,Lookups!$A$1:$A$16,Lookups!$B$1:$B$16)</f>
        <v>z</v>
      </c>
      <c r="I580">
        <f t="shared" si="148"/>
        <v>0</v>
      </c>
      <c r="J580">
        <f t="shared" si="149"/>
        <v>0</v>
      </c>
      <c r="K580">
        <f t="shared" si="144"/>
        <v>0</v>
      </c>
    </row>
    <row r="581" spans="1:11" x14ac:dyDescent="0.35">
      <c r="A581" s="2">
        <v>3459</v>
      </c>
      <c r="B581" s="2">
        <f t="shared" si="145"/>
        <v>54</v>
      </c>
      <c r="C581" s="2">
        <f t="shared" si="146"/>
        <v>3</v>
      </c>
      <c r="D581" s="1" t="s">
        <v>119</v>
      </c>
      <c r="E581" t="str">
        <f t="shared" si="147"/>
        <v>0000</v>
      </c>
      <c r="F581" t="str">
        <f t="shared" si="142"/>
        <v>000000</v>
      </c>
      <c r="G581" t="str">
        <f t="shared" si="143"/>
        <v>000000</v>
      </c>
      <c r="H581" t="str">
        <f>LOOKUP(E581,Lookups!$A$1:$A$16,Lookups!$B$1:$B$16)</f>
        <v>z</v>
      </c>
      <c r="I581">
        <f t="shared" si="148"/>
        <v>0</v>
      </c>
      <c r="J581">
        <f t="shared" si="149"/>
        <v>0</v>
      </c>
      <c r="K581">
        <f t="shared" si="144"/>
        <v>0</v>
      </c>
    </row>
    <row r="582" spans="1:11" x14ac:dyDescent="0.35">
      <c r="A582" s="2">
        <v>3460</v>
      </c>
      <c r="B582" s="2">
        <f t="shared" si="145"/>
        <v>54</v>
      </c>
      <c r="C582" s="2">
        <f t="shared" si="146"/>
        <v>4</v>
      </c>
      <c r="D582" s="1" t="s">
        <v>119</v>
      </c>
      <c r="E582" t="str">
        <f t="shared" si="147"/>
        <v>0000</v>
      </c>
      <c r="F582" t="str">
        <f t="shared" si="142"/>
        <v>000000</v>
      </c>
      <c r="G582" t="str">
        <f t="shared" si="143"/>
        <v>000000</v>
      </c>
      <c r="H582" t="str">
        <f>LOOKUP(E582,Lookups!$A$1:$A$16,Lookups!$B$1:$B$16)</f>
        <v>z</v>
      </c>
      <c r="I582">
        <f t="shared" si="148"/>
        <v>0</v>
      </c>
      <c r="J582">
        <f t="shared" si="149"/>
        <v>0</v>
      </c>
      <c r="K582">
        <f t="shared" si="144"/>
        <v>0</v>
      </c>
    </row>
    <row r="583" spans="1:11" x14ac:dyDescent="0.35">
      <c r="A583" s="2">
        <v>3461</v>
      </c>
      <c r="B583" s="2">
        <f t="shared" si="145"/>
        <v>54</v>
      </c>
      <c r="C583" s="2">
        <f t="shared" si="146"/>
        <v>5</v>
      </c>
      <c r="D583" s="1" t="s">
        <v>119</v>
      </c>
      <c r="E583" t="str">
        <f t="shared" si="147"/>
        <v>0000</v>
      </c>
      <c r="F583" t="str">
        <f t="shared" si="142"/>
        <v>000000</v>
      </c>
      <c r="G583" t="str">
        <f t="shared" si="143"/>
        <v>000000</v>
      </c>
      <c r="H583" t="str">
        <f>LOOKUP(E583,Lookups!$A$1:$A$16,Lookups!$B$1:$B$16)</f>
        <v>z</v>
      </c>
      <c r="I583">
        <f t="shared" si="148"/>
        <v>0</v>
      </c>
      <c r="J583">
        <f t="shared" si="149"/>
        <v>0</v>
      </c>
      <c r="K583">
        <f t="shared" si="144"/>
        <v>0</v>
      </c>
    </row>
    <row r="584" spans="1:11" x14ac:dyDescent="0.35">
      <c r="A584" s="2">
        <v>3462</v>
      </c>
      <c r="B584" s="2">
        <f t="shared" si="145"/>
        <v>54</v>
      </c>
      <c r="C584" s="2">
        <f t="shared" si="146"/>
        <v>6</v>
      </c>
      <c r="D584" s="1" t="s">
        <v>119</v>
      </c>
      <c r="E584" t="str">
        <f t="shared" si="147"/>
        <v>0000</v>
      </c>
      <c r="F584" t="str">
        <f t="shared" si="142"/>
        <v>000000</v>
      </c>
      <c r="G584" t="str">
        <f t="shared" si="143"/>
        <v>000000</v>
      </c>
      <c r="H584" t="str">
        <f>LOOKUP(E584,Lookups!$A$1:$A$16,Lookups!$B$1:$B$16)</f>
        <v>z</v>
      </c>
      <c r="I584">
        <f t="shared" si="148"/>
        <v>0</v>
      </c>
      <c r="J584">
        <f t="shared" si="149"/>
        <v>0</v>
      </c>
      <c r="K584">
        <f t="shared" si="144"/>
        <v>0</v>
      </c>
    </row>
    <row r="585" spans="1:11" x14ac:dyDescent="0.35">
      <c r="A585" s="2">
        <v>3463</v>
      </c>
      <c r="B585" s="2">
        <f t="shared" si="145"/>
        <v>54</v>
      </c>
      <c r="C585" s="2">
        <f t="shared" si="146"/>
        <v>7</v>
      </c>
      <c r="D585" s="1" t="s">
        <v>119</v>
      </c>
      <c r="E585" t="str">
        <f t="shared" si="147"/>
        <v>0000</v>
      </c>
      <c r="F585" t="str">
        <f t="shared" si="142"/>
        <v>000000</v>
      </c>
      <c r="G585" t="str">
        <f t="shared" si="143"/>
        <v>000000</v>
      </c>
      <c r="H585" t="str">
        <f>LOOKUP(E585,Lookups!$A$1:$A$16,Lookups!$B$1:$B$16)</f>
        <v>z</v>
      </c>
      <c r="I585">
        <f t="shared" si="148"/>
        <v>0</v>
      </c>
      <c r="J585">
        <f t="shared" si="149"/>
        <v>0</v>
      </c>
      <c r="K585">
        <f t="shared" si="144"/>
        <v>0</v>
      </c>
    </row>
    <row r="586" spans="1:11" x14ac:dyDescent="0.35">
      <c r="A586" s="2">
        <v>3464</v>
      </c>
      <c r="B586" s="2">
        <f t="shared" si="145"/>
        <v>54</v>
      </c>
      <c r="C586" s="2">
        <f t="shared" si="146"/>
        <v>8</v>
      </c>
      <c r="D586" s="1" t="s">
        <v>119</v>
      </c>
      <c r="E586" t="str">
        <f t="shared" si="147"/>
        <v>0000</v>
      </c>
      <c r="F586" t="str">
        <f t="shared" si="142"/>
        <v>000000</v>
      </c>
      <c r="G586" t="str">
        <f t="shared" si="143"/>
        <v>000000</v>
      </c>
      <c r="H586" t="str">
        <f>LOOKUP(E586,Lookups!$A$1:$A$16,Lookups!$B$1:$B$16)</f>
        <v>z</v>
      </c>
      <c r="I586">
        <f t="shared" si="148"/>
        <v>0</v>
      </c>
      <c r="J586">
        <f t="shared" si="149"/>
        <v>0</v>
      </c>
      <c r="K586">
        <f t="shared" si="144"/>
        <v>0</v>
      </c>
    </row>
    <row r="587" spans="1:11" x14ac:dyDescent="0.35">
      <c r="A587" s="2">
        <v>3465</v>
      </c>
      <c r="B587" s="2">
        <f t="shared" si="145"/>
        <v>54</v>
      </c>
      <c r="C587" s="2">
        <f t="shared" si="146"/>
        <v>9</v>
      </c>
      <c r="D587" s="1" t="s">
        <v>119</v>
      </c>
      <c r="E587" t="str">
        <f t="shared" si="147"/>
        <v>0000</v>
      </c>
      <c r="F587" t="str">
        <f t="shared" si="142"/>
        <v>000000</v>
      </c>
      <c r="G587" t="str">
        <f t="shared" si="143"/>
        <v>000000</v>
      </c>
      <c r="H587" t="str">
        <f>LOOKUP(E587,Lookups!$A$1:$A$16,Lookups!$B$1:$B$16)</f>
        <v>z</v>
      </c>
      <c r="I587">
        <f t="shared" si="148"/>
        <v>0</v>
      </c>
      <c r="J587">
        <f t="shared" si="149"/>
        <v>0</v>
      </c>
      <c r="K587">
        <f t="shared" si="144"/>
        <v>0</v>
      </c>
    </row>
    <row r="588" spans="1:11" x14ac:dyDescent="0.35">
      <c r="A588" s="2">
        <v>3466</v>
      </c>
      <c r="B588" s="2">
        <f t="shared" si="145"/>
        <v>54</v>
      </c>
      <c r="C588" s="2">
        <f t="shared" si="146"/>
        <v>10</v>
      </c>
      <c r="D588" s="1" t="s">
        <v>119</v>
      </c>
      <c r="E588" t="str">
        <f t="shared" si="147"/>
        <v>0000</v>
      </c>
      <c r="F588" t="str">
        <f t="shared" si="142"/>
        <v>000000</v>
      </c>
      <c r="G588" t="str">
        <f t="shared" si="143"/>
        <v>000000</v>
      </c>
      <c r="H588" t="str">
        <f>LOOKUP(E588,Lookups!$A$1:$A$16,Lookups!$B$1:$B$16)</f>
        <v>z</v>
      </c>
      <c r="I588">
        <f t="shared" si="148"/>
        <v>0</v>
      </c>
      <c r="J588">
        <f t="shared" si="149"/>
        <v>0</v>
      </c>
      <c r="K588">
        <f t="shared" si="144"/>
        <v>0</v>
      </c>
    </row>
    <row r="589" spans="1:11" x14ac:dyDescent="0.35">
      <c r="A589" s="2">
        <v>3467</v>
      </c>
      <c r="B589" s="2">
        <f t="shared" si="145"/>
        <v>54</v>
      </c>
      <c r="C589" s="2">
        <f t="shared" si="146"/>
        <v>11</v>
      </c>
      <c r="D589" s="1" t="s">
        <v>119</v>
      </c>
      <c r="E589" t="str">
        <f t="shared" si="147"/>
        <v>0000</v>
      </c>
      <c r="F589" t="str">
        <f t="shared" si="142"/>
        <v>000000</v>
      </c>
      <c r="G589" t="str">
        <f t="shared" si="143"/>
        <v>000000</v>
      </c>
      <c r="H589" t="str">
        <f>LOOKUP(E589,Lookups!$A$1:$A$16,Lookups!$B$1:$B$16)</f>
        <v>z</v>
      </c>
      <c r="I589">
        <f t="shared" si="148"/>
        <v>0</v>
      </c>
      <c r="J589">
        <f t="shared" si="149"/>
        <v>0</v>
      </c>
      <c r="K589">
        <f t="shared" si="144"/>
        <v>0</v>
      </c>
    </row>
    <row r="590" spans="1:11" x14ac:dyDescent="0.35">
      <c r="A590" s="2">
        <v>3468</v>
      </c>
      <c r="B590" s="2">
        <f t="shared" si="145"/>
        <v>54</v>
      </c>
      <c r="C590" s="2">
        <f t="shared" si="146"/>
        <v>12</v>
      </c>
      <c r="D590" s="1" t="s">
        <v>119</v>
      </c>
      <c r="E590" t="str">
        <f t="shared" si="147"/>
        <v>0000</v>
      </c>
      <c r="F590" t="str">
        <f t="shared" si="142"/>
        <v>000000</v>
      </c>
      <c r="G590" t="str">
        <f t="shared" si="143"/>
        <v>000000</v>
      </c>
      <c r="H590" t="str">
        <f>LOOKUP(E590,Lookups!$A$1:$A$16,Lookups!$B$1:$B$16)</f>
        <v>z</v>
      </c>
      <c r="I590">
        <f t="shared" si="148"/>
        <v>0</v>
      </c>
      <c r="J590">
        <f t="shared" si="149"/>
        <v>0</v>
      </c>
      <c r="K590">
        <f t="shared" si="144"/>
        <v>0</v>
      </c>
    </row>
    <row r="591" spans="1:11" x14ac:dyDescent="0.35">
      <c r="A591" s="2">
        <v>3469</v>
      </c>
      <c r="B591" s="2">
        <f t="shared" si="145"/>
        <v>54</v>
      </c>
      <c r="C591" s="2">
        <f t="shared" si="146"/>
        <v>13</v>
      </c>
      <c r="D591" s="1" t="s">
        <v>119</v>
      </c>
      <c r="E591" t="str">
        <f t="shared" si="147"/>
        <v>0000</v>
      </c>
      <c r="F591" t="str">
        <f t="shared" si="142"/>
        <v>000000</v>
      </c>
      <c r="G591" t="str">
        <f t="shared" si="143"/>
        <v>000000</v>
      </c>
      <c r="H591" t="str">
        <f>LOOKUP(E591,Lookups!$A$1:$A$16,Lookups!$B$1:$B$16)</f>
        <v>z</v>
      </c>
      <c r="I591">
        <f t="shared" si="148"/>
        <v>0</v>
      </c>
      <c r="J591">
        <f t="shared" si="149"/>
        <v>0</v>
      </c>
      <c r="K591">
        <f t="shared" si="144"/>
        <v>0</v>
      </c>
    </row>
    <row r="592" spans="1:11" x14ac:dyDescent="0.35">
      <c r="A592" s="2">
        <v>3470</v>
      </c>
      <c r="B592" s="2">
        <f t="shared" si="145"/>
        <v>54</v>
      </c>
      <c r="C592" s="2">
        <f t="shared" si="146"/>
        <v>14</v>
      </c>
      <c r="D592" s="1" t="s">
        <v>119</v>
      </c>
      <c r="E592" t="str">
        <f t="shared" si="147"/>
        <v>0000</v>
      </c>
      <c r="F592" t="str">
        <f t="shared" si="142"/>
        <v>000000</v>
      </c>
      <c r="G592" t="str">
        <f t="shared" si="143"/>
        <v>000000</v>
      </c>
      <c r="H592" t="str">
        <f>LOOKUP(E592,Lookups!$A$1:$A$16,Lookups!$B$1:$B$16)</f>
        <v>z</v>
      </c>
      <c r="I592">
        <f t="shared" si="148"/>
        <v>0</v>
      </c>
      <c r="J592">
        <f t="shared" si="149"/>
        <v>0</v>
      </c>
      <c r="K592">
        <f t="shared" si="144"/>
        <v>0</v>
      </c>
    </row>
    <row r="593" spans="1:11" x14ac:dyDescent="0.35">
      <c r="A593" s="2">
        <v>3471</v>
      </c>
      <c r="B593" s="2">
        <f t="shared" si="145"/>
        <v>54</v>
      </c>
      <c r="C593" s="2">
        <f t="shared" si="146"/>
        <v>15</v>
      </c>
      <c r="D593" s="1" t="s">
        <v>119</v>
      </c>
      <c r="E593" t="str">
        <f t="shared" si="147"/>
        <v>0000</v>
      </c>
      <c r="F593" t="str">
        <f t="shared" si="142"/>
        <v>000000</v>
      </c>
      <c r="G593" t="str">
        <f t="shared" si="143"/>
        <v>000000</v>
      </c>
      <c r="H593" t="str">
        <f>LOOKUP(E593,Lookups!$A$1:$A$16,Lookups!$B$1:$B$16)</f>
        <v>z</v>
      </c>
      <c r="I593">
        <f t="shared" si="148"/>
        <v>0</v>
      </c>
      <c r="J593">
        <f t="shared" si="149"/>
        <v>0</v>
      </c>
      <c r="K593">
        <f t="shared" si="144"/>
        <v>0</v>
      </c>
    </row>
    <row r="594" spans="1:11" x14ac:dyDescent="0.35">
      <c r="A594" s="2">
        <v>3472</v>
      </c>
      <c r="B594" s="2">
        <f t="shared" si="145"/>
        <v>54</v>
      </c>
      <c r="C594" s="2">
        <f t="shared" si="146"/>
        <v>16</v>
      </c>
      <c r="D594" s="1" t="s">
        <v>119</v>
      </c>
      <c r="E594" t="str">
        <f t="shared" si="147"/>
        <v>0000</v>
      </c>
      <c r="F594" t="str">
        <f t="shared" si="142"/>
        <v>000000</v>
      </c>
      <c r="G594" t="str">
        <f t="shared" si="143"/>
        <v>000000</v>
      </c>
      <c r="H594" t="str">
        <f>LOOKUP(E594,Lookups!$A$1:$A$16,Lookups!$B$1:$B$16)</f>
        <v>z</v>
      </c>
      <c r="I594">
        <f t="shared" si="148"/>
        <v>0</v>
      </c>
      <c r="J594">
        <f t="shared" si="149"/>
        <v>0</v>
      </c>
      <c r="K594">
        <f t="shared" si="144"/>
        <v>0</v>
      </c>
    </row>
    <row r="595" spans="1:11" x14ac:dyDescent="0.35">
      <c r="A595" s="2">
        <v>3473</v>
      </c>
      <c r="B595" s="2">
        <f t="shared" si="145"/>
        <v>54</v>
      </c>
      <c r="C595" s="2">
        <f t="shared" si="146"/>
        <v>17</v>
      </c>
      <c r="D595" s="1" t="s">
        <v>119</v>
      </c>
      <c r="E595" t="str">
        <f t="shared" si="147"/>
        <v>0000</v>
      </c>
      <c r="F595" t="str">
        <f t="shared" si="142"/>
        <v>000000</v>
      </c>
      <c r="G595" t="str">
        <f t="shared" si="143"/>
        <v>000000</v>
      </c>
      <c r="H595" t="str">
        <f>LOOKUP(E595,Lookups!$A$1:$A$16,Lookups!$B$1:$B$16)</f>
        <v>z</v>
      </c>
      <c r="I595">
        <f t="shared" si="148"/>
        <v>0</v>
      </c>
      <c r="J595">
        <f t="shared" si="149"/>
        <v>0</v>
      </c>
      <c r="K595">
        <f t="shared" si="144"/>
        <v>0</v>
      </c>
    </row>
    <row r="596" spans="1:11" x14ac:dyDescent="0.35">
      <c r="A596" s="2">
        <v>3474</v>
      </c>
      <c r="B596" s="2">
        <f t="shared" si="145"/>
        <v>54</v>
      </c>
      <c r="C596" s="2">
        <f t="shared" si="146"/>
        <v>18</v>
      </c>
      <c r="D596" s="1" t="s">
        <v>119</v>
      </c>
      <c r="E596" t="str">
        <f t="shared" si="147"/>
        <v>0000</v>
      </c>
      <c r="F596" t="str">
        <f t="shared" si="142"/>
        <v>000000</v>
      </c>
      <c r="G596" t="str">
        <f t="shared" si="143"/>
        <v>000000</v>
      </c>
      <c r="H596" t="str">
        <f>LOOKUP(E596,Lookups!$A$1:$A$16,Lookups!$B$1:$B$16)</f>
        <v>z</v>
      </c>
      <c r="I596">
        <f t="shared" si="148"/>
        <v>0</v>
      </c>
      <c r="J596">
        <f t="shared" si="149"/>
        <v>0</v>
      </c>
      <c r="K596">
        <f t="shared" si="144"/>
        <v>0</v>
      </c>
    </row>
    <row r="597" spans="1:11" x14ac:dyDescent="0.35">
      <c r="A597" s="2">
        <v>3475</v>
      </c>
      <c r="B597" s="2">
        <f t="shared" si="145"/>
        <v>54</v>
      </c>
      <c r="C597" s="2">
        <f t="shared" si="146"/>
        <v>19</v>
      </c>
      <c r="D597" s="1" t="s">
        <v>119</v>
      </c>
      <c r="E597" t="str">
        <f t="shared" si="147"/>
        <v>0000</v>
      </c>
      <c r="F597" t="str">
        <f t="shared" si="142"/>
        <v>000000</v>
      </c>
      <c r="G597" t="str">
        <f t="shared" si="143"/>
        <v>000000</v>
      </c>
      <c r="H597" t="str">
        <f>LOOKUP(E597,Lookups!$A$1:$A$16,Lookups!$B$1:$B$16)</f>
        <v>z</v>
      </c>
      <c r="I597">
        <f t="shared" si="148"/>
        <v>0</v>
      </c>
      <c r="J597">
        <f t="shared" si="149"/>
        <v>0</v>
      </c>
      <c r="K597">
        <f t="shared" si="144"/>
        <v>0</v>
      </c>
    </row>
    <row r="598" spans="1:11" x14ac:dyDescent="0.35">
      <c r="A598" s="2">
        <v>3476</v>
      </c>
      <c r="B598" s="2">
        <f t="shared" si="145"/>
        <v>54</v>
      </c>
      <c r="C598" s="2">
        <f t="shared" si="146"/>
        <v>20</v>
      </c>
      <c r="D598" s="1" t="s">
        <v>119</v>
      </c>
      <c r="E598" t="str">
        <f t="shared" si="147"/>
        <v>0000</v>
      </c>
      <c r="F598" t="str">
        <f t="shared" si="142"/>
        <v>000000</v>
      </c>
      <c r="G598" t="str">
        <f t="shared" si="143"/>
        <v>000000</v>
      </c>
      <c r="H598" t="str">
        <f>LOOKUP(E598,Lookups!$A$1:$A$16,Lookups!$B$1:$B$16)</f>
        <v>z</v>
      </c>
      <c r="I598">
        <f t="shared" si="148"/>
        <v>0</v>
      </c>
      <c r="J598">
        <f t="shared" si="149"/>
        <v>0</v>
      </c>
      <c r="K598">
        <f t="shared" si="144"/>
        <v>0</v>
      </c>
    </row>
    <row r="599" spans="1:11" x14ac:dyDescent="0.35">
      <c r="A599" s="2">
        <v>3477</v>
      </c>
      <c r="B599" s="2">
        <f t="shared" si="145"/>
        <v>54</v>
      </c>
      <c r="C599" s="2">
        <f t="shared" si="146"/>
        <v>21</v>
      </c>
      <c r="D599" s="1" t="s">
        <v>119</v>
      </c>
      <c r="E599" t="str">
        <f t="shared" si="147"/>
        <v>0000</v>
      </c>
      <c r="F599" t="str">
        <f t="shared" si="142"/>
        <v>000000</v>
      </c>
      <c r="G599" t="str">
        <f t="shared" si="143"/>
        <v>000000</v>
      </c>
      <c r="H599" t="str">
        <f>LOOKUP(E599,Lookups!$A$1:$A$16,Lookups!$B$1:$B$16)</f>
        <v>z</v>
      </c>
      <c r="I599">
        <f t="shared" si="148"/>
        <v>0</v>
      </c>
      <c r="J599">
        <f t="shared" si="149"/>
        <v>0</v>
      </c>
      <c r="K599">
        <f t="shared" si="144"/>
        <v>0</v>
      </c>
    </row>
    <row r="600" spans="1:11" x14ac:dyDescent="0.35">
      <c r="A600" s="2">
        <v>3478</v>
      </c>
      <c r="B600" s="2">
        <f t="shared" si="145"/>
        <v>54</v>
      </c>
      <c r="C600" s="2">
        <f t="shared" si="146"/>
        <v>22</v>
      </c>
      <c r="D600" s="1" t="s">
        <v>119</v>
      </c>
      <c r="E600" t="str">
        <f t="shared" si="147"/>
        <v>0000</v>
      </c>
      <c r="F600" t="str">
        <f t="shared" si="142"/>
        <v>000000</v>
      </c>
      <c r="G600" t="str">
        <f t="shared" si="143"/>
        <v>000000</v>
      </c>
      <c r="H600" t="str">
        <f>LOOKUP(E600,Lookups!$A$1:$A$16,Lookups!$B$1:$B$16)</f>
        <v>z</v>
      </c>
      <c r="I600">
        <f t="shared" si="148"/>
        <v>0</v>
      </c>
      <c r="J600">
        <f t="shared" si="149"/>
        <v>0</v>
      </c>
      <c r="K600">
        <f t="shared" si="144"/>
        <v>0</v>
      </c>
    </row>
    <row r="601" spans="1:11" x14ac:dyDescent="0.35">
      <c r="A601" s="2">
        <v>3479</v>
      </c>
      <c r="B601" s="2">
        <f t="shared" si="145"/>
        <v>54</v>
      </c>
      <c r="C601" s="2">
        <f t="shared" si="146"/>
        <v>23</v>
      </c>
      <c r="D601" s="1" t="s">
        <v>119</v>
      </c>
      <c r="E601" t="str">
        <f t="shared" si="147"/>
        <v>0000</v>
      </c>
      <c r="F601" t="str">
        <f t="shared" si="142"/>
        <v>000000</v>
      </c>
      <c r="G601" t="str">
        <f t="shared" si="143"/>
        <v>000000</v>
      </c>
      <c r="H601" t="str">
        <f>LOOKUP(E601,Lookups!$A$1:$A$16,Lookups!$B$1:$B$16)</f>
        <v>z</v>
      </c>
      <c r="I601">
        <f t="shared" si="148"/>
        <v>0</v>
      </c>
      <c r="J601">
        <f t="shared" si="149"/>
        <v>0</v>
      </c>
      <c r="K601">
        <f t="shared" si="144"/>
        <v>0</v>
      </c>
    </row>
    <row r="602" spans="1:11" x14ac:dyDescent="0.35">
      <c r="A602" s="2">
        <v>3480</v>
      </c>
      <c r="B602" s="2">
        <f t="shared" si="145"/>
        <v>54</v>
      </c>
      <c r="C602" s="2">
        <f t="shared" si="146"/>
        <v>24</v>
      </c>
      <c r="D602" s="1" t="s">
        <v>119</v>
      </c>
      <c r="E602" t="str">
        <f t="shared" si="147"/>
        <v>0000</v>
      </c>
      <c r="F602" t="str">
        <f t="shared" si="142"/>
        <v>000000</v>
      </c>
      <c r="G602" t="str">
        <f t="shared" si="143"/>
        <v>000000</v>
      </c>
      <c r="H602" t="str">
        <f>LOOKUP(E602,Lookups!$A$1:$A$16,Lookups!$B$1:$B$16)</f>
        <v>z</v>
      </c>
      <c r="I602">
        <f t="shared" si="148"/>
        <v>0</v>
      </c>
      <c r="J602">
        <f t="shared" si="149"/>
        <v>0</v>
      </c>
      <c r="K602">
        <f t="shared" si="144"/>
        <v>0</v>
      </c>
    </row>
    <row r="603" spans="1:11" x14ac:dyDescent="0.35">
      <c r="A603" s="2">
        <v>3481</v>
      </c>
      <c r="B603" s="2">
        <f t="shared" si="145"/>
        <v>54</v>
      </c>
      <c r="C603" s="2">
        <f t="shared" si="146"/>
        <v>25</v>
      </c>
      <c r="D603" s="1" t="s">
        <v>119</v>
      </c>
      <c r="E603" t="str">
        <f t="shared" si="147"/>
        <v>0000</v>
      </c>
      <c r="F603" t="str">
        <f t="shared" si="142"/>
        <v>000000</v>
      </c>
      <c r="G603" t="str">
        <f t="shared" si="143"/>
        <v>000000</v>
      </c>
      <c r="H603" t="str">
        <f>LOOKUP(E603,Lookups!$A$1:$A$16,Lookups!$B$1:$B$16)</f>
        <v>z</v>
      </c>
      <c r="I603">
        <f t="shared" si="148"/>
        <v>0</v>
      </c>
      <c r="J603">
        <f t="shared" si="149"/>
        <v>0</v>
      </c>
      <c r="K603">
        <f t="shared" si="144"/>
        <v>0</v>
      </c>
    </row>
    <row r="604" spans="1:11" x14ac:dyDescent="0.35">
      <c r="A604" s="2">
        <v>3482</v>
      </c>
      <c r="B604" s="2">
        <f t="shared" si="145"/>
        <v>54</v>
      </c>
      <c r="C604" s="2">
        <f t="shared" si="146"/>
        <v>26</v>
      </c>
      <c r="D604" s="1" t="s">
        <v>119</v>
      </c>
      <c r="E604" t="str">
        <f t="shared" si="147"/>
        <v>0000</v>
      </c>
      <c r="F604" t="str">
        <f t="shared" si="142"/>
        <v>000000</v>
      </c>
      <c r="G604" t="str">
        <f t="shared" si="143"/>
        <v>000000</v>
      </c>
      <c r="H604" t="str">
        <f>LOOKUP(E604,Lookups!$A$1:$A$16,Lookups!$B$1:$B$16)</f>
        <v>z</v>
      </c>
      <c r="I604">
        <f t="shared" si="148"/>
        <v>0</v>
      </c>
      <c r="J604">
        <f t="shared" si="149"/>
        <v>0</v>
      </c>
      <c r="K604">
        <f t="shared" si="144"/>
        <v>0</v>
      </c>
    </row>
    <row r="605" spans="1:11" x14ac:dyDescent="0.35">
      <c r="A605" s="2">
        <v>3483</v>
      </c>
      <c r="B605" s="2">
        <f t="shared" si="145"/>
        <v>54</v>
      </c>
      <c r="C605" s="2">
        <f t="shared" si="146"/>
        <v>27</v>
      </c>
      <c r="D605" s="1" t="s">
        <v>119</v>
      </c>
      <c r="E605" t="str">
        <f t="shared" si="147"/>
        <v>0000</v>
      </c>
      <c r="F605" t="str">
        <f t="shared" si="142"/>
        <v>000000</v>
      </c>
      <c r="G605" t="str">
        <f t="shared" si="143"/>
        <v>000000</v>
      </c>
      <c r="H605" t="str">
        <f>LOOKUP(E605,Lookups!$A$1:$A$16,Lookups!$B$1:$B$16)</f>
        <v>z</v>
      </c>
      <c r="I605">
        <f t="shared" si="148"/>
        <v>0</v>
      </c>
      <c r="J605">
        <f t="shared" si="149"/>
        <v>0</v>
      </c>
      <c r="K605">
        <f t="shared" si="144"/>
        <v>0</v>
      </c>
    </row>
    <row r="606" spans="1:11" x14ac:dyDescent="0.35">
      <c r="A606" s="2">
        <v>3484</v>
      </c>
      <c r="B606" s="2">
        <f t="shared" si="145"/>
        <v>54</v>
      </c>
      <c r="C606" s="2">
        <f t="shared" si="146"/>
        <v>28</v>
      </c>
      <c r="D606" s="1" t="s">
        <v>119</v>
      </c>
      <c r="E606" t="str">
        <f t="shared" si="147"/>
        <v>0000</v>
      </c>
      <c r="F606" t="str">
        <f t="shared" si="142"/>
        <v>000000</v>
      </c>
      <c r="G606" t="str">
        <f t="shared" si="143"/>
        <v>000000</v>
      </c>
      <c r="H606" t="str">
        <f>LOOKUP(E606,Lookups!$A$1:$A$16,Lookups!$B$1:$B$16)</f>
        <v>z</v>
      </c>
      <c r="I606">
        <f t="shared" si="148"/>
        <v>0</v>
      </c>
      <c r="J606">
        <f t="shared" si="149"/>
        <v>0</v>
      </c>
      <c r="K606">
        <f t="shared" si="144"/>
        <v>0</v>
      </c>
    </row>
    <row r="607" spans="1:11" x14ac:dyDescent="0.35">
      <c r="A607" s="2">
        <v>3485</v>
      </c>
      <c r="B607" s="2">
        <f t="shared" si="145"/>
        <v>54</v>
      </c>
      <c r="C607" s="2">
        <f t="shared" si="146"/>
        <v>29</v>
      </c>
      <c r="D607" s="1" t="s">
        <v>119</v>
      </c>
      <c r="E607" t="str">
        <f t="shared" si="147"/>
        <v>0000</v>
      </c>
      <c r="F607" t="str">
        <f t="shared" si="142"/>
        <v>000000</v>
      </c>
      <c r="G607" t="str">
        <f t="shared" si="143"/>
        <v>000000</v>
      </c>
      <c r="H607" t="str">
        <f>LOOKUP(E607,Lookups!$A$1:$A$16,Lookups!$B$1:$B$16)</f>
        <v>z</v>
      </c>
      <c r="I607">
        <f t="shared" si="148"/>
        <v>0</v>
      </c>
      <c r="J607">
        <f t="shared" si="149"/>
        <v>0</v>
      </c>
      <c r="K607">
        <f t="shared" si="144"/>
        <v>0</v>
      </c>
    </row>
    <row r="608" spans="1:11" x14ac:dyDescent="0.35">
      <c r="A608" s="2">
        <v>3486</v>
      </c>
      <c r="B608" s="2">
        <f t="shared" si="145"/>
        <v>54</v>
      </c>
      <c r="C608" s="2">
        <f t="shared" si="146"/>
        <v>30</v>
      </c>
      <c r="D608" s="1" t="s">
        <v>119</v>
      </c>
      <c r="E608" t="str">
        <f t="shared" si="147"/>
        <v>0000</v>
      </c>
      <c r="F608" t="str">
        <f t="shared" si="142"/>
        <v>000000</v>
      </c>
      <c r="G608" t="str">
        <f t="shared" si="143"/>
        <v>000000</v>
      </c>
      <c r="H608" t="str">
        <f>LOOKUP(E608,Lookups!$A$1:$A$16,Lookups!$B$1:$B$16)</f>
        <v>z</v>
      </c>
      <c r="I608">
        <f t="shared" si="148"/>
        <v>0</v>
      </c>
      <c r="J608">
        <f t="shared" si="149"/>
        <v>0</v>
      </c>
      <c r="K608">
        <f t="shared" si="144"/>
        <v>0</v>
      </c>
    </row>
    <row r="609" spans="1:11" x14ac:dyDescent="0.35">
      <c r="A609" s="2">
        <v>3487</v>
      </c>
      <c r="B609" s="2">
        <f t="shared" si="145"/>
        <v>54</v>
      </c>
      <c r="C609" s="2">
        <f t="shared" si="146"/>
        <v>31</v>
      </c>
      <c r="D609" s="1" t="s">
        <v>119</v>
      </c>
      <c r="E609" t="str">
        <f t="shared" si="147"/>
        <v>0000</v>
      </c>
      <c r="F609" t="str">
        <f t="shared" si="142"/>
        <v>000000</v>
      </c>
      <c r="G609" t="str">
        <f t="shared" si="143"/>
        <v>000000</v>
      </c>
      <c r="H609" t="str">
        <f>LOOKUP(E609,Lookups!$A$1:$A$16,Lookups!$B$1:$B$16)</f>
        <v>z</v>
      </c>
      <c r="I609">
        <f t="shared" si="148"/>
        <v>0</v>
      </c>
      <c r="J609">
        <f t="shared" si="149"/>
        <v>0</v>
      </c>
      <c r="K609">
        <f t="shared" si="144"/>
        <v>0</v>
      </c>
    </row>
    <row r="610" spans="1:11" x14ac:dyDescent="0.35">
      <c r="A610" s="2">
        <v>3488</v>
      </c>
      <c r="B610" s="2">
        <f t="shared" si="145"/>
        <v>54</v>
      </c>
      <c r="C610" s="2">
        <f t="shared" si="146"/>
        <v>32</v>
      </c>
      <c r="D610" s="1" t="s">
        <v>119</v>
      </c>
      <c r="E610" t="str">
        <f t="shared" si="147"/>
        <v>0000</v>
      </c>
      <c r="F610" t="str">
        <f t="shared" si="142"/>
        <v>000000</v>
      </c>
      <c r="G610" t="str">
        <f t="shared" si="143"/>
        <v>000000</v>
      </c>
      <c r="H610" t="str">
        <f>LOOKUP(E610,Lookups!$A$1:$A$16,Lookups!$B$1:$B$16)</f>
        <v>z</v>
      </c>
      <c r="I610">
        <f t="shared" si="148"/>
        <v>0</v>
      </c>
      <c r="J610">
        <f t="shared" si="149"/>
        <v>0</v>
      </c>
      <c r="K610">
        <f t="shared" si="144"/>
        <v>0</v>
      </c>
    </row>
    <row r="611" spans="1:11" x14ac:dyDescent="0.35">
      <c r="A611" s="2">
        <v>3489</v>
      </c>
      <c r="B611" s="2">
        <f t="shared" si="145"/>
        <v>54</v>
      </c>
      <c r="C611" s="2">
        <f t="shared" si="146"/>
        <v>33</v>
      </c>
      <c r="D611" s="1" t="s">
        <v>119</v>
      </c>
      <c r="E611" t="str">
        <f t="shared" si="147"/>
        <v>0000</v>
      </c>
      <c r="F611" t="str">
        <f t="shared" si="142"/>
        <v>000000</v>
      </c>
      <c r="G611" t="str">
        <f t="shared" si="143"/>
        <v>000000</v>
      </c>
      <c r="H611" t="str">
        <f>LOOKUP(E611,Lookups!$A$1:$A$16,Lookups!$B$1:$B$16)</f>
        <v>z</v>
      </c>
      <c r="I611">
        <f t="shared" si="148"/>
        <v>0</v>
      </c>
      <c r="J611">
        <f t="shared" si="149"/>
        <v>0</v>
      </c>
      <c r="K611">
        <f t="shared" si="144"/>
        <v>0</v>
      </c>
    </row>
    <row r="612" spans="1:11" x14ac:dyDescent="0.35">
      <c r="A612" s="2">
        <v>3490</v>
      </c>
      <c r="B612" s="2">
        <f t="shared" si="145"/>
        <v>54</v>
      </c>
      <c r="C612" s="2">
        <f t="shared" si="146"/>
        <v>34</v>
      </c>
      <c r="D612" s="1" t="s">
        <v>119</v>
      </c>
      <c r="E612" t="str">
        <f t="shared" si="147"/>
        <v>0000</v>
      </c>
      <c r="F612" t="str">
        <f t="shared" si="142"/>
        <v>000000</v>
      </c>
      <c r="G612" t="str">
        <f t="shared" si="143"/>
        <v>000000</v>
      </c>
      <c r="H612" t="str">
        <f>LOOKUP(E612,Lookups!$A$1:$A$16,Lookups!$B$1:$B$16)</f>
        <v>z</v>
      </c>
      <c r="I612">
        <f t="shared" si="148"/>
        <v>0</v>
      </c>
      <c r="J612">
        <f t="shared" si="149"/>
        <v>0</v>
      </c>
      <c r="K612">
        <f t="shared" si="144"/>
        <v>0</v>
      </c>
    </row>
    <row r="613" spans="1:11" x14ac:dyDescent="0.35">
      <c r="A613" s="2">
        <v>3491</v>
      </c>
      <c r="B613" s="2">
        <f t="shared" si="145"/>
        <v>54</v>
      </c>
      <c r="C613" s="2">
        <f t="shared" si="146"/>
        <v>35</v>
      </c>
      <c r="D613" s="1" t="s">
        <v>119</v>
      </c>
      <c r="E613" t="str">
        <f t="shared" si="147"/>
        <v>0000</v>
      </c>
      <c r="F613" t="str">
        <f t="shared" si="142"/>
        <v>000000</v>
      </c>
      <c r="G613" t="str">
        <f t="shared" si="143"/>
        <v>000000</v>
      </c>
      <c r="H613" t="str">
        <f>LOOKUP(E613,Lookups!$A$1:$A$16,Lookups!$B$1:$B$16)</f>
        <v>z</v>
      </c>
      <c r="I613">
        <f t="shared" si="148"/>
        <v>0</v>
      </c>
      <c r="J613">
        <f t="shared" si="149"/>
        <v>0</v>
      </c>
      <c r="K613">
        <f t="shared" si="144"/>
        <v>0</v>
      </c>
    </row>
    <row r="614" spans="1:11" x14ac:dyDescent="0.35">
      <c r="A614" s="2">
        <v>3492</v>
      </c>
      <c r="B614" s="2">
        <f t="shared" si="145"/>
        <v>54</v>
      </c>
      <c r="C614" s="2">
        <f t="shared" si="146"/>
        <v>36</v>
      </c>
      <c r="D614" s="1" t="s">
        <v>119</v>
      </c>
      <c r="E614" t="str">
        <f t="shared" si="147"/>
        <v>0000</v>
      </c>
      <c r="F614" t="str">
        <f t="shared" si="142"/>
        <v>000000</v>
      </c>
      <c r="G614" t="str">
        <f t="shared" si="143"/>
        <v>000000</v>
      </c>
      <c r="H614" t="str">
        <f>LOOKUP(E614,Lookups!$A$1:$A$16,Lookups!$B$1:$B$16)</f>
        <v>z</v>
      </c>
      <c r="I614">
        <f t="shared" si="148"/>
        <v>0</v>
      </c>
      <c r="J614">
        <f t="shared" si="149"/>
        <v>0</v>
      </c>
      <c r="K614">
        <f t="shared" si="144"/>
        <v>0</v>
      </c>
    </row>
    <row r="615" spans="1:11" x14ac:dyDescent="0.35">
      <c r="A615" s="2">
        <v>3493</v>
      </c>
      <c r="B615" s="2">
        <f t="shared" si="145"/>
        <v>54</v>
      </c>
      <c r="C615" s="2">
        <f t="shared" si="146"/>
        <v>37</v>
      </c>
      <c r="D615" s="1" t="s">
        <v>119</v>
      </c>
      <c r="E615" t="str">
        <f t="shared" si="147"/>
        <v>0000</v>
      </c>
      <c r="F615" t="str">
        <f t="shared" si="142"/>
        <v>000000</v>
      </c>
      <c r="G615" t="str">
        <f t="shared" si="143"/>
        <v>000000</v>
      </c>
      <c r="H615" t="str">
        <f>LOOKUP(E615,Lookups!$A$1:$A$16,Lookups!$B$1:$B$16)</f>
        <v>z</v>
      </c>
      <c r="I615">
        <f t="shared" si="148"/>
        <v>0</v>
      </c>
      <c r="J615">
        <f t="shared" si="149"/>
        <v>0</v>
      </c>
      <c r="K615">
        <f t="shared" si="144"/>
        <v>0</v>
      </c>
    </row>
    <row r="616" spans="1:11" x14ac:dyDescent="0.35">
      <c r="A616" s="2">
        <v>3494</v>
      </c>
      <c r="B616" s="2">
        <f t="shared" si="145"/>
        <v>54</v>
      </c>
      <c r="C616" s="2">
        <f t="shared" si="146"/>
        <v>38</v>
      </c>
      <c r="D616" s="1" t="s">
        <v>119</v>
      </c>
      <c r="E616" t="str">
        <f t="shared" si="147"/>
        <v>0000</v>
      </c>
      <c r="F616" t="str">
        <f t="shared" si="142"/>
        <v>000000</v>
      </c>
      <c r="G616" t="str">
        <f t="shared" si="143"/>
        <v>000000</v>
      </c>
      <c r="H616" t="str">
        <f>LOOKUP(E616,Lookups!$A$1:$A$16,Lookups!$B$1:$B$16)</f>
        <v>z</v>
      </c>
      <c r="I616">
        <f t="shared" si="148"/>
        <v>0</v>
      </c>
      <c r="J616">
        <f t="shared" si="149"/>
        <v>0</v>
      </c>
      <c r="K616">
        <f t="shared" si="144"/>
        <v>0</v>
      </c>
    </row>
    <row r="617" spans="1:11" x14ac:dyDescent="0.35">
      <c r="A617" s="2">
        <v>3495</v>
      </c>
      <c r="B617" s="2">
        <f t="shared" si="145"/>
        <v>54</v>
      </c>
      <c r="C617" s="2">
        <f t="shared" si="146"/>
        <v>39</v>
      </c>
      <c r="D617" s="1" t="s">
        <v>119</v>
      </c>
      <c r="E617" t="str">
        <f t="shared" si="147"/>
        <v>0000</v>
      </c>
      <c r="F617" t="str">
        <f t="shared" si="142"/>
        <v>000000</v>
      </c>
      <c r="G617" t="str">
        <f t="shared" si="143"/>
        <v>000000</v>
      </c>
      <c r="H617" t="str">
        <f>LOOKUP(E617,Lookups!$A$1:$A$16,Lookups!$B$1:$B$16)</f>
        <v>z</v>
      </c>
      <c r="I617">
        <f t="shared" si="148"/>
        <v>0</v>
      </c>
      <c r="J617">
        <f t="shared" si="149"/>
        <v>0</v>
      </c>
      <c r="K617">
        <f t="shared" si="144"/>
        <v>0</v>
      </c>
    </row>
    <row r="618" spans="1:11" x14ac:dyDescent="0.35">
      <c r="A618" s="2">
        <v>3496</v>
      </c>
      <c r="B618" s="2">
        <f t="shared" si="145"/>
        <v>54</v>
      </c>
      <c r="C618" s="2">
        <f t="shared" si="146"/>
        <v>40</v>
      </c>
      <c r="D618" s="1" t="s">
        <v>119</v>
      </c>
      <c r="E618" t="str">
        <f t="shared" si="147"/>
        <v>0000</v>
      </c>
      <c r="F618" t="str">
        <f t="shared" si="142"/>
        <v>000000</v>
      </c>
      <c r="G618" t="str">
        <f t="shared" si="143"/>
        <v>000000</v>
      </c>
      <c r="H618" t="str">
        <f>LOOKUP(E618,Lookups!$A$1:$A$16,Lookups!$B$1:$B$16)</f>
        <v>z</v>
      </c>
      <c r="I618">
        <f t="shared" si="148"/>
        <v>0</v>
      </c>
      <c r="J618">
        <f t="shared" si="149"/>
        <v>0</v>
      </c>
      <c r="K618">
        <f t="shared" si="144"/>
        <v>0</v>
      </c>
    </row>
    <row r="619" spans="1:11" x14ac:dyDescent="0.35">
      <c r="A619" s="2">
        <v>3497</v>
      </c>
      <c r="B619" s="2">
        <f t="shared" si="145"/>
        <v>54</v>
      </c>
      <c r="C619" s="2">
        <f t="shared" si="146"/>
        <v>41</v>
      </c>
      <c r="D619" s="1" t="s">
        <v>119</v>
      </c>
      <c r="E619" t="str">
        <f t="shared" si="147"/>
        <v>0000</v>
      </c>
      <c r="F619" t="str">
        <f t="shared" si="142"/>
        <v>000000</v>
      </c>
      <c r="G619" t="str">
        <f t="shared" si="143"/>
        <v>000000</v>
      </c>
      <c r="H619" t="str">
        <f>LOOKUP(E619,Lookups!$A$1:$A$16,Lookups!$B$1:$B$16)</f>
        <v>z</v>
      </c>
      <c r="I619">
        <f t="shared" si="148"/>
        <v>0</v>
      </c>
      <c r="J619">
        <f t="shared" si="149"/>
        <v>0</v>
      </c>
      <c r="K619">
        <f t="shared" si="144"/>
        <v>0</v>
      </c>
    </row>
    <row r="620" spans="1:11" x14ac:dyDescent="0.35">
      <c r="A620" s="2">
        <v>3498</v>
      </c>
      <c r="B620" s="2">
        <f t="shared" si="145"/>
        <v>54</v>
      </c>
      <c r="C620" s="2">
        <f t="shared" si="146"/>
        <v>42</v>
      </c>
      <c r="D620" s="1" t="s">
        <v>119</v>
      </c>
      <c r="E620" t="str">
        <f t="shared" si="147"/>
        <v>0000</v>
      </c>
      <c r="F620" t="str">
        <f t="shared" si="142"/>
        <v>000000</v>
      </c>
      <c r="G620" t="str">
        <f t="shared" si="143"/>
        <v>000000</v>
      </c>
      <c r="H620" t="str">
        <f>LOOKUP(E620,Lookups!$A$1:$A$16,Lookups!$B$1:$B$16)</f>
        <v>z</v>
      </c>
      <c r="I620">
        <f t="shared" si="148"/>
        <v>0</v>
      </c>
      <c r="J620">
        <f t="shared" si="149"/>
        <v>0</v>
      </c>
      <c r="K620">
        <f t="shared" si="144"/>
        <v>0</v>
      </c>
    </row>
    <row r="621" spans="1:11" x14ac:dyDescent="0.35">
      <c r="A621" s="2">
        <v>3499</v>
      </c>
      <c r="B621" s="2">
        <f t="shared" si="145"/>
        <v>54</v>
      </c>
      <c r="C621" s="2">
        <f t="shared" si="146"/>
        <v>43</v>
      </c>
      <c r="D621" s="1" t="s">
        <v>119</v>
      </c>
      <c r="E621" t="str">
        <f t="shared" si="147"/>
        <v>0000</v>
      </c>
      <c r="F621" t="str">
        <f t="shared" si="142"/>
        <v>000000</v>
      </c>
      <c r="G621" t="str">
        <f t="shared" si="143"/>
        <v>000000</v>
      </c>
      <c r="H621" t="str">
        <f>LOOKUP(E621,Lookups!$A$1:$A$16,Lookups!$B$1:$B$16)</f>
        <v>z</v>
      </c>
      <c r="I621">
        <f t="shared" si="148"/>
        <v>0</v>
      </c>
      <c r="J621">
        <f t="shared" si="149"/>
        <v>0</v>
      </c>
      <c r="K621">
        <f t="shared" si="144"/>
        <v>0</v>
      </c>
    </row>
    <row r="622" spans="1:11" x14ac:dyDescent="0.35">
      <c r="A622" s="2">
        <v>3500</v>
      </c>
      <c r="B622" s="2">
        <f t="shared" si="145"/>
        <v>54</v>
      </c>
      <c r="C622" s="2">
        <f t="shared" si="146"/>
        <v>44</v>
      </c>
      <c r="D622" s="1" t="s">
        <v>119</v>
      </c>
      <c r="E622" t="str">
        <f t="shared" si="147"/>
        <v>0000</v>
      </c>
      <c r="F622" t="str">
        <f t="shared" si="142"/>
        <v>000000</v>
      </c>
      <c r="G622" t="str">
        <f t="shared" si="143"/>
        <v>000000</v>
      </c>
      <c r="H622" t="str">
        <f>LOOKUP(E622,Lookups!$A$1:$A$16,Lookups!$B$1:$B$16)</f>
        <v>z</v>
      </c>
      <c r="I622">
        <f t="shared" si="148"/>
        <v>0</v>
      </c>
      <c r="J622">
        <f t="shared" si="149"/>
        <v>0</v>
      </c>
      <c r="K622">
        <f t="shared" si="144"/>
        <v>0</v>
      </c>
    </row>
    <row r="623" spans="1:11" x14ac:dyDescent="0.35">
      <c r="A623" s="2">
        <v>3501</v>
      </c>
      <c r="B623" s="2">
        <f t="shared" si="145"/>
        <v>54</v>
      </c>
      <c r="C623" s="2">
        <f t="shared" si="146"/>
        <v>45</v>
      </c>
      <c r="D623" s="1" t="s">
        <v>119</v>
      </c>
      <c r="E623" t="str">
        <f t="shared" si="147"/>
        <v>0000</v>
      </c>
      <c r="F623" t="str">
        <f t="shared" si="142"/>
        <v>000000</v>
      </c>
      <c r="G623" t="str">
        <f t="shared" si="143"/>
        <v>000000</v>
      </c>
      <c r="H623" t="str">
        <f>LOOKUP(E623,Lookups!$A$1:$A$16,Lookups!$B$1:$B$16)</f>
        <v>z</v>
      </c>
      <c r="I623">
        <f t="shared" si="148"/>
        <v>0</v>
      </c>
      <c r="J623">
        <f t="shared" si="149"/>
        <v>0</v>
      </c>
      <c r="K623">
        <f t="shared" si="144"/>
        <v>0</v>
      </c>
    </row>
    <row r="624" spans="1:11" x14ac:dyDescent="0.35">
      <c r="A624" s="2">
        <v>3502</v>
      </c>
      <c r="B624" s="2">
        <f t="shared" si="145"/>
        <v>54</v>
      </c>
      <c r="C624" s="2">
        <f t="shared" si="146"/>
        <v>46</v>
      </c>
      <c r="D624" s="1" t="s">
        <v>119</v>
      </c>
      <c r="E624" t="str">
        <f t="shared" si="147"/>
        <v>0000</v>
      </c>
      <c r="F624" t="str">
        <f t="shared" si="142"/>
        <v>000000</v>
      </c>
      <c r="G624" t="str">
        <f t="shared" si="143"/>
        <v>000000</v>
      </c>
      <c r="H624" t="str">
        <f>LOOKUP(E624,Lookups!$A$1:$A$16,Lookups!$B$1:$B$16)</f>
        <v>z</v>
      </c>
      <c r="I624">
        <f t="shared" si="148"/>
        <v>0</v>
      </c>
      <c r="J624">
        <f t="shared" si="149"/>
        <v>0</v>
      </c>
      <c r="K624">
        <f t="shared" si="144"/>
        <v>0</v>
      </c>
    </row>
    <row r="625" spans="1:11" x14ac:dyDescent="0.35">
      <c r="A625" s="2">
        <v>3503</v>
      </c>
      <c r="B625" s="2">
        <f t="shared" si="145"/>
        <v>54</v>
      </c>
      <c r="C625" s="2">
        <f t="shared" si="146"/>
        <v>47</v>
      </c>
      <c r="D625" s="1" t="s">
        <v>119</v>
      </c>
      <c r="E625" t="str">
        <f t="shared" si="147"/>
        <v>0000</v>
      </c>
      <c r="F625" t="str">
        <f t="shared" si="142"/>
        <v>000000</v>
      </c>
      <c r="G625" t="str">
        <f t="shared" si="143"/>
        <v>000000</v>
      </c>
      <c r="H625" t="str">
        <f>LOOKUP(E625,Lookups!$A$1:$A$16,Lookups!$B$1:$B$16)</f>
        <v>z</v>
      </c>
      <c r="I625">
        <f t="shared" si="148"/>
        <v>0</v>
      </c>
      <c r="J625">
        <f t="shared" si="149"/>
        <v>0</v>
      </c>
      <c r="K625">
        <f t="shared" si="144"/>
        <v>0</v>
      </c>
    </row>
    <row r="626" spans="1:11" x14ac:dyDescent="0.35">
      <c r="A626" s="2">
        <v>3504</v>
      </c>
      <c r="B626" s="2">
        <f t="shared" si="145"/>
        <v>54</v>
      </c>
      <c r="C626" s="2">
        <f t="shared" si="146"/>
        <v>48</v>
      </c>
      <c r="D626" s="1" t="s">
        <v>119</v>
      </c>
      <c r="E626" t="str">
        <f t="shared" si="147"/>
        <v>0000</v>
      </c>
      <c r="F626" t="str">
        <f t="shared" si="142"/>
        <v>000000</v>
      </c>
      <c r="G626" t="str">
        <f t="shared" si="143"/>
        <v>000000</v>
      </c>
      <c r="H626" t="str">
        <f>LOOKUP(E626,Lookups!$A$1:$A$16,Lookups!$B$1:$B$16)</f>
        <v>z</v>
      </c>
      <c r="I626">
        <f t="shared" si="148"/>
        <v>0</v>
      </c>
      <c r="J626">
        <f t="shared" si="149"/>
        <v>0</v>
      </c>
      <c r="K626">
        <f t="shared" si="144"/>
        <v>0</v>
      </c>
    </row>
    <row r="627" spans="1:11" x14ac:dyDescent="0.35">
      <c r="A627" s="2">
        <v>3505</v>
      </c>
      <c r="B627" s="2">
        <f t="shared" si="145"/>
        <v>54</v>
      </c>
      <c r="C627" s="2">
        <f t="shared" si="146"/>
        <v>49</v>
      </c>
      <c r="D627" s="1" t="s">
        <v>119</v>
      </c>
      <c r="E627" t="str">
        <f t="shared" si="147"/>
        <v>0000</v>
      </c>
      <c r="F627" t="str">
        <f t="shared" si="142"/>
        <v>000000</v>
      </c>
      <c r="G627" t="str">
        <f t="shared" si="143"/>
        <v>000000</v>
      </c>
      <c r="H627" t="str">
        <f>LOOKUP(E627,Lookups!$A$1:$A$16,Lookups!$B$1:$B$16)</f>
        <v>z</v>
      </c>
      <c r="I627">
        <f t="shared" si="148"/>
        <v>0</v>
      </c>
      <c r="J627">
        <f t="shared" si="149"/>
        <v>0</v>
      </c>
      <c r="K627">
        <f t="shared" si="144"/>
        <v>0</v>
      </c>
    </row>
    <row r="628" spans="1:11" x14ac:dyDescent="0.35">
      <c r="A628" s="2">
        <v>3506</v>
      </c>
      <c r="B628" s="2">
        <f t="shared" si="145"/>
        <v>54</v>
      </c>
      <c r="C628" s="2">
        <f t="shared" si="146"/>
        <v>50</v>
      </c>
      <c r="D628" s="1" t="s">
        <v>119</v>
      </c>
      <c r="E628" t="str">
        <f t="shared" si="147"/>
        <v>0000</v>
      </c>
      <c r="F628" t="str">
        <f t="shared" si="142"/>
        <v>000000</v>
      </c>
      <c r="G628" t="str">
        <f t="shared" si="143"/>
        <v>000000</v>
      </c>
      <c r="H628" t="str">
        <f>LOOKUP(E628,Lookups!$A$1:$A$16,Lookups!$B$1:$B$16)</f>
        <v>z</v>
      </c>
      <c r="I628">
        <f t="shared" si="148"/>
        <v>0</v>
      </c>
      <c r="J628">
        <f t="shared" si="149"/>
        <v>0</v>
      </c>
      <c r="K628">
        <f t="shared" si="144"/>
        <v>0</v>
      </c>
    </row>
    <row r="629" spans="1:11" x14ac:dyDescent="0.35">
      <c r="A629" s="2">
        <v>3507</v>
      </c>
      <c r="B629" s="2">
        <f t="shared" si="145"/>
        <v>54</v>
      </c>
      <c r="C629" s="2">
        <f t="shared" si="146"/>
        <v>51</v>
      </c>
      <c r="D629" s="1" t="s">
        <v>119</v>
      </c>
      <c r="E629" t="str">
        <f t="shared" si="147"/>
        <v>0000</v>
      </c>
      <c r="F629" t="str">
        <f t="shared" si="142"/>
        <v>000000</v>
      </c>
      <c r="G629" t="str">
        <f t="shared" si="143"/>
        <v>000000</v>
      </c>
      <c r="H629" t="str">
        <f>LOOKUP(E629,Lookups!$A$1:$A$16,Lookups!$B$1:$B$16)</f>
        <v>z</v>
      </c>
      <c r="I629">
        <f t="shared" si="148"/>
        <v>0</v>
      </c>
      <c r="J629">
        <f t="shared" si="149"/>
        <v>0</v>
      </c>
      <c r="K629">
        <f t="shared" si="144"/>
        <v>0</v>
      </c>
    </row>
    <row r="630" spans="1:11" x14ac:dyDescent="0.35">
      <c r="A630" s="2">
        <v>3508</v>
      </c>
      <c r="B630" s="2">
        <f t="shared" si="145"/>
        <v>54</v>
      </c>
      <c r="C630" s="2">
        <f t="shared" si="146"/>
        <v>52</v>
      </c>
      <c r="D630" s="1" t="s">
        <v>119</v>
      </c>
      <c r="E630" t="str">
        <f t="shared" si="147"/>
        <v>0000</v>
      </c>
      <c r="F630" t="str">
        <f t="shared" si="142"/>
        <v>000000</v>
      </c>
      <c r="G630" t="str">
        <f t="shared" si="143"/>
        <v>000000</v>
      </c>
      <c r="H630" t="str">
        <f>LOOKUP(E630,Lookups!$A$1:$A$16,Lookups!$B$1:$B$16)</f>
        <v>z</v>
      </c>
      <c r="I630">
        <f t="shared" si="148"/>
        <v>0</v>
      </c>
      <c r="J630">
        <f t="shared" si="149"/>
        <v>0</v>
      </c>
      <c r="K630">
        <f t="shared" si="144"/>
        <v>0</v>
      </c>
    </row>
    <row r="631" spans="1:11" x14ac:dyDescent="0.35">
      <c r="A631" s="2">
        <v>3509</v>
      </c>
      <c r="B631" s="2">
        <f t="shared" si="145"/>
        <v>54</v>
      </c>
      <c r="C631" s="2">
        <f t="shared" si="146"/>
        <v>53</v>
      </c>
      <c r="D631" s="1" t="s">
        <v>119</v>
      </c>
      <c r="E631" t="str">
        <f t="shared" si="147"/>
        <v>0000</v>
      </c>
      <c r="F631" t="str">
        <f t="shared" si="142"/>
        <v>000000</v>
      </c>
      <c r="G631" t="str">
        <f t="shared" si="143"/>
        <v>000000</v>
      </c>
      <c r="H631" t="str">
        <f>LOOKUP(E631,Lookups!$A$1:$A$16,Lookups!$B$1:$B$16)</f>
        <v>z</v>
      </c>
      <c r="I631">
        <f t="shared" si="148"/>
        <v>0</v>
      </c>
      <c r="J631">
        <f t="shared" si="149"/>
        <v>0</v>
      </c>
      <c r="K631">
        <f t="shared" si="144"/>
        <v>0</v>
      </c>
    </row>
    <row r="632" spans="1:11" x14ac:dyDescent="0.35">
      <c r="A632" s="2">
        <v>3510</v>
      </c>
      <c r="B632" s="2">
        <f t="shared" si="145"/>
        <v>54</v>
      </c>
      <c r="C632" s="2">
        <f t="shared" si="146"/>
        <v>54</v>
      </c>
      <c r="D632" s="1" t="s">
        <v>119</v>
      </c>
      <c r="E632" t="str">
        <f t="shared" si="147"/>
        <v>0000</v>
      </c>
      <c r="F632" t="str">
        <f t="shared" si="142"/>
        <v>000000</v>
      </c>
      <c r="G632" t="str">
        <f t="shared" si="143"/>
        <v>000000</v>
      </c>
      <c r="H632" t="str">
        <f>LOOKUP(E632,Lookups!$A$1:$A$16,Lookups!$B$1:$B$16)</f>
        <v>z</v>
      </c>
      <c r="I632">
        <f t="shared" si="148"/>
        <v>0</v>
      </c>
      <c r="J632">
        <f t="shared" si="149"/>
        <v>0</v>
      </c>
      <c r="K632">
        <f t="shared" si="144"/>
        <v>0</v>
      </c>
    </row>
    <row r="633" spans="1:11" x14ac:dyDescent="0.35">
      <c r="A633" s="2">
        <v>3511</v>
      </c>
      <c r="B633" s="2">
        <f t="shared" si="145"/>
        <v>54</v>
      </c>
      <c r="C633" s="2">
        <f t="shared" si="146"/>
        <v>55</v>
      </c>
      <c r="D633" s="1" t="s">
        <v>119</v>
      </c>
      <c r="E633" t="str">
        <f t="shared" si="147"/>
        <v>0000</v>
      </c>
      <c r="F633" t="str">
        <f t="shared" si="142"/>
        <v>000000</v>
      </c>
      <c r="G633" t="str">
        <f t="shared" si="143"/>
        <v>000000</v>
      </c>
      <c r="H633" t="str">
        <f>LOOKUP(E633,Lookups!$A$1:$A$16,Lookups!$B$1:$B$16)</f>
        <v>z</v>
      </c>
      <c r="I633">
        <f t="shared" si="148"/>
        <v>0</v>
      </c>
      <c r="J633">
        <f t="shared" si="149"/>
        <v>0</v>
      </c>
      <c r="K633">
        <f t="shared" si="144"/>
        <v>0</v>
      </c>
    </row>
    <row r="634" spans="1:11" x14ac:dyDescent="0.35">
      <c r="A634" s="2">
        <v>3512</v>
      </c>
      <c r="B634" s="2">
        <f t="shared" si="145"/>
        <v>54</v>
      </c>
      <c r="C634" s="2">
        <f t="shared" si="146"/>
        <v>56</v>
      </c>
      <c r="D634" s="1" t="s">
        <v>119</v>
      </c>
      <c r="E634" t="str">
        <f t="shared" si="147"/>
        <v>0000</v>
      </c>
      <c r="F634" t="str">
        <f t="shared" si="142"/>
        <v>000000</v>
      </c>
      <c r="G634" t="str">
        <f t="shared" si="143"/>
        <v>000000</v>
      </c>
      <c r="H634" t="str">
        <f>LOOKUP(E634,Lookups!$A$1:$A$16,Lookups!$B$1:$B$16)</f>
        <v>z</v>
      </c>
      <c r="I634">
        <f t="shared" si="148"/>
        <v>0</v>
      </c>
      <c r="J634">
        <f t="shared" si="149"/>
        <v>0</v>
      </c>
      <c r="K634">
        <f t="shared" si="144"/>
        <v>0</v>
      </c>
    </row>
    <row r="635" spans="1:11" x14ac:dyDescent="0.35">
      <c r="A635" s="2">
        <v>3513</v>
      </c>
      <c r="B635" s="2">
        <f t="shared" si="145"/>
        <v>54</v>
      </c>
      <c r="C635" s="2">
        <f t="shared" si="146"/>
        <v>57</v>
      </c>
      <c r="D635" s="1" t="s">
        <v>119</v>
      </c>
      <c r="E635" t="str">
        <f t="shared" si="147"/>
        <v>0000</v>
      </c>
      <c r="F635" t="str">
        <f t="shared" si="142"/>
        <v>000000</v>
      </c>
      <c r="G635" t="str">
        <f t="shared" si="143"/>
        <v>000000</v>
      </c>
      <c r="H635" t="str">
        <f>LOOKUP(E635,Lookups!$A$1:$A$16,Lookups!$B$1:$B$16)</f>
        <v>z</v>
      </c>
      <c r="I635">
        <f t="shared" si="148"/>
        <v>0</v>
      </c>
      <c r="J635">
        <f t="shared" si="149"/>
        <v>0</v>
      </c>
      <c r="K635">
        <f t="shared" si="144"/>
        <v>0</v>
      </c>
    </row>
    <row r="636" spans="1:11" x14ac:dyDescent="0.35">
      <c r="A636" s="2">
        <v>3514</v>
      </c>
      <c r="B636" s="2">
        <f t="shared" si="145"/>
        <v>54</v>
      </c>
      <c r="C636" s="2">
        <f t="shared" si="146"/>
        <v>58</v>
      </c>
      <c r="D636" s="1" t="s">
        <v>119</v>
      </c>
      <c r="E636" t="str">
        <f t="shared" si="147"/>
        <v>0000</v>
      </c>
      <c r="F636" t="str">
        <f t="shared" si="142"/>
        <v>000000</v>
      </c>
      <c r="G636" t="str">
        <f t="shared" si="143"/>
        <v>000000</v>
      </c>
      <c r="H636" t="str">
        <f>LOOKUP(E636,Lookups!$A$1:$A$16,Lookups!$B$1:$B$16)</f>
        <v>z</v>
      </c>
      <c r="I636">
        <f t="shared" si="148"/>
        <v>0</v>
      </c>
      <c r="J636">
        <f t="shared" si="149"/>
        <v>0</v>
      </c>
      <c r="K636">
        <f t="shared" si="144"/>
        <v>0</v>
      </c>
    </row>
    <row r="637" spans="1:11" x14ac:dyDescent="0.35">
      <c r="A637" s="2">
        <v>3515</v>
      </c>
      <c r="B637" s="2">
        <f t="shared" si="145"/>
        <v>54</v>
      </c>
      <c r="C637" s="2">
        <f t="shared" si="146"/>
        <v>59</v>
      </c>
      <c r="D637" s="1" t="s">
        <v>119</v>
      </c>
      <c r="E637" t="str">
        <f t="shared" si="147"/>
        <v>0000</v>
      </c>
      <c r="F637" t="str">
        <f t="shared" si="142"/>
        <v>000000</v>
      </c>
      <c r="G637" t="str">
        <f t="shared" si="143"/>
        <v>000000</v>
      </c>
      <c r="H637" t="str">
        <f>LOOKUP(E637,Lookups!$A$1:$A$16,Lookups!$B$1:$B$16)</f>
        <v>z</v>
      </c>
      <c r="I637">
        <f t="shared" si="148"/>
        <v>0</v>
      </c>
      <c r="J637">
        <f t="shared" si="149"/>
        <v>0</v>
      </c>
      <c r="K637">
        <f t="shared" si="144"/>
        <v>0</v>
      </c>
    </row>
    <row r="638" spans="1:11" x14ac:dyDescent="0.35">
      <c r="A638" s="2">
        <v>3516</v>
      </c>
      <c r="B638" s="2">
        <f t="shared" si="145"/>
        <v>54</v>
      </c>
      <c r="C638" s="2">
        <f t="shared" si="146"/>
        <v>60</v>
      </c>
      <c r="D638" s="1" t="s">
        <v>119</v>
      </c>
      <c r="E638" t="str">
        <f t="shared" si="147"/>
        <v>0000</v>
      </c>
      <c r="F638" t="str">
        <f t="shared" si="142"/>
        <v>000000</v>
      </c>
      <c r="G638" t="str">
        <f t="shared" si="143"/>
        <v>000000</v>
      </c>
      <c r="H638" t="str">
        <f>LOOKUP(E638,Lookups!$A$1:$A$16,Lookups!$B$1:$B$16)</f>
        <v>z</v>
      </c>
      <c r="I638">
        <f t="shared" si="148"/>
        <v>0</v>
      </c>
      <c r="J638">
        <f t="shared" si="149"/>
        <v>0</v>
      </c>
      <c r="K638">
        <f t="shared" si="144"/>
        <v>0</v>
      </c>
    </row>
    <row r="639" spans="1:11" x14ac:dyDescent="0.35">
      <c r="A639" s="2">
        <v>3517</v>
      </c>
      <c r="B639" s="2">
        <f t="shared" si="145"/>
        <v>54</v>
      </c>
      <c r="C639" s="2">
        <f t="shared" si="146"/>
        <v>61</v>
      </c>
      <c r="D639" s="1" t="s">
        <v>119</v>
      </c>
      <c r="E639" t="str">
        <f t="shared" si="147"/>
        <v>0000</v>
      </c>
      <c r="F639" t="str">
        <f t="shared" si="142"/>
        <v>000000</v>
      </c>
      <c r="G639" t="str">
        <f t="shared" si="143"/>
        <v>000000</v>
      </c>
      <c r="H639" t="str">
        <f>LOOKUP(E639,Lookups!$A$1:$A$16,Lookups!$B$1:$B$16)</f>
        <v>z</v>
      </c>
      <c r="I639">
        <f t="shared" si="148"/>
        <v>0</v>
      </c>
      <c r="J639">
        <f t="shared" si="149"/>
        <v>0</v>
      </c>
      <c r="K639">
        <f t="shared" si="144"/>
        <v>0</v>
      </c>
    </row>
    <row r="640" spans="1:11" x14ac:dyDescent="0.35">
      <c r="A640" s="2">
        <v>3518</v>
      </c>
      <c r="B640" s="2">
        <f t="shared" si="145"/>
        <v>54</v>
      </c>
      <c r="C640" s="2">
        <f t="shared" si="146"/>
        <v>62</v>
      </c>
      <c r="D640" s="1" t="s">
        <v>119</v>
      </c>
      <c r="E640" t="str">
        <f t="shared" si="147"/>
        <v>0000</v>
      </c>
      <c r="F640" t="str">
        <f t="shared" si="142"/>
        <v>000000</v>
      </c>
      <c r="G640" t="str">
        <f t="shared" si="143"/>
        <v>000000</v>
      </c>
      <c r="H640" t="str">
        <f>LOOKUP(E640,Lookups!$A$1:$A$16,Lookups!$B$1:$B$16)</f>
        <v>z</v>
      </c>
      <c r="I640">
        <f t="shared" si="148"/>
        <v>0</v>
      </c>
      <c r="J640">
        <f t="shared" si="149"/>
        <v>0</v>
      </c>
      <c r="K640">
        <f t="shared" si="144"/>
        <v>0</v>
      </c>
    </row>
    <row r="641" spans="1:11" x14ac:dyDescent="0.35">
      <c r="A641" s="2">
        <v>3519</v>
      </c>
      <c r="B641" s="2">
        <f t="shared" si="145"/>
        <v>54</v>
      </c>
      <c r="C641" s="2">
        <f t="shared" si="146"/>
        <v>63</v>
      </c>
      <c r="D641" s="1" t="s">
        <v>119</v>
      </c>
      <c r="E641" t="str">
        <f t="shared" si="147"/>
        <v>0000</v>
      </c>
      <c r="F641" t="str">
        <f t="shared" si="142"/>
        <v>000000</v>
      </c>
      <c r="G641" t="str">
        <f t="shared" si="143"/>
        <v>000000</v>
      </c>
      <c r="H641" t="str">
        <f>LOOKUP(E641,Lookups!$A$1:$A$16,Lookups!$B$1:$B$16)</f>
        <v>z</v>
      </c>
      <c r="I641">
        <f t="shared" si="148"/>
        <v>0</v>
      </c>
      <c r="J641">
        <f t="shared" si="149"/>
        <v>0</v>
      </c>
      <c r="K641">
        <f t="shared" si="144"/>
        <v>0</v>
      </c>
    </row>
  </sheetData>
  <conditionalFormatting sqref="S1:S1048576 T1:V1">
    <cfRule type="cellIs" dxfId="6" priority="7" operator="equal">
      <formula>TRUE</formula>
    </cfRule>
  </conditionalFormatting>
  <conditionalFormatting sqref="Q1">
    <cfRule type="cellIs" dxfId="5" priority="6" operator="equal">
      <formula>TRUE</formula>
    </cfRule>
  </conditionalFormatting>
  <conditionalFormatting sqref="Q1:Q1048576">
    <cfRule type="cellIs" dxfId="4" priority="5" operator="equal">
      <formula>TRUE</formula>
    </cfRule>
  </conditionalFormatting>
  <conditionalFormatting sqref="O1:O1048576">
    <cfRule type="cellIs" dxfId="3" priority="4" operator="equal">
      <formula>TRUE</formula>
    </cfRule>
  </conditionalFormatting>
  <conditionalFormatting sqref="T1:T1048576 U1:V1">
    <cfRule type="cellIs" dxfId="2" priority="3" operator="equal">
      <formula>TRUE</formula>
    </cfRule>
  </conditionalFormatting>
  <conditionalFormatting sqref="V1:V1048576">
    <cfRule type="cellIs" dxfId="1" priority="2" operator="equal">
      <formula>TRUE</formula>
    </cfRule>
  </conditionalFormatting>
  <conditionalFormatting sqref="U1:U1048576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E3C4-BFD2-4991-B5EC-C0705DA61928}">
  <dimension ref="A1:P449"/>
  <sheetViews>
    <sheetView workbookViewId="0"/>
  </sheetViews>
  <sheetFormatPr defaultRowHeight="14.5" x14ac:dyDescent="0.35"/>
  <cols>
    <col min="1" max="1" width="15.54296875" bestFit="1" customWidth="1"/>
    <col min="3" max="3" width="7.54296875" bestFit="1" customWidth="1"/>
    <col min="4" max="4" width="9.08984375" bestFit="1" customWidth="1"/>
    <col min="5" max="8" width="8.81640625" bestFit="1" customWidth="1"/>
    <col min="9" max="9" width="33.36328125" bestFit="1" customWidth="1"/>
    <col min="10" max="10" width="10.90625" bestFit="1" customWidth="1"/>
    <col min="11" max="11" width="8.7265625" bestFit="1" customWidth="1"/>
    <col min="12" max="12" width="9.453125" bestFit="1" customWidth="1"/>
    <col min="13" max="13" width="7.26953125" bestFit="1" customWidth="1"/>
    <col min="14" max="14" width="5.26953125" bestFit="1" customWidth="1"/>
    <col min="15" max="15" width="6" bestFit="1" customWidth="1"/>
    <col min="16" max="16" width="5.54296875" bestFit="1" customWidth="1"/>
  </cols>
  <sheetData>
    <row r="1" spans="1:16" x14ac:dyDescent="0.35">
      <c r="A1" t="s">
        <v>784</v>
      </c>
      <c r="C1" t="s">
        <v>306</v>
      </c>
      <c r="D1" t="s">
        <v>766</v>
      </c>
      <c r="E1" t="s">
        <v>767</v>
      </c>
      <c r="F1" t="s">
        <v>767</v>
      </c>
      <c r="G1" t="s">
        <v>767</v>
      </c>
      <c r="H1" t="s">
        <v>767</v>
      </c>
      <c r="I1" t="s">
        <v>304</v>
      </c>
      <c r="J1" t="s">
        <v>781</v>
      </c>
      <c r="K1" t="s">
        <v>768</v>
      </c>
      <c r="L1" t="s">
        <v>769</v>
      </c>
      <c r="M1" t="s">
        <v>305</v>
      </c>
      <c r="N1" t="s">
        <v>307</v>
      </c>
      <c r="O1" t="s">
        <v>308</v>
      </c>
      <c r="P1" t="s">
        <v>317</v>
      </c>
    </row>
    <row r="2" spans="1:16" x14ac:dyDescent="0.35">
      <c r="A2" t="s">
        <v>318</v>
      </c>
      <c r="C2" t="str">
        <f>MID(A2,1,4)</f>
        <v>2880</v>
      </c>
      <c r="D2" t="str">
        <f>MID(A2,8,20)</f>
        <v>000d2f8c</v>
      </c>
      <c r="E2" t="str">
        <f>HEX2BIN(MID(D2,1,2),8)</f>
        <v>00000000</v>
      </c>
      <c r="F2" t="str">
        <f>HEX2BIN(MID(D2,3,2),8)</f>
        <v>00001101</v>
      </c>
      <c r="G2" t="str">
        <f>HEX2BIN(MID(D2,5,2),8)</f>
        <v>00101111</v>
      </c>
      <c r="H2" t="str">
        <f>HEX2BIN(MID(D2,7,2),8)</f>
        <v>10001100</v>
      </c>
      <c r="I2" t="str">
        <f>CONCATENATE(E2,F2,G2,H2)</f>
        <v>00000000000011010010111110001100</v>
      </c>
      <c r="J2" t="str">
        <f t="shared" ref="J2:J65" si="0">MID(D2,4,1)</f>
        <v>d</v>
      </c>
      <c r="K2" t="str">
        <f>MID(G2,3,6)</f>
        <v>101111</v>
      </c>
      <c r="L2" t="str">
        <f>MID(H2,1,6)</f>
        <v>100011</v>
      </c>
      <c r="M2" t="str">
        <f>LOOKUP(J2,Lookups!$A$27:$A$42,Lookups!$B$27:$B$42)</f>
        <v>c</v>
      </c>
      <c r="N2">
        <f>BIN2DEC(K2)</f>
        <v>47</v>
      </c>
      <c r="O2">
        <f>BIN2DEC(L2)</f>
        <v>35</v>
      </c>
      <c r="P2">
        <f>N2*64+O2</f>
        <v>3043</v>
      </c>
    </row>
    <row r="3" spans="1:16" x14ac:dyDescent="0.35">
      <c r="A3" t="s">
        <v>319</v>
      </c>
      <c r="C3" t="str">
        <f t="shared" ref="C3:C66" si="1">MID(A3,1,4)</f>
        <v>2881</v>
      </c>
      <c r="D3" t="str">
        <f t="shared" ref="D3:D66" si="2">MID(A3,8,20)</f>
        <v>000d3278</v>
      </c>
      <c r="E3" t="str">
        <f t="shared" ref="E3:E66" si="3">HEX2BIN(MID(D3,1,2),8)</f>
        <v>00000000</v>
      </c>
      <c r="F3" t="str">
        <f t="shared" ref="F3:F66" si="4">HEX2BIN(MID(D3,3,2),8)</f>
        <v>00001101</v>
      </c>
      <c r="G3" t="str">
        <f t="shared" ref="G3:G66" si="5">HEX2BIN(MID(D3,5,2),8)</f>
        <v>00110010</v>
      </c>
      <c r="H3" t="str">
        <f t="shared" ref="H3:H66" si="6">HEX2BIN(MID(D3,7,2),8)</f>
        <v>01111000</v>
      </c>
      <c r="I3" t="str">
        <f t="shared" ref="I3:I66" si="7">CONCATENATE(E3,F3,G3,H3)</f>
        <v>00000000000011010011001001111000</v>
      </c>
      <c r="J3" t="str">
        <f t="shared" si="0"/>
        <v>d</v>
      </c>
      <c r="K3" t="str">
        <f t="shared" ref="K3:K66" si="8">MID(G3,3,6)</f>
        <v>110010</v>
      </c>
      <c r="L3" t="str">
        <f t="shared" ref="L3:L66" si="9">MID(H3,1,6)</f>
        <v>011110</v>
      </c>
      <c r="M3" t="str">
        <f>LOOKUP(J3,Lookups!$A$27:$A$42,Lookups!$B$27:$B$42)</f>
        <v>c</v>
      </c>
      <c r="N3">
        <f t="shared" ref="N3:N66" si="10">BIN2DEC(K3)</f>
        <v>50</v>
      </c>
      <c r="O3">
        <f t="shared" ref="O3:O66" si="11">BIN2DEC(L3)</f>
        <v>30</v>
      </c>
      <c r="P3">
        <f t="shared" ref="P3:P66" si="12">N3*64+O3</f>
        <v>3230</v>
      </c>
    </row>
    <row r="4" spans="1:16" x14ac:dyDescent="0.35">
      <c r="A4" t="s">
        <v>320</v>
      </c>
      <c r="C4" t="str">
        <f t="shared" si="1"/>
        <v>2882</v>
      </c>
      <c r="D4" t="str">
        <f t="shared" si="2"/>
        <v>000a31c4</v>
      </c>
      <c r="E4" t="str">
        <f t="shared" si="3"/>
        <v>00000000</v>
      </c>
      <c r="F4" t="str">
        <f t="shared" si="4"/>
        <v>00001010</v>
      </c>
      <c r="G4" t="str">
        <f t="shared" si="5"/>
        <v>00110001</v>
      </c>
      <c r="H4" t="str">
        <f t="shared" si="6"/>
        <v>11000100</v>
      </c>
      <c r="I4" t="str">
        <f t="shared" si="7"/>
        <v>00000000000010100011000111000100</v>
      </c>
      <c r="J4" t="str">
        <f t="shared" si="0"/>
        <v>a</v>
      </c>
      <c r="K4" t="str">
        <f t="shared" si="8"/>
        <v>110001</v>
      </c>
      <c r="L4" t="str">
        <f t="shared" si="9"/>
        <v>110001</v>
      </c>
      <c r="M4" t="str">
        <f>LOOKUP(J4,Lookups!$A$27:$A$42,Lookups!$B$27:$B$42)</f>
        <v>u</v>
      </c>
      <c r="N4">
        <f t="shared" si="10"/>
        <v>49</v>
      </c>
      <c r="O4">
        <f t="shared" si="11"/>
        <v>49</v>
      </c>
      <c r="P4">
        <f t="shared" si="12"/>
        <v>3185</v>
      </c>
    </row>
    <row r="5" spans="1:16" x14ac:dyDescent="0.35">
      <c r="A5" t="s">
        <v>321</v>
      </c>
      <c r="C5" t="str">
        <f t="shared" si="1"/>
        <v>2883</v>
      </c>
      <c r="D5" t="str">
        <f t="shared" si="2"/>
        <v>000e2d98</v>
      </c>
      <c r="E5" t="str">
        <f t="shared" si="3"/>
        <v>00000000</v>
      </c>
      <c r="F5" t="str">
        <f t="shared" si="4"/>
        <v>00001110</v>
      </c>
      <c r="G5" t="str">
        <f t="shared" si="5"/>
        <v>00101101</v>
      </c>
      <c r="H5" t="str">
        <f t="shared" si="6"/>
        <v>10011000</v>
      </c>
      <c r="I5" t="str">
        <f t="shared" si="7"/>
        <v>00000000000011100010110110011000</v>
      </c>
      <c r="J5" t="str">
        <f t="shared" si="0"/>
        <v>e</v>
      </c>
      <c r="K5" t="str">
        <f t="shared" si="8"/>
        <v>101101</v>
      </c>
      <c r="L5" t="str">
        <f t="shared" si="9"/>
        <v>100110</v>
      </c>
      <c r="M5" t="str">
        <f>LOOKUP(J5,Lookups!$A$27:$A$42,Lookups!$B$27:$B$42)</f>
        <v>a</v>
      </c>
      <c r="N5">
        <f t="shared" si="10"/>
        <v>45</v>
      </c>
      <c r="O5">
        <f t="shared" si="11"/>
        <v>38</v>
      </c>
      <c r="P5">
        <f t="shared" si="12"/>
        <v>2918</v>
      </c>
    </row>
    <row r="6" spans="1:16" x14ac:dyDescent="0.35">
      <c r="A6" t="s">
        <v>322</v>
      </c>
      <c r="C6" t="str">
        <f t="shared" si="1"/>
        <v>2884</v>
      </c>
      <c r="D6" t="str">
        <f t="shared" si="2"/>
        <v>00022d78</v>
      </c>
      <c r="E6" t="str">
        <f t="shared" si="3"/>
        <v>00000000</v>
      </c>
      <c r="F6" t="str">
        <f t="shared" si="4"/>
        <v>00000010</v>
      </c>
      <c r="G6" t="str">
        <f t="shared" si="5"/>
        <v>00101101</v>
      </c>
      <c r="H6" t="str">
        <f t="shared" si="6"/>
        <v>01111000</v>
      </c>
      <c r="I6" t="str">
        <f t="shared" si="7"/>
        <v>00000000000000100010110101111000</v>
      </c>
      <c r="J6" t="str">
        <f t="shared" si="0"/>
        <v>2</v>
      </c>
      <c r="K6" t="str">
        <f t="shared" si="8"/>
        <v>101101</v>
      </c>
      <c r="L6" t="str">
        <f t="shared" si="9"/>
        <v>011110</v>
      </c>
      <c r="M6" t="str">
        <f>LOOKUP(J6,Lookups!$A$27:$A$42,Lookups!$B$27:$B$42)</f>
        <v>y</v>
      </c>
      <c r="N6">
        <f t="shared" si="10"/>
        <v>45</v>
      </c>
      <c r="O6">
        <f t="shared" si="11"/>
        <v>30</v>
      </c>
      <c r="P6">
        <f t="shared" si="12"/>
        <v>2910</v>
      </c>
    </row>
    <row r="7" spans="1:16" x14ac:dyDescent="0.35">
      <c r="A7" t="s">
        <v>323</v>
      </c>
      <c r="C7" t="str">
        <f t="shared" si="1"/>
        <v>2885</v>
      </c>
      <c r="D7" t="str">
        <f t="shared" si="2"/>
        <v>000e2efc</v>
      </c>
      <c r="E7" t="str">
        <f t="shared" si="3"/>
        <v>00000000</v>
      </c>
      <c r="F7" t="str">
        <f t="shared" si="4"/>
        <v>00001110</v>
      </c>
      <c r="G7" t="str">
        <f t="shared" si="5"/>
        <v>00101110</v>
      </c>
      <c r="H7" t="str">
        <f t="shared" si="6"/>
        <v>11111100</v>
      </c>
      <c r="I7" t="str">
        <f t="shared" si="7"/>
        <v>00000000000011100010111011111100</v>
      </c>
      <c r="J7" t="str">
        <f t="shared" si="0"/>
        <v>e</v>
      </c>
      <c r="K7" t="str">
        <f t="shared" si="8"/>
        <v>101110</v>
      </c>
      <c r="L7" t="str">
        <f t="shared" si="9"/>
        <v>111111</v>
      </c>
      <c r="M7" t="str">
        <f>LOOKUP(J7,Lookups!$A$27:$A$42,Lookups!$B$27:$B$42)</f>
        <v>a</v>
      </c>
      <c r="N7">
        <f t="shared" si="10"/>
        <v>46</v>
      </c>
      <c r="O7">
        <f t="shared" si="11"/>
        <v>63</v>
      </c>
      <c r="P7">
        <f t="shared" si="12"/>
        <v>3007</v>
      </c>
    </row>
    <row r="8" spans="1:16" x14ac:dyDescent="0.35">
      <c r="A8" t="s">
        <v>324</v>
      </c>
      <c r="C8" t="str">
        <f t="shared" si="1"/>
        <v>2886</v>
      </c>
      <c r="D8" t="str">
        <f t="shared" si="2"/>
        <v>00022d54</v>
      </c>
      <c r="E8" t="str">
        <f t="shared" si="3"/>
        <v>00000000</v>
      </c>
      <c r="F8" t="str">
        <f t="shared" si="4"/>
        <v>00000010</v>
      </c>
      <c r="G8" t="str">
        <f t="shared" si="5"/>
        <v>00101101</v>
      </c>
      <c r="H8" t="str">
        <f t="shared" si="6"/>
        <v>01010100</v>
      </c>
      <c r="I8" t="str">
        <f t="shared" si="7"/>
        <v>00000000000000100010110101010100</v>
      </c>
      <c r="J8" t="str">
        <f t="shared" si="0"/>
        <v>2</v>
      </c>
      <c r="K8" t="str">
        <f t="shared" si="8"/>
        <v>101101</v>
      </c>
      <c r="L8" t="str">
        <f t="shared" si="9"/>
        <v>010101</v>
      </c>
      <c r="M8" t="str">
        <f>LOOKUP(J8,Lookups!$A$27:$A$42,Lookups!$B$27:$B$42)</f>
        <v>y</v>
      </c>
      <c r="N8">
        <f t="shared" si="10"/>
        <v>45</v>
      </c>
      <c r="O8">
        <f t="shared" si="11"/>
        <v>21</v>
      </c>
      <c r="P8">
        <f t="shared" si="12"/>
        <v>2901</v>
      </c>
    </row>
    <row r="9" spans="1:16" x14ac:dyDescent="0.35">
      <c r="A9" t="s">
        <v>325</v>
      </c>
      <c r="C9" t="str">
        <f t="shared" si="1"/>
        <v>2887</v>
      </c>
      <c r="D9" t="str">
        <f t="shared" si="2"/>
        <v>00022d58</v>
      </c>
      <c r="E9" t="str">
        <f t="shared" si="3"/>
        <v>00000000</v>
      </c>
      <c r="F9" t="str">
        <f t="shared" si="4"/>
        <v>00000010</v>
      </c>
      <c r="G9" t="str">
        <f t="shared" si="5"/>
        <v>00101101</v>
      </c>
      <c r="H9" t="str">
        <f t="shared" si="6"/>
        <v>01011000</v>
      </c>
      <c r="I9" t="str">
        <f t="shared" si="7"/>
        <v>00000000000000100010110101011000</v>
      </c>
      <c r="J9" t="str">
        <f t="shared" si="0"/>
        <v>2</v>
      </c>
      <c r="K9" t="str">
        <f t="shared" si="8"/>
        <v>101101</v>
      </c>
      <c r="L9" t="str">
        <f t="shared" si="9"/>
        <v>010110</v>
      </c>
      <c r="M9" t="str">
        <f>LOOKUP(J9,Lookups!$A$27:$A$42,Lookups!$B$27:$B$42)</f>
        <v>y</v>
      </c>
      <c r="N9">
        <f t="shared" si="10"/>
        <v>45</v>
      </c>
      <c r="O9">
        <f t="shared" si="11"/>
        <v>22</v>
      </c>
      <c r="P9">
        <f t="shared" si="12"/>
        <v>2902</v>
      </c>
    </row>
    <row r="10" spans="1:16" x14ac:dyDescent="0.35">
      <c r="A10" t="s">
        <v>326</v>
      </c>
      <c r="C10" t="str">
        <f t="shared" si="1"/>
        <v>2888</v>
      </c>
      <c r="D10" t="str">
        <f t="shared" si="2"/>
        <v>00022d6c</v>
      </c>
      <c r="E10" t="str">
        <f t="shared" si="3"/>
        <v>00000000</v>
      </c>
      <c r="F10" t="str">
        <f t="shared" si="4"/>
        <v>00000010</v>
      </c>
      <c r="G10" t="str">
        <f t="shared" si="5"/>
        <v>00101101</v>
      </c>
      <c r="H10" t="str">
        <f t="shared" si="6"/>
        <v>01101100</v>
      </c>
      <c r="I10" t="str">
        <f t="shared" si="7"/>
        <v>00000000000000100010110101101100</v>
      </c>
      <c r="J10" t="str">
        <f t="shared" si="0"/>
        <v>2</v>
      </c>
      <c r="K10" t="str">
        <f t="shared" si="8"/>
        <v>101101</v>
      </c>
      <c r="L10" t="str">
        <f t="shared" si="9"/>
        <v>011011</v>
      </c>
      <c r="M10" t="str">
        <f>LOOKUP(J10,Lookups!$A$27:$A$42,Lookups!$B$27:$B$42)</f>
        <v>y</v>
      </c>
      <c r="N10">
        <f t="shared" si="10"/>
        <v>45</v>
      </c>
      <c r="O10">
        <f t="shared" si="11"/>
        <v>27</v>
      </c>
      <c r="P10">
        <f t="shared" si="12"/>
        <v>2907</v>
      </c>
    </row>
    <row r="11" spans="1:16" x14ac:dyDescent="0.35">
      <c r="A11" t="s">
        <v>327</v>
      </c>
      <c r="C11" t="str">
        <f t="shared" si="1"/>
        <v>2889</v>
      </c>
      <c r="D11" t="str">
        <f t="shared" si="2"/>
        <v>000332f0</v>
      </c>
      <c r="E11" t="str">
        <f t="shared" si="3"/>
        <v>00000000</v>
      </c>
      <c r="F11" t="str">
        <f t="shared" si="4"/>
        <v>00000011</v>
      </c>
      <c r="G11" t="str">
        <f t="shared" si="5"/>
        <v>00110010</v>
      </c>
      <c r="H11" t="str">
        <f t="shared" si="6"/>
        <v>11110000</v>
      </c>
      <c r="I11" t="str">
        <f t="shared" si="7"/>
        <v>00000000000000110011001011110000</v>
      </c>
      <c r="J11" t="str">
        <f t="shared" si="0"/>
        <v>3</v>
      </c>
      <c r="K11" t="str">
        <f t="shared" si="8"/>
        <v>110010</v>
      </c>
      <c r="L11" t="str">
        <f t="shared" si="9"/>
        <v>111100</v>
      </c>
      <c r="M11" t="str">
        <f>LOOKUP(J11,Lookups!$A$27:$A$42,Lookups!$B$27:$B$42)</f>
        <v>r</v>
      </c>
      <c r="N11">
        <f t="shared" si="10"/>
        <v>50</v>
      </c>
      <c r="O11">
        <f t="shared" si="11"/>
        <v>60</v>
      </c>
      <c r="P11">
        <f t="shared" si="12"/>
        <v>3260</v>
      </c>
    </row>
    <row r="12" spans="1:16" x14ac:dyDescent="0.35">
      <c r="A12" t="s">
        <v>328</v>
      </c>
      <c r="C12" t="str">
        <f t="shared" si="1"/>
        <v>2890</v>
      </c>
      <c r="D12" t="str">
        <f t="shared" si="2"/>
        <v>000a32d8</v>
      </c>
      <c r="E12" t="str">
        <f t="shared" si="3"/>
        <v>00000000</v>
      </c>
      <c r="F12" t="str">
        <f t="shared" si="4"/>
        <v>00001010</v>
      </c>
      <c r="G12" t="str">
        <f t="shared" si="5"/>
        <v>00110010</v>
      </c>
      <c r="H12" t="str">
        <f t="shared" si="6"/>
        <v>11011000</v>
      </c>
      <c r="I12" t="str">
        <f t="shared" si="7"/>
        <v>00000000000010100011001011011000</v>
      </c>
      <c r="J12" t="str">
        <f t="shared" si="0"/>
        <v>a</v>
      </c>
      <c r="K12" t="str">
        <f t="shared" si="8"/>
        <v>110010</v>
      </c>
      <c r="L12" t="str">
        <f t="shared" si="9"/>
        <v>110110</v>
      </c>
      <c r="M12" t="str">
        <f>LOOKUP(J12,Lookups!$A$27:$A$42,Lookups!$B$27:$B$42)</f>
        <v>u</v>
      </c>
      <c r="N12">
        <f t="shared" si="10"/>
        <v>50</v>
      </c>
      <c r="O12">
        <f t="shared" si="11"/>
        <v>54</v>
      </c>
      <c r="P12">
        <f t="shared" si="12"/>
        <v>3254</v>
      </c>
    </row>
    <row r="13" spans="1:16" x14ac:dyDescent="0.35">
      <c r="A13" t="s">
        <v>329</v>
      </c>
      <c r="C13" t="str">
        <f t="shared" si="1"/>
        <v>2891</v>
      </c>
      <c r="D13" t="str">
        <f t="shared" si="2"/>
        <v>000931f0</v>
      </c>
      <c r="E13" t="str">
        <f t="shared" si="3"/>
        <v>00000000</v>
      </c>
      <c r="F13" t="str">
        <f t="shared" si="4"/>
        <v>00001001</v>
      </c>
      <c r="G13" t="str">
        <f t="shared" si="5"/>
        <v>00110001</v>
      </c>
      <c r="H13" t="str">
        <f t="shared" si="6"/>
        <v>11110000</v>
      </c>
      <c r="I13" t="str">
        <f t="shared" si="7"/>
        <v>00000000000010010011000111110000</v>
      </c>
      <c r="J13" t="str">
        <f t="shared" si="0"/>
        <v>9</v>
      </c>
      <c r="K13" t="str">
        <f t="shared" si="8"/>
        <v>110001</v>
      </c>
      <c r="L13" t="str">
        <f t="shared" si="9"/>
        <v>111100</v>
      </c>
      <c r="M13" t="str">
        <f>LOOKUP(J13,Lookups!$A$27:$A$42,Lookups!$B$27:$B$42)</f>
        <v>e</v>
      </c>
      <c r="N13">
        <f t="shared" si="10"/>
        <v>49</v>
      </c>
      <c r="O13">
        <f t="shared" si="11"/>
        <v>60</v>
      </c>
      <c r="P13">
        <f t="shared" si="12"/>
        <v>3196</v>
      </c>
    </row>
    <row r="14" spans="1:16" x14ac:dyDescent="0.35">
      <c r="A14" t="s">
        <v>330</v>
      </c>
      <c r="C14" t="str">
        <f t="shared" si="1"/>
        <v>2892</v>
      </c>
      <c r="D14" t="str">
        <f t="shared" si="2"/>
        <v>000f31e0</v>
      </c>
      <c r="E14" t="str">
        <f t="shared" si="3"/>
        <v>00000000</v>
      </c>
      <c r="F14" t="str">
        <f t="shared" si="4"/>
        <v>00001111</v>
      </c>
      <c r="G14" t="str">
        <f t="shared" si="5"/>
        <v>00110001</v>
      </c>
      <c r="H14" t="str">
        <f t="shared" si="6"/>
        <v>11100000</v>
      </c>
      <c r="I14" t="str">
        <f t="shared" si="7"/>
        <v>00000000000011110011000111100000</v>
      </c>
      <c r="J14" t="str">
        <f t="shared" si="0"/>
        <v>f</v>
      </c>
      <c r="K14" t="str">
        <f t="shared" si="8"/>
        <v>110001</v>
      </c>
      <c r="L14" t="str">
        <f t="shared" si="9"/>
        <v>111000</v>
      </c>
      <c r="M14" t="str">
        <f>LOOKUP(J14,Lookups!$A$27:$A$42,Lookups!$B$27:$B$42)</f>
        <v>s</v>
      </c>
      <c r="N14">
        <f t="shared" si="10"/>
        <v>49</v>
      </c>
      <c r="O14">
        <f t="shared" si="11"/>
        <v>56</v>
      </c>
      <c r="P14">
        <f t="shared" si="12"/>
        <v>3192</v>
      </c>
    </row>
    <row r="15" spans="1:16" x14ac:dyDescent="0.35">
      <c r="A15" t="s">
        <v>331</v>
      </c>
      <c r="C15" t="str">
        <f t="shared" si="1"/>
        <v>2893</v>
      </c>
      <c r="D15" t="str">
        <f t="shared" si="2"/>
        <v>000b2d24</v>
      </c>
      <c r="E15" t="str">
        <f t="shared" si="3"/>
        <v>00000000</v>
      </c>
      <c r="F15" t="str">
        <f t="shared" si="4"/>
        <v>00001011</v>
      </c>
      <c r="G15" t="str">
        <f t="shared" si="5"/>
        <v>00101101</v>
      </c>
      <c r="H15" t="str">
        <f t="shared" si="6"/>
        <v>00100100</v>
      </c>
      <c r="I15" t="str">
        <f t="shared" si="7"/>
        <v>00000000000010110010110100100100</v>
      </c>
      <c r="J15" t="str">
        <f t="shared" si="0"/>
        <v>b</v>
      </c>
      <c r="K15" t="str">
        <f t="shared" si="8"/>
        <v>101101</v>
      </c>
      <c r="L15" t="str">
        <f t="shared" si="9"/>
        <v>001001</v>
      </c>
      <c r="M15" t="str">
        <f>LOOKUP(J15,Lookups!$A$27:$A$42,Lookups!$B$27:$B$42)</f>
        <v>t</v>
      </c>
      <c r="N15">
        <f t="shared" si="10"/>
        <v>45</v>
      </c>
      <c r="O15">
        <f t="shared" si="11"/>
        <v>9</v>
      </c>
      <c r="P15">
        <f t="shared" si="12"/>
        <v>2889</v>
      </c>
    </row>
    <row r="16" spans="1:16" x14ac:dyDescent="0.35">
      <c r="A16" t="s">
        <v>332</v>
      </c>
      <c r="C16" t="str">
        <f t="shared" si="1"/>
        <v>2894</v>
      </c>
      <c r="D16" t="str">
        <f t="shared" si="2"/>
        <v>000e2e8c</v>
      </c>
      <c r="E16" t="str">
        <f t="shared" si="3"/>
        <v>00000000</v>
      </c>
      <c r="F16" t="str">
        <f t="shared" si="4"/>
        <v>00001110</v>
      </c>
      <c r="G16" t="str">
        <f t="shared" si="5"/>
        <v>00101110</v>
      </c>
      <c r="H16" t="str">
        <f t="shared" si="6"/>
        <v>10001100</v>
      </c>
      <c r="I16" t="str">
        <f t="shared" si="7"/>
        <v>00000000000011100010111010001100</v>
      </c>
      <c r="J16" t="str">
        <f t="shared" si="0"/>
        <v>e</v>
      </c>
      <c r="K16" t="str">
        <f t="shared" si="8"/>
        <v>101110</v>
      </c>
      <c r="L16" t="str">
        <f t="shared" si="9"/>
        <v>100011</v>
      </c>
      <c r="M16" t="str">
        <f>LOOKUP(J16,Lookups!$A$27:$A$42,Lookups!$B$27:$B$42)</f>
        <v>a</v>
      </c>
      <c r="N16">
        <f t="shared" si="10"/>
        <v>46</v>
      </c>
      <c r="O16">
        <f t="shared" si="11"/>
        <v>35</v>
      </c>
      <c r="P16">
        <f t="shared" si="12"/>
        <v>2979</v>
      </c>
    </row>
    <row r="17" spans="1:16" x14ac:dyDescent="0.35">
      <c r="A17" t="s">
        <v>333</v>
      </c>
      <c r="C17" t="str">
        <f t="shared" si="1"/>
        <v>2895</v>
      </c>
      <c r="D17" t="str">
        <f t="shared" si="2"/>
        <v>000c2d94</v>
      </c>
      <c r="E17" t="str">
        <f t="shared" si="3"/>
        <v>00000000</v>
      </c>
      <c r="F17" t="str">
        <f t="shared" si="4"/>
        <v>00001100</v>
      </c>
      <c r="G17" t="str">
        <f t="shared" si="5"/>
        <v>00101101</v>
      </c>
      <c r="H17" t="str">
        <f t="shared" si="6"/>
        <v>10010100</v>
      </c>
      <c r="I17" t="str">
        <f t="shared" si="7"/>
        <v>00000000000011000010110110010100</v>
      </c>
      <c r="J17" t="str">
        <f t="shared" si="0"/>
        <v>c</v>
      </c>
      <c r="K17" t="str">
        <f t="shared" si="8"/>
        <v>101101</v>
      </c>
      <c r="L17" t="str">
        <f t="shared" si="9"/>
        <v>100101</v>
      </c>
      <c r="M17" t="str">
        <f>LOOKUP(J17,Lookups!$A$27:$A$42,Lookups!$B$27:$B$42)</f>
        <v>h</v>
      </c>
      <c r="N17">
        <f t="shared" si="10"/>
        <v>45</v>
      </c>
      <c r="O17">
        <f t="shared" si="11"/>
        <v>37</v>
      </c>
      <c r="P17">
        <f t="shared" si="12"/>
        <v>2917</v>
      </c>
    </row>
    <row r="18" spans="1:16" x14ac:dyDescent="0.35">
      <c r="A18" t="s">
        <v>334</v>
      </c>
      <c r="C18" t="str">
        <f t="shared" si="1"/>
        <v>2896</v>
      </c>
      <c r="D18" t="str">
        <f t="shared" si="2"/>
        <v>000e2d0c</v>
      </c>
      <c r="E18" t="str">
        <f t="shared" si="3"/>
        <v>00000000</v>
      </c>
      <c r="F18" t="str">
        <f t="shared" si="4"/>
        <v>00001110</v>
      </c>
      <c r="G18" t="str">
        <f t="shared" si="5"/>
        <v>00101101</v>
      </c>
      <c r="H18" t="str">
        <f t="shared" si="6"/>
        <v>00001100</v>
      </c>
      <c r="I18" t="str">
        <f t="shared" si="7"/>
        <v>00000000000011100010110100001100</v>
      </c>
      <c r="J18" t="str">
        <f t="shared" si="0"/>
        <v>e</v>
      </c>
      <c r="K18" t="str">
        <f t="shared" si="8"/>
        <v>101101</v>
      </c>
      <c r="L18" t="str">
        <f t="shared" si="9"/>
        <v>000011</v>
      </c>
      <c r="M18" t="str">
        <f>LOOKUP(J18,Lookups!$A$27:$A$42,Lookups!$B$27:$B$42)</f>
        <v>a</v>
      </c>
      <c r="N18">
        <f t="shared" si="10"/>
        <v>45</v>
      </c>
      <c r="O18">
        <f t="shared" si="11"/>
        <v>3</v>
      </c>
      <c r="P18">
        <f t="shared" si="12"/>
        <v>2883</v>
      </c>
    </row>
    <row r="19" spans="1:16" x14ac:dyDescent="0.35">
      <c r="A19" t="s">
        <v>335</v>
      </c>
      <c r="C19" t="str">
        <f t="shared" si="1"/>
        <v>2897</v>
      </c>
      <c r="D19" t="str">
        <f t="shared" si="2"/>
        <v>00022d68</v>
      </c>
      <c r="E19" t="str">
        <f t="shared" si="3"/>
        <v>00000000</v>
      </c>
      <c r="F19" t="str">
        <f t="shared" si="4"/>
        <v>00000010</v>
      </c>
      <c r="G19" t="str">
        <f t="shared" si="5"/>
        <v>00101101</v>
      </c>
      <c r="H19" t="str">
        <f t="shared" si="6"/>
        <v>01101000</v>
      </c>
      <c r="I19" t="str">
        <f t="shared" si="7"/>
        <v>00000000000000100010110101101000</v>
      </c>
      <c r="J19" t="str">
        <f t="shared" si="0"/>
        <v>2</v>
      </c>
      <c r="K19" t="str">
        <f t="shared" si="8"/>
        <v>101101</v>
      </c>
      <c r="L19" t="str">
        <f t="shared" si="9"/>
        <v>011010</v>
      </c>
      <c r="M19" t="str">
        <f>LOOKUP(J19,Lookups!$A$27:$A$42,Lookups!$B$27:$B$42)</f>
        <v>y</v>
      </c>
      <c r="N19">
        <f t="shared" si="10"/>
        <v>45</v>
      </c>
      <c r="O19">
        <f t="shared" si="11"/>
        <v>26</v>
      </c>
      <c r="P19">
        <f t="shared" si="12"/>
        <v>2906</v>
      </c>
    </row>
    <row r="20" spans="1:16" x14ac:dyDescent="0.35">
      <c r="A20" t="s">
        <v>336</v>
      </c>
      <c r="C20" t="str">
        <f t="shared" si="1"/>
        <v>2898</v>
      </c>
      <c r="D20" t="str">
        <f t="shared" si="2"/>
        <v>00022d70</v>
      </c>
      <c r="E20" t="str">
        <f t="shared" si="3"/>
        <v>00000000</v>
      </c>
      <c r="F20" t="str">
        <f t="shared" si="4"/>
        <v>00000010</v>
      </c>
      <c r="G20" t="str">
        <f t="shared" si="5"/>
        <v>00101101</v>
      </c>
      <c r="H20" t="str">
        <f t="shared" si="6"/>
        <v>01110000</v>
      </c>
      <c r="I20" t="str">
        <f t="shared" si="7"/>
        <v>00000000000000100010110101110000</v>
      </c>
      <c r="J20" t="str">
        <f t="shared" si="0"/>
        <v>2</v>
      </c>
      <c r="K20" t="str">
        <f t="shared" si="8"/>
        <v>101101</v>
      </c>
      <c r="L20" t="str">
        <f t="shared" si="9"/>
        <v>011100</v>
      </c>
      <c r="M20" t="str">
        <f>LOOKUP(J20,Lookups!$A$27:$A$42,Lookups!$B$27:$B$42)</f>
        <v>y</v>
      </c>
      <c r="N20">
        <f t="shared" si="10"/>
        <v>45</v>
      </c>
      <c r="O20">
        <f t="shared" si="11"/>
        <v>28</v>
      </c>
      <c r="P20">
        <f t="shared" si="12"/>
        <v>2908</v>
      </c>
    </row>
    <row r="21" spans="1:16" x14ac:dyDescent="0.35">
      <c r="A21" t="s">
        <v>337</v>
      </c>
      <c r="C21" t="str">
        <f t="shared" si="1"/>
        <v>2899</v>
      </c>
      <c r="D21" t="str">
        <f t="shared" si="2"/>
        <v>00022d50</v>
      </c>
      <c r="E21" t="str">
        <f t="shared" si="3"/>
        <v>00000000</v>
      </c>
      <c r="F21" t="str">
        <f t="shared" si="4"/>
        <v>00000010</v>
      </c>
      <c r="G21" t="str">
        <f t="shared" si="5"/>
        <v>00101101</v>
      </c>
      <c r="H21" t="str">
        <f t="shared" si="6"/>
        <v>01010000</v>
      </c>
      <c r="I21" t="str">
        <f t="shared" si="7"/>
        <v>00000000000000100010110101010000</v>
      </c>
      <c r="J21" t="str">
        <f t="shared" si="0"/>
        <v>2</v>
      </c>
      <c r="K21" t="str">
        <f t="shared" si="8"/>
        <v>101101</v>
      </c>
      <c r="L21" t="str">
        <f t="shared" si="9"/>
        <v>010100</v>
      </c>
      <c r="M21" t="str">
        <f>LOOKUP(J21,Lookups!$A$27:$A$42,Lookups!$B$27:$B$42)</f>
        <v>y</v>
      </c>
      <c r="N21">
        <f t="shared" si="10"/>
        <v>45</v>
      </c>
      <c r="O21">
        <f t="shared" si="11"/>
        <v>20</v>
      </c>
      <c r="P21">
        <f t="shared" si="12"/>
        <v>2900</v>
      </c>
    </row>
    <row r="22" spans="1:16" x14ac:dyDescent="0.35">
      <c r="A22" t="s">
        <v>338</v>
      </c>
      <c r="C22" t="str">
        <f t="shared" si="1"/>
        <v>2900</v>
      </c>
      <c r="D22" t="str">
        <f t="shared" si="2"/>
        <v>00012da8</v>
      </c>
      <c r="E22" t="str">
        <f t="shared" si="3"/>
        <v>00000000</v>
      </c>
      <c r="F22" t="str">
        <f t="shared" si="4"/>
        <v>00000001</v>
      </c>
      <c r="G22" t="str">
        <f t="shared" si="5"/>
        <v>00101101</v>
      </c>
      <c r="H22" t="str">
        <f t="shared" si="6"/>
        <v>10101000</v>
      </c>
      <c r="I22" t="str">
        <f t="shared" si="7"/>
        <v>00000000000000010010110110101000</v>
      </c>
      <c r="J22" t="str">
        <f t="shared" si="0"/>
        <v>1</v>
      </c>
      <c r="K22" t="str">
        <f t="shared" si="8"/>
        <v>101101</v>
      </c>
      <c r="L22" t="str">
        <f t="shared" si="9"/>
        <v>101010</v>
      </c>
      <c r="M22" t="str">
        <f>LOOKUP(J22,Lookups!$A$27:$A$42,Lookups!$B$27:$B$42)</f>
        <v>b</v>
      </c>
      <c r="N22">
        <f t="shared" si="10"/>
        <v>45</v>
      </c>
      <c r="O22">
        <f t="shared" si="11"/>
        <v>42</v>
      </c>
      <c r="P22">
        <f t="shared" si="12"/>
        <v>2922</v>
      </c>
    </row>
    <row r="23" spans="1:16" x14ac:dyDescent="0.35">
      <c r="A23" t="s">
        <v>339</v>
      </c>
      <c r="C23" t="str">
        <f t="shared" si="1"/>
        <v>2901</v>
      </c>
      <c r="D23" t="str">
        <f t="shared" si="2"/>
        <v>00092de4</v>
      </c>
      <c r="E23" t="str">
        <f t="shared" si="3"/>
        <v>00000000</v>
      </c>
      <c r="F23" t="str">
        <f t="shared" si="4"/>
        <v>00001001</v>
      </c>
      <c r="G23" t="str">
        <f t="shared" si="5"/>
        <v>00101101</v>
      </c>
      <c r="H23" t="str">
        <f t="shared" si="6"/>
        <v>11100100</v>
      </c>
      <c r="I23" t="str">
        <f t="shared" si="7"/>
        <v>00000000000010010010110111100100</v>
      </c>
      <c r="J23" t="str">
        <f t="shared" si="0"/>
        <v>9</v>
      </c>
      <c r="K23" t="str">
        <f t="shared" si="8"/>
        <v>101101</v>
      </c>
      <c r="L23" t="str">
        <f t="shared" si="9"/>
        <v>111001</v>
      </c>
      <c r="M23" t="str">
        <f>LOOKUP(J23,Lookups!$A$27:$A$42,Lookups!$B$27:$B$42)</f>
        <v>e</v>
      </c>
      <c r="N23">
        <f t="shared" si="10"/>
        <v>45</v>
      </c>
      <c r="O23">
        <f t="shared" si="11"/>
        <v>57</v>
      </c>
      <c r="P23">
        <f t="shared" si="12"/>
        <v>2937</v>
      </c>
    </row>
    <row r="24" spans="1:16" x14ac:dyDescent="0.35">
      <c r="A24" t="s">
        <v>340</v>
      </c>
      <c r="C24" t="str">
        <f t="shared" si="1"/>
        <v>2902</v>
      </c>
      <c r="D24" t="str">
        <f t="shared" si="2"/>
        <v>000f2de4</v>
      </c>
      <c r="E24" t="str">
        <f t="shared" si="3"/>
        <v>00000000</v>
      </c>
      <c r="F24" t="str">
        <f t="shared" si="4"/>
        <v>00001111</v>
      </c>
      <c r="G24" t="str">
        <f t="shared" si="5"/>
        <v>00101101</v>
      </c>
      <c r="H24" t="str">
        <f t="shared" si="6"/>
        <v>11100100</v>
      </c>
      <c r="I24" t="str">
        <f t="shared" si="7"/>
        <v>00000000000011110010110111100100</v>
      </c>
      <c r="J24" t="str">
        <f t="shared" si="0"/>
        <v>f</v>
      </c>
      <c r="K24" t="str">
        <f t="shared" si="8"/>
        <v>101101</v>
      </c>
      <c r="L24" t="str">
        <f t="shared" si="9"/>
        <v>111001</v>
      </c>
      <c r="M24" t="str">
        <f>LOOKUP(J24,Lookups!$A$27:$A$42,Lookups!$B$27:$B$42)</f>
        <v>s</v>
      </c>
      <c r="N24">
        <f t="shared" si="10"/>
        <v>45</v>
      </c>
      <c r="O24">
        <f t="shared" si="11"/>
        <v>57</v>
      </c>
      <c r="P24">
        <f t="shared" si="12"/>
        <v>2937</v>
      </c>
    </row>
    <row r="25" spans="1:16" x14ac:dyDescent="0.35">
      <c r="A25" t="s">
        <v>341</v>
      </c>
      <c r="C25" t="str">
        <f t="shared" si="1"/>
        <v>2903</v>
      </c>
      <c r="D25" t="str">
        <f t="shared" si="2"/>
        <v>000b2d68</v>
      </c>
      <c r="E25" t="str">
        <f t="shared" si="3"/>
        <v>00000000</v>
      </c>
      <c r="F25" t="str">
        <f t="shared" si="4"/>
        <v>00001011</v>
      </c>
      <c r="G25" t="str">
        <f t="shared" si="5"/>
        <v>00101101</v>
      </c>
      <c r="H25" t="str">
        <f t="shared" si="6"/>
        <v>01101000</v>
      </c>
      <c r="I25" t="str">
        <f t="shared" si="7"/>
        <v>00000000000010110010110101101000</v>
      </c>
      <c r="J25" t="str">
        <f t="shared" si="0"/>
        <v>b</v>
      </c>
      <c r="K25" t="str">
        <f t="shared" si="8"/>
        <v>101101</v>
      </c>
      <c r="L25" t="str">
        <f t="shared" si="9"/>
        <v>011010</v>
      </c>
      <c r="M25" t="str">
        <f>LOOKUP(J25,Lookups!$A$27:$A$42,Lookups!$B$27:$B$42)</f>
        <v>t</v>
      </c>
      <c r="N25">
        <f t="shared" si="10"/>
        <v>45</v>
      </c>
      <c r="O25">
        <f t="shared" si="11"/>
        <v>26</v>
      </c>
      <c r="P25">
        <f t="shared" si="12"/>
        <v>2906</v>
      </c>
    </row>
    <row r="26" spans="1:16" x14ac:dyDescent="0.35">
      <c r="A26" t="s">
        <v>342</v>
      </c>
      <c r="C26" t="str">
        <f t="shared" si="1"/>
        <v>2904</v>
      </c>
      <c r="D26" t="str">
        <f t="shared" si="2"/>
        <v>000a2e68</v>
      </c>
      <c r="E26" t="str">
        <f t="shared" si="3"/>
        <v>00000000</v>
      </c>
      <c r="F26" t="str">
        <f t="shared" si="4"/>
        <v>00001010</v>
      </c>
      <c r="G26" t="str">
        <f t="shared" si="5"/>
        <v>00101110</v>
      </c>
      <c r="H26" t="str">
        <f t="shared" si="6"/>
        <v>01101000</v>
      </c>
      <c r="I26" t="str">
        <f t="shared" si="7"/>
        <v>00000000000010100010111001101000</v>
      </c>
      <c r="J26" t="str">
        <f t="shared" si="0"/>
        <v>a</v>
      </c>
      <c r="K26" t="str">
        <f t="shared" si="8"/>
        <v>101110</v>
      </c>
      <c r="L26" t="str">
        <f t="shared" si="9"/>
        <v>011010</v>
      </c>
      <c r="M26" t="str">
        <f>LOOKUP(J26,Lookups!$A$27:$A$42,Lookups!$B$27:$B$42)</f>
        <v>u</v>
      </c>
      <c r="N26">
        <f t="shared" si="10"/>
        <v>46</v>
      </c>
      <c r="O26">
        <f t="shared" si="11"/>
        <v>26</v>
      </c>
      <c r="P26">
        <f t="shared" si="12"/>
        <v>2970</v>
      </c>
    </row>
    <row r="27" spans="1:16" x14ac:dyDescent="0.35">
      <c r="A27" t="s">
        <v>343</v>
      </c>
      <c r="C27" t="str">
        <f t="shared" si="1"/>
        <v>2905</v>
      </c>
      <c r="D27" t="str">
        <f t="shared" si="2"/>
        <v>00012dd0</v>
      </c>
      <c r="E27" t="str">
        <f t="shared" si="3"/>
        <v>00000000</v>
      </c>
      <c r="F27" t="str">
        <f t="shared" si="4"/>
        <v>00000001</v>
      </c>
      <c r="G27" t="str">
        <f t="shared" si="5"/>
        <v>00101101</v>
      </c>
      <c r="H27" t="str">
        <f t="shared" si="6"/>
        <v>11010000</v>
      </c>
      <c r="I27" t="str">
        <f t="shared" si="7"/>
        <v>00000000000000010010110111010000</v>
      </c>
      <c r="J27" t="str">
        <f t="shared" si="0"/>
        <v>1</v>
      </c>
      <c r="K27" t="str">
        <f t="shared" si="8"/>
        <v>101101</v>
      </c>
      <c r="L27" t="str">
        <f t="shared" si="9"/>
        <v>110100</v>
      </c>
      <c r="M27" t="str">
        <f>LOOKUP(J27,Lookups!$A$27:$A$42,Lookups!$B$27:$B$42)</f>
        <v>b</v>
      </c>
      <c r="N27">
        <f t="shared" si="10"/>
        <v>45</v>
      </c>
      <c r="O27">
        <f t="shared" si="11"/>
        <v>52</v>
      </c>
      <c r="P27">
        <f t="shared" si="12"/>
        <v>2932</v>
      </c>
    </row>
    <row r="28" spans="1:16" x14ac:dyDescent="0.35">
      <c r="A28" t="s">
        <v>344</v>
      </c>
      <c r="C28" t="str">
        <f t="shared" si="1"/>
        <v>2906</v>
      </c>
      <c r="D28" t="str">
        <f t="shared" si="2"/>
        <v>00012da8</v>
      </c>
      <c r="E28" t="str">
        <f t="shared" si="3"/>
        <v>00000000</v>
      </c>
      <c r="F28" t="str">
        <f t="shared" si="4"/>
        <v>00000001</v>
      </c>
      <c r="G28" t="str">
        <f t="shared" si="5"/>
        <v>00101101</v>
      </c>
      <c r="H28" t="str">
        <f t="shared" si="6"/>
        <v>10101000</v>
      </c>
      <c r="I28" t="str">
        <f t="shared" si="7"/>
        <v>00000000000000010010110110101000</v>
      </c>
      <c r="J28" t="str">
        <f t="shared" si="0"/>
        <v>1</v>
      </c>
      <c r="K28" t="str">
        <f t="shared" si="8"/>
        <v>101101</v>
      </c>
      <c r="L28" t="str">
        <f t="shared" si="9"/>
        <v>101010</v>
      </c>
      <c r="M28" t="str">
        <f>LOOKUP(J28,Lookups!$A$27:$A$42,Lookups!$B$27:$B$42)</f>
        <v>b</v>
      </c>
      <c r="N28">
        <f t="shared" si="10"/>
        <v>45</v>
      </c>
      <c r="O28">
        <f t="shared" si="11"/>
        <v>42</v>
      </c>
      <c r="P28">
        <f t="shared" si="12"/>
        <v>2922</v>
      </c>
    </row>
    <row r="29" spans="1:16" x14ac:dyDescent="0.35">
      <c r="A29" t="s">
        <v>345</v>
      </c>
      <c r="C29" t="str">
        <f t="shared" si="1"/>
        <v>2907</v>
      </c>
      <c r="D29" t="str">
        <f t="shared" si="2"/>
        <v>000e2de4</v>
      </c>
      <c r="E29" t="str">
        <f t="shared" si="3"/>
        <v>00000000</v>
      </c>
      <c r="F29" t="str">
        <f t="shared" si="4"/>
        <v>00001110</v>
      </c>
      <c r="G29" t="str">
        <f t="shared" si="5"/>
        <v>00101101</v>
      </c>
      <c r="H29" t="str">
        <f t="shared" si="6"/>
        <v>11100100</v>
      </c>
      <c r="I29" t="str">
        <f t="shared" si="7"/>
        <v>00000000000011100010110111100100</v>
      </c>
      <c r="J29" t="str">
        <f t="shared" si="0"/>
        <v>e</v>
      </c>
      <c r="K29" t="str">
        <f t="shared" si="8"/>
        <v>101101</v>
      </c>
      <c r="L29" t="str">
        <f t="shared" si="9"/>
        <v>111001</v>
      </c>
      <c r="M29" t="str">
        <f>LOOKUP(J29,Lookups!$A$27:$A$42,Lookups!$B$27:$B$42)</f>
        <v>a</v>
      </c>
      <c r="N29">
        <f t="shared" si="10"/>
        <v>45</v>
      </c>
      <c r="O29">
        <f t="shared" si="11"/>
        <v>57</v>
      </c>
      <c r="P29">
        <f t="shared" si="12"/>
        <v>2937</v>
      </c>
    </row>
    <row r="30" spans="1:16" x14ac:dyDescent="0.35">
      <c r="A30" t="s">
        <v>346</v>
      </c>
      <c r="C30" t="str">
        <f t="shared" si="1"/>
        <v>2908</v>
      </c>
      <c r="D30" t="str">
        <f t="shared" si="2"/>
        <v>000c2da8</v>
      </c>
      <c r="E30" t="str">
        <f t="shared" si="3"/>
        <v>00000000</v>
      </c>
      <c r="F30" t="str">
        <f t="shared" si="4"/>
        <v>00001100</v>
      </c>
      <c r="G30" t="str">
        <f t="shared" si="5"/>
        <v>00101101</v>
      </c>
      <c r="H30" t="str">
        <f t="shared" si="6"/>
        <v>10101000</v>
      </c>
      <c r="I30" t="str">
        <f t="shared" si="7"/>
        <v>00000000000011000010110110101000</v>
      </c>
      <c r="J30" t="str">
        <f t="shared" si="0"/>
        <v>c</v>
      </c>
      <c r="K30" t="str">
        <f t="shared" si="8"/>
        <v>101101</v>
      </c>
      <c r="L30" t="str">
        <f t="shared" si="9"/>
        <v>101010</v>
      </c>
      <c r="M30" t="str">
        <f>LOOKUP(J30,Lookups!$A$27:$A$42,Lookups!$B$27:$B$42)</f>
        <v>h</v>
      </c>
      <c r="N30">
        <f t="shared" si="10"/>
        <v>45</v>
      </c>
      <c r="O30">
        <f t="shared" si="11"/>
        <v>42</v>
      </c>
      <c r="P30">
        <f t="shared" si="12"/>
        <v>2922</v>
      </c>
    </row>
    <row r="31" spans="1:16" x14ac:dyDescent="0.35">
      <c r="A31" t="s">
        <v>347</v>
      </c>
      <c r="C31" t="str">
        <f t="shared" si="1"/>
        <v>2909</v>
      </c>
      <c r="D31" t="str">
        <f t="shared" si="2"/>
        <v>000d2d88</v>
      </c>
      <c r="E31" t="str">
        <f t="shared" si="3"/>
        <v>00000000</v>
      </c>
      <c r="F31" t="str">
        <f t="shared" si="4"/>
        <v>00001101</v>
      </c>
      <c r="G31" t="str">
        <f t="shared" si="5"/>
        <v>00101101</v>
      </c>
      <c r="H31" t="str">
        <f t="shared" si="6"/>
        <v>10001000</v>
      </c>
      <c r="I31" t="str">
        <f t="shared" si="7"/>
        <v>00000000000011010010110110001000</v>
      </c>
      <c r="J31" t="str">
        <f t="shared" si="0"/>
        <v>d</v>
      </c>
      <c r="K31" t="str">
        <f t="shared" si="8"/>
        <v>101101</v>
      </c>
      <c r="L31" t="str">
        <f t="shared" si="9"/>
        <v>100010</v>
      </c>
      <c r="M31" t="str">
        <f>LOOKUP(J31,Lookups!$A$27:$A$42,Lookups!$B$27:$B$42)</f>
        <v>c</v>
      </c>
      <c r="N31">
        <f t="shared" si="10"/>
        <v>45</v>
      </c>
      <c r="O31">
        <f t="shared" si="11"/>
        <v>34</v>
      </c>
      <c r="P31">
        <f t="shared" si="12"/>
        <v>2914</v>
      </c>
    </row>
    <row r="32" spans="1:16" x14ac:dyDescent="0.35">
      <c r="A32" t="s">
        <v>348</v>
      </c>
      <c r="C32" t="str">
        <f t="shared" si="1"/>
        <v>2910</v>
      </c>
      <c r="D32" t="str">
        <f t="shared" si="2"/>
        <v>00012dd4</v>
      </c>
      <c r="E32" t="str">
        <f t="shared" si="3"/>
        <v>00000000</v>
      </c>
      <c r="F32" t="str">
        <f t="shared" si="4"/>
        <v>00000001</v>
      </c>
      <c r="G32" t="str">
        <f t="shared" si="5"/>
        <v>00101101</v>
      </c>
      <c r="H32" t="str">
        <f t="shared" si="6"/>
        <v>11010100</v>
      </c>
      <c r="I32" t="str">
        <f t="shared" si="7"/>
        <v>00000000000000010010110111010100</v>
      </c>
      <c r="J32" t="str">
        <f t="shared" si="0"/>
        <v>1</v>
      </c>
      <c r="K32" t="str">
        <f t="shared" si="8"/>
        <v>101101</v>
      </c>
      <c r="L32" t="str">
        <f t="shared" si="9"/>
        <v>110101</v>
      </c>
      <c r="M32" t="str">
        <f>LOOKUP(J32,Lookups!$A$27:$A$42,Lookups!$B$27:$B$42)</f>
        <v>b</v>
      </c>
      <c r="N32">
        <f t="shared" si="10"/>
        <v>45</v>
      </c>
      <c r="O32">
        <f t="shared" si="11"/>
        <v>53</v>
      </c>
      <c r="P32">
        <f t="shared" si="12"/>
        <v>2933</v>
      </c>
    </row>
    <row r="33" spans="1:16" x14ac:dyDescent="0.35">
      <c r="A33" t="s">
        <v>349</v>
      </c>
      <c r="C33" t="str">
        <f t="shared" si="1"/>
        <v>2911</v>
      </c>
      <c r="D33" t="str">
        <f t="shared" si="2"/>
        <v>000d2d8c</v>
      </c>
      <c r="E33" t="str">
        <f t="shared" si="3"/>
        <v>00000000</v>
      </c>
      <c r="F33" t="str">
        <f t="shared" si="4"/>
        <v>00001101</v>
      </c>
      <c r="G33" t="str">
        <f t="shared" si="5"/>
        <v>00101101</v>
      </c>
      <c r="H33" t="str">
        <f t="shared" si="6"/>
        <v>10001100</v>
      </c>
      <c r="I33" t="str">
        <f t="shared" si="7"/>
        <v>00000000000011010010110110001100</v>
      </c>
      <c r="J33" t="str">
        <f t="shared" si="0"/>
        <v>d</v>
      </c>
      <c r="K33" t="str">
        <f t="shared" si="8"/>
        <v>101101</v>
      </c>
      <c r="L33" t="str">
        <f t="shared" si="9"/>
        <v>100011</v>
      </c>
      <c r="M33" t="str">
        <f>LOOKUP(J33,Lookups!$A$27:$A$42,Lookups!$B$27:$B$42)</f>
        <v>c</v>
      </c>
      <c r="N33">
        <f t="shared" si="10"/>
        <v>45</v>
      </c>
      <c r="O33">
        <f t="shared" si="11"/>
        <v>35</v>
      </c>
      <c r="P33">
        <f t="shared" si="12"/>
        <v>2915</v>
      </c>
    </row>
    <row r="34" spans="1:16" x14ac:dyDescent="0.35">
      <c r="A34" t="s">
        <v>350</v>
      </c>
      <c r="C34" t="str">
        <f t="shared" si="1"/>
        <v>2912</v>
      </c>
      <c r="D34" t="str">
        <f t="shared" si="2"/>
        <v>00033300</v>
      </c>
      <c r="E34" t="str">
        <f t="shared" si="3"/>
        <v>00000000</v>
      </c>
      <c r="F34" t="str">
        <f t="shared" si="4"/>
        <v>00000011</v>
      </c>
      <c r="G34" t="str">
        <f t="shared" si="5"/>
        <v>00110011</v>
      </c>
      <c r="H34" t="str">
        <f t="shared" si="6"/>
        <v>00000000</v>
      </c>
      <c r="I34" t="str">
        <f t="shared" si="7"/>
        <v>00000000000000110011001100000000</v>
      </c>
      <c r="J34" t="str">
        <f t="shared" si="0"/>
        <v>3</v>
      </c>
      <c r="K34" t="str">
        <f t="shared" si="8"/>
        <v>110011</v>
      </c>
      <c r="L34" t="str">
        <f t="shared" si="9"/>
        <v>000000</v>
      </c>
      <c r="M34" t="str">
        <f>LOOKUP(J34,Lookups!$A$27:$A$42,Lookups!$B$27:$B$42)</f>
        <v>r</v>
      </c>
      <c r="N34">
        <f t="shared" si="10"/>
        <v>51</v>
      </c>
      <c r="O34">
        <f t="shared" si="11"/>
        <v>0</v>
      </c>
      <c r="P34">
        <f t="shared" si="12"/>
        <v>3264</v>
      </c>
    </row>
    <row r="35" spans="1:16" x14ac:dyDescent="0.35">
      <c r="A35" t="s">
        <v>351</v>
      </c>
      <c r="C35" t="str">
        <f t="shared" si="1"/>
        <v>2913</v>
      </c>
      <c r="D35" t="str">
        <f t="shared" si="2"/>
        <v>000a3300</v>
      </c>
      <c r="E35" t="str">
        <f t="shared" si="3"/>
        <v>00000000</v>
      </c>
      <c r="F35" t="str">
        <f t="shared" si="4"/>
        <v>00001010</v>
      </c>
      <c r="G35" t="str">
        <f t="shared" si="5"/>
        <v>00110011</v>
      </c>
      <c r="H35" t="str">
        <f t="shared" si="6"/>
        <v>00000000</v>
      </c>
      <c r="I35" t="str">
        <f t="shared" si="7"/>
        <v>00000000000010100011001100000000</v>
      </c>
      <c r="J35" t="str">
        <f t="shared" si="0"/>
        <v>a</v>
      </c>
      <c r="K35" t="str">
        <f t="shared" si="8"/>
        <v>110011</v>
      </c>
      <c r="L35" t="str">
        <f t="shared" si="9"/>
        <v>000000</v>
      </c>
      <c r="M35" t="str">
        <f>LOOKUP(J35,Lookups!$A$27:$A$42,Lookups!$B$27:$B$42)</f>
        <v>u</v>
      </c>
      <c r="N35">
        <f t="shared" si="10"/>
        <v>51</v>
      </c>
      <c r="O35">
        <f t="shared" si="11"/>
        <v>0</v>
      </c>
      <c r="P35">
        <f t="shared" si="12"/>
        <v>3264</v>
      </c>
    </row>
    <row r="36" spans="1:16" x14ac:dyDescent="0.35">
      <c r="A36" t="s">
        <v>352</v>
      </c>
      <c r="C36" t="str">
        <f t="shared" si="1"/>
        <v>2914</v>
      </c>
      <c r="D36" t="str">
        <f t="shared" si="2"/>
        <v>56a40656</v>
      </c>
      <c r="E36" t="str">
        <f t="shared" si="3"/>
        <v>01010110</v>
      </c>
      <c r="F36" t="str">
        <f t="shared" si="4"/>
        <v>10100100</v>
      </c>
      <c r="G36" t="str">
        <f t="shared" si="5"/>
        <v>00000110</v>
      </c>
      <c r="H36" t="str">
        <f t="shared" si="6"/>
        <v>01010110</v>
      </c>
      <c r="I36" t="str">
        <f t="shared" si="7"/>
        <v>01010110101001000000011001010110</v>
      </c>
      <c r="J36" t="str">
        <f t="shared" si="0"/>
        <v>4</v>
      </c>
      <c r="K36" t="str">
        <f t="shared" si="8"/>
        <v>000110</v>
      </c>
      <c r="L36" t="str">
        <f t="shared" si="9"/>
        <v>010101</v>
      </c>
      <c r="M36" t="str">
        <f>LOOKUP(J36,Lookups!$A$27:$A$42,Lookups!$B$27:$B$42)</f>
        <v>i</v>
      </c>
      <c r="N36">
        <f t="shared" si="10"/>
        <v>6</v>
      </c>
      <c r="O36">
        <f t="shared" si="11"/>
        <v>21</v>
      </c>
      <c r="P36">
        <f t="shared" si="12"/>
        <v>405</v>
      </c>
    </row>
    <row r="37" spans="1:16" x14ac:dyDescent="0.35">
      <c r="A37" t="s">
        <v>353</v>
      </c>
      <c r="C37" t="str">
        <f t="shared" si="1"/>
        <v>2915</v>
      </c>
      <c r="D37" t="str">
        <f t="shared" si="2"/>
        <v>0e06627e</v>
      </c>
      <c r="E37" t="str">
        <f t="shared" si="3"/>
        <v>00001110</v>
      </c>
      <c r="F37" t="str">
        <f t="shared" si="4"/>
        <v>00000110</v>
      </c>
      <c r="G37" t="str">
        <f t="shared" si="5"/>
        <v>01100010</v>
      </c>
      <c r="H37" t="str">
        <f t="shared" si="6"/>
        <v>01111110</v>
      </c>
      <c r="I37" t="str">
        <f t="shared" si="7"/>
        <v>00001110000001100110001001111110</v>
      </c>
      <c r="J37" t="str">
        <f t="shared" si="0"/>
        <v>6</v>
      </c>
      <c r="K37" t="str">
        <f t="shared" si="8"/>
        <v>100010</v>
      </c>
      <c r="L37" t="str">
        <f t="shared" si="9"/>
        <v>011111</v>
      </c>
      <c r="M37" t="str">
        <f>LOOKUP(J37,Lookups!$A$27:$A$42,Lookups!$B$27:$B$42)</f>
        <v>n</v>
      </c>
      <c r="N37">
        <f t="shared" si="10"/>
        <v>34</v>
      </c>
      <c r="O37">
        <f t="shared" si="11"/>
        <v>31</v>
      </c>
      <c r="P37">
        <f t="shared" si="12"/>
        <v>2207</v>
      </c>
    </row>
    <row r="38" spans="1:16" x14ac:dyDescent="0.35">
      <c r="A38" t="s">
        <v>354</v>
      </c>
      <c r="C38" t="str">
        <f t="shared" si="1"/>
        <v>2916</v>
      </c>
      <c r="D38" t="str">
        <f t="shared" si="2"/>
        <v>000a2e00</v>
      </c>
      <c r="E38" t="str">
        <f t="shared" si="3"/>
        <v>00000000</v>
      </c>
      <c r="F38" t="str">
        <f t="shared" si="4"/>
        <v>00001010</v>
      </c>
      <c r="G38" t="str">
        <f t="shared" si="5"/>
        <v>00101110</v>
      </c>
      <c r="H38" t="str">
        <f t="shared" si="6"/>
        <v>00000000</v>
      </c>
      <c r="I38" t="str">
        <f t="shared" si="7"/>
        <v>00000000000010100010111000000000</v>
      </c>
      <c r="J38" t="str">
        <f t="shared" si="0"/>
        <v>a</v>
      </c>
      <c r="K38" t="str">
        <f t="shared" si="8"/>
        <v>101110</v>
      </c>
      <c r="L38" t="str">
        <f t="shared" si="9"/>
        <v>000000</v>
      </c>
      <c r="M38" t="str">
        <f>LOOKUP(J38,Lookups!$A$27:$A$42,Lookups!$B$27:$B$42)</f>
        <v>u</v>
      </c>
      <c r="N38">
        <f t="shared" si="10"/>
        <v>46</v>
      </c>
      <c r="O38">
        <f t="shared" si="11"/>
        <v>0</v>
      </c>
      <c r="P38">
        <f t="shared" si="12"/>
        <v>2944</v>
      </c>
    </row>
    <row r="39" spans="1:16" x14ac:dyDescent="0.35">
      <c r="A39" t="s">
        <v>355</v>
      </c>
      <c r="C39" t="str">
        <f t="shared" si="1"/>
        <v>2917</v>
      </c>
      <c r="D39" t="str">
        <f t="shared" si="2"/>
        <v>00000018</v>
      </c>
      <c r="E39" t="str">
        <f t="shared" si="3"/>
        <v>00000000</v>
      </c>
      <c r="F39" t="str">
        <f t="shared" si="4"/>
        <v>00000000</v>
      </c>
      <c r="G39" t="str">
        <f t="shared" si="5"/>
        <v>00000000</v>
      </c>
      <c r="H39" t="str">
        <f t="shared" si="6"/>
        <v>00011000</v>
      </c>
      <c r="I39" t="str">
        <f t="shared" si="7"/>
        <v>00000000000000000000000000011000</v>
      </c>
      <c r="J39" t="str">
        <f t="shared" si="0"/>
        <v>0</v>
      </c>
      <c r="K39" t="str">
        <f t="shared" si="8"/>
        <v>000000</v>
      </c>
      <c r="L39" t="str">
        <f t="shared" si="9"/>
        <v>000110</v>
      </c>
      <c r="M39" t="str">
        <f>LOOKUP(J39,Lookups!$A$27:$A$42,Lookups!$B$27:$B$42)</f>
        <v>z</v>
      </c>
      <c r="N39">
        <f t="shared" si="10"/>
        <v>0</v>
      </c>
      <c r="O39">
        <f t="shared" si="11"/>
        <v>6</v>
      </c>
      <c r="P39">
        <f t="shared" si="12"/>
        <v>6</v>
      </c>
    </row>
    <row r="40" spans="1:16" x14ac:dyDescent="0.35">
      <c r="A40" t="s">
        <v>356</v>
      </c>
      <c r="C40" t="str">
        <f t="shared" si="1"/>
        <v>2918</v>
      </c>
      <c r="D40" t="str">
        <f t="shared" si="2"/>
        <v>00002dd0</v>
      </c>
      <c r="E40" t="str">
        <f t="shared" si="3"/>
        <v>00000000</v>
      </c>
      <c r="F40" t="str">
        <f t="shared" si="4"/>
        <v>00000000</v>
      </c>
      <c r="G40" t="str">
        <f t="shared" si="5"/>
        <v>00101101</v>
      </c>
      <c r="H40" t="str">
        <f t="shared" si="6"/>
        <v>11010000</v>
      </c>
      <c r="I40" t="str">
        <f t="shared" si="7"/>
        <v>00000000000000000010110111010000</v>
      </c>
      <c r="J40" t="str">
        <f t="shared" si="0"/>
        <v>0</v>
      </c>
      <c r="K40" t="str">
        <f t="shared" si="8"/>
        <v>101101</v>
      </c>
      <c r="L40" t="str">
        <f t="shared" si="9"/>
        <v>110100</v>
      </c>
      <c r="M40" t="str">
        <f>LOOKUP(J40,Lookups!$A$27:$A$42,Lookups!$B$27:$B$42)</f>
        <v>z</v>
      </c>
      <c r="N40">
        <f t="shared" si="10"/>
        <v>45</v>
      </c>
      <c r="O40">
        <f t="shared" si="11"/>
        <v>52</v>
      </c>
      <c r="P40">
        <f t="shared" si="12"/>
        <v>2932</v>
      </c>
    </row>
    <row r="41" spans="1:16" x14ac:dyDescent="0.35">
      <c r="A41" t="s">
        <v>357</v>
      </c>
      <c r="C41" t="str">
        <f t="shared" si="1"/>
        <v>2919</v>
      </c>
      <c r="D41" t="str">
        <f t="shared" si="2"/>
        <v>11f20806</v>
      </c>
      <c r="E41" t="str">
        <f t="shared" si="3"/>
        <v>00010001</v>
      </c>
      <c r="F41" t="str">
        <f t="shared" si="4"/>
        <v>11110010</v>
      </c>
      <c r="G41" t="str">
        <f t="shared" si="5"/>
        <v>00001000</v>
      </c>
      <c r="H41" t="str">
        <f t="shared" si="6"/>
        <v>00000110</v>
      </c>
      <c r="I41" t="str">
        <f t="shared" si="7"/>
        <v>00010001111100100000100000000110</v>
      </c>
      <c r="J41" t="str">
        <f t="shared" si="0"/>
        <v>2</v>
      </c>
      <c r="K41" t="str">
        <f t="shared" si="8"/>
        <v>001000</v>
      </c>
      <c r="L41" t="str">
        <f t="shared" si="9"/>
        <v>000001</v>
      </c>
      <c r="M41" t="str">
        <f>LOOKUP(J41,Lookups!$A$27:$A$42,Lookups!$B$27:$B$42)</f>
        <v>y</v>
      </c>
      <c r="N41">
        <f t="shared" si="10"/>
        <v>8</v>
      </c>
      <c r="O41">
        <f t="shared" si="11"/>
        <v>1</v>
      </c>
      <c r="P41">
        <f t="shared" si="12"/>
        <v>513</v>
      </c>
    </row>
    <row r="42" spans="1:16" x14ac:dyDescent="0.35">
      <c r="A42" t="s">
        <v>358</v>
      </c>
      <c r="C42" t="str">
        <f t="shared" si="1"/>
        <v>2920</v>
      </c>
      <c r="D42" t="str">
        <f t="shared" si="2"/>
        <v>56140656</v>
      </c>
      <c r="E42" t="str">
        <f t="shared" si="3"/>
        <v>01010110</v>
      </c>
      <c r="F42" t="str">
        <f t="shared" si="4"/>
        <v>00010100</v>
      </c>
      <c r="G42" t="str">
        <f t="shared" si="5"/>
        <v>00000110</v>
      </c>
      <c r="H42" t="str">
        <f t="shared" si="6"/>
        <v>01010110</v>
      </c>
      <c r="I42" t="str">
        <f t="shared" si="7"/>
        <v>01010110000101000000011001010110</v>
      </c>
      <c r="J42" t="str">
        <f t="shared" si="0"/>
        <v>4</v>
      </c>
      <c r="K42" t="str">
        <f t="shared" si="8"/>
        <v>000110</v>
      </c>
      <c r="L42" t="str">
        <f t="shared" si="9"/>
        <v>010101</v>
      </c>
      <c r="M42" t="str">
        <f>LOOKUP(J42,Lookups!$A$27:$A$42,Lookups!$B$27:$B$42)</f>
        <v>i</v>
      </c>
      <c r="N42">
        <f t="shared" si="10"/>
        <v>6</v>
      </c>
      <c r="O42">
        <f t="shared" si="11"/>
        <v>21</v>
      </c>
      <c r="P42">
        <f t="shared" si="12"/>
        <v>405</v>
      </c>
    </row>
    <row r="43" spans="1:16" x14ac:dyDescent="0.35">
      <c r="A43" t="s">
        <v>359</v>
      </c>
      <c r="C43" t="str">
        <f t="shared" si="1"/>
        <v>2921</v>
      </c>
      <c r="D43" t="str">
        <f t="shared" si="2"/>
        <v>561c0656</v>
      </c>
      <c r="E43" t="str">
        <f t="shared" si="3"/>
        <v>01010110</v>
      </c>
      <c r="F43" t="str">
        <f t="shared" si="4"/>
        <v>00011100</v>
      </c>
      <c r="G43" t="str">
        <f t="shared" si="5"/>
        <v>00000110</v>
      </c>
      <c r="H43" t="str">
        <f t="shared" si="6"/>
        <v>01010110</v>
      </c>
      <c r="I43" t="str">
        <f t="shared" si="7"/>
        <v>01010110000111000000011001010110</v>
      </c>
      <c r="J43" t="str">
        <f t="shared" si="0"/>
        <v>c</v>
      </c>
      <c r="K43" t="str">
        <f t="shared" si="8"/>
        <v>000110</v>
      </c>
      <c r="L43" t="str">
        <f t="shared" si="9"/>
        <v>010101</v>
      </c>
      <c r="M43" t="str">
        <f>LOOKUP(J43,Lookups!$A$27:$A$42,Lookups!$B$27:$B$42)</f>
        <v>h</v>
      </c>
      <c r="N43">
        <f t="shared" si="10"/>
        <v>6</v>
      </c>
      <c r="O43">
        <f t="shared" si="11"/>
        <v>21</v>
      </c>
      <c r="P43">
        <f t="shared" si="12"/>
        <v>405</v>
      </c>
    </row>
    <row r="44" spans="1:16" x14ac:dyDescent="0.35">
      <c r="A44" t="s">
        <v>360</v>
      </c>
      <c r="C44" t="str">
        <f t="shared" si="1"/>
        <v>2922</v>
      </c>
      <c r="D44" t="str">
        <f t="shared" si="2"/>
        <v>56a40656</v>
      </c>
      <c r="E44" t="str">
        <f t="shared" si="3"/>
        <v>01010110</v>
      </c>
      <c r="F44" t="str">
        <f t="shared" si="4"/>
        <v>10100100</v>
      </c>
      <c r="G44" t="str">
        <f t="shared" si="5"/>
        <v>00000110</v>
      </c>
      <c r="H44" t="str">
        <f t="shared" si="6"/>
        <v>01010110</v>
      </c>
      <c r="I44" t="str">
        <f t="shared" si="7"/>
        <v>01010110101001000000011001010110</v>
      </c>
      <c r="J44" t="str">
        <f t="shared" si="0"/>
        <v>4</v>
      </c>
      <c r="K44" t="str">
        <f t="shared" si="8"/>
        <v>000110</v>
      </c>
      <c r="L44" t="str">
        <f t="shared" si="9"/>
        <v>010101</v>
      </c>
      <c r="M44" t="str">
        <f>LOOKUP(J44,Lookups!$A$27:$A$42,Lookups!$B$27:$B$42)</f>
        <v>i</v>
      </c>
      <c r="N44">
        <f t="shared" si="10"/>
        <v>6</v>
      </c>
      <c r="O44">
        <f t="shared" si="11"/>
        <v>21</v>
      </c>
      <c r="P44">
        <f t="shared" si="12"/>
        <v>405</v>
      </c>
    </row>
    <row r="45" spans="1:16" x14ac:dyDescent="0.35">
      <c r="A45" t="s">
        <v>361</v>
      </c>
      <c r="C45" t="str">
        <f t="shared" si="1"/>
        <v>2923</v>
      </c>
      <c r="D45" t="str">
        <f t="shared" si="2"/>
        <v>572c0656</v>
      </c>
      <c r="E45" t="str">
        <f t="shared" si="3"/>
        <v>01010111</v>
      </c>
      <c r="F45" t="str">
        <f t="shared" si="4"/>
        <v>00101100</v>
      </c>
      <c r="G45" t="str">
        <f t="shared" si="5"/>
        <v>00000110</v>
      </c>
      <c r="H45" t="str">
        <f t="shared" si="6"/>
        <v>01010110</v>
      </c>
      <c r="I45" t="str">
        <f t="shared" si="7"/>
        <v>01010111001011000000011001010110</v>
      </c>
      <c r="J45" t="str">
        <f t="shared" si="0"/>
        <v>c</v>
      </c>
      <c r="K45" t="str">
        <f t="shared" si="8"/>
        <v>000110</v>
      </c>
      <c r="L45" t="str">
        <f t="shared" si="9"/>
        <v>010101</v>
      </c>
      <c r="M45" t="str">
        <f>LOOKUP(J45,Lookups!$A$27:$A$42,Lookups!$B$27:$B$42)</f>
        <v>h</v>
      </c>
      <c r="N45">
        <f t="shared" si="10"/>
        <v>6</v>
      </c>
      <c r="O45">
        <f t="shared" si="11"/>
        <v>21</v>
      </c>
      <c r="P45">
        <f t="shared" si="12"/>
        <v>405</v>
      </c>
    </row>
    <row r="46" spans="1:16" x14ac:dyDescent="0.35">
      <c r="A46" t="s">
        <v>362</v>
      </c>
      <c r="C46" t="str">
        <f t="shared" si="1"/>
        <v>2924</v>
      </c>
      <c r="D46" t="str">
        <f t="shared" si="2"/>
        <v>56340656</v>
      </c>
      <c r="E46" t="str">
        <f t="shared" si="3"/>
        <v>01010110</v>
      </c>
      <c r="F46" t="str">
        <f t="shared" si="4"/>
        <v>00110100</v>
      </c>
      <c r="G46" t="str">
        <f t="shared" si="5"/>
        <v>00000110</v>
      </c>
      <c r="H46" t="str">
        <f t="shared" si="6"/>
        <v>01010110</v>
      </c>
      <c r="I46" t="str">
        <f t="shared" si="7"/>
        <v>01010110001101000000011001010110</v>
      </c>
      <c r="J46" t="str">
        <f t="shared" si="0"/>
        <v>4</v>
      </c>
      <c r="K46" t="str">
        <f t="shared" si="8"/>
        <v>000110</v>
      </c>
      <c r="L46" t="str">
        <f t="shared" si="9"/>
        <v>010101</v>
      </c>
      <c r="M46" t="str">
        <f>LOOKUP(J46,Lookups!$A$27:$A$42,Lookups!$B$27:$B$42)</f>
        <v>i</v>
      </c>
      <c r="N46">
        <f t="shared" si="10"/>
        <v>6</v>
      </c>
      <c r="O46">
        <f t="shared" si="11"/>
        <v>21</v>
      </c>
      <c r="P46">
        <f t="shared" si="12"/>
        <v>405</v>
      </c>
    </row>
    <row r="47" spans="1:16" x14ac:dyDescent="0.35">
      <c r="A47" t="s">
        <v>363</v>
      </c>
      <c r="C47" t="str">
        <f t="shared" si="1"/>
        <v>2925</v>
      </c>
      <c r="D47" t="str">
        <f t="shared" si="2"/>
        <v>563c0656</v>
      </c>
      <c r="E47" t="str">
        <f t="shared" si="3"/>
        <v>01010110</v>
      </c>
      <c r="F47" t="str">
        <f t="shared" si="4"/>
        <v>00111100</v>
      </c>
      <c r="G47" t="str">
        <f t="shared" si="5"/>
        <v>00000110</v>
      </c>
      <c r="H47" t="str">
        <f t="shared" si="6"/>
        <v>01010110</v>
      </c>
      <c r="I47" t="str">
        <f t="shared" si="7"/>
        <v>01010110001111000000011001010110</v>
      </c>
      <c r="J47" t="str">
        <f t="shared" si="0"/>
        <v>c</v>
      </c>
      <c r="K47" t="str">
        <f t="shared" si="8"/>
        <v>000110</v>
      </c>
      <c r="L47" t="str">
        <f t="shared" si="9"/>
        <v>010101</v>
      </c>
      <c r="M47" t="str">
        <f>LOOKUP(J47,Lookups!$A$27:$A$42,Lookups!$B$27:$B$42)</f>
        <v>h</v>
      </c>
      <c r="N47">
        <f t="shared" si="10"/>
        <v>6</v>
      </c>
      <c r="O47">
        <f t="shared" si="11"/>
        <v>21</v>
      </c>
      <c r="P47">
        <f t="shared" si="12"/>
        <v>405</v>
      </c>
    </row>
    <row r="48" spans="1:16" x14ac:dyDescent="0.35">
      <c r="A48" t="s">
        <v>364</v>
      </c>
      <c r="C48" t="str">
        <f t="shared" si="1"/>
        <v>2926</v>
      </c>
      <c r="D48" t="str">
        <f t="shared" si="2"/>
        <v>56440656</v>
      </c>
      <c r="E48" t="str">
        <f t="shared" si="3"/>
        <v>01010110</v>
      </c>
      <c r="F48" t="str">
        <f t="shared" si="4"/>
        <v>01000100</v>
      </c>
      <c r="G48" t="str">
        <f t="shared" si="5"/>
        <v>00000110</v>
      </c>
      <c r="H48" t="str">
        <f t="shared" si="6"/>
        <v>01010110</v>
      </c>
      <c r="I48" t="str">
        <f t="shared" si="7"/>
        <v>01010110010001000000011001010110</v>
      </c>
      <c r="J48" t="str">
        <f t="shared" si="0"/>
        <v>4</v>
      </c>
      <c r="K48" t="str">
        <f t="shared" si="8"/>
        <v>000110</v>
      </c>
      <c r="L48" t="str">
        <f t="shared" si="9"/>
        <v>010101</v>
      </c>
      <c r="M48" t="str">
        <f>LOOKUP(J48,Lookups!$A$27:$A$42,Lookups!$B$27:$B$42)</f>
        <v>i</v>
      </c>
      <c r="N48">
        <f t="shared" si="10"/>
        <v>6</v>
      </c>
      <c r="O48">
        <f t="shared" si="11"/>
        <v>21</v>
      </c>
      <c r="P48">
        <f t="shared" si="12"/>
        <v>405</v>
      </c>
    </row>
    <row r="49" spans="1:16" x14ac:dyDescent="0.35">
      <c r="A49" t="s">
        <v>365</v>
      </c>
      <c r="C49" t="str">
        <f t="shared" si="1"/>
        <v>2927</v>
      </c>
      <c r="D49" t="str">
        <f t="shared" si="2"/>
        <v>564c0656</v>
      </c>
      <c r="E49" t="str">
        <f t="shared" si="3"/>
        <v>01010110</v>
      </c>
      <c r="F49" t="str">
        <f t="shared" si="4"/>
        <v>01001100</v>
      </c>
      <c r="G49" t="str">
        <f t="shared" si="5"/>
        <v>00000110</v>
      </c>
      <c r="H49" t="str">
        <f t="shared" si="6"/>
        <v>01010110</v>
      </c>
      <c r="I49" t="str">
        <f t="shared" si="7"/>
        <v>01010110010011000000011001010110</v>
      </c>
      <c r="J49" t="str">
        <f t="shared" si="0"/>
        <v>c</v>
      </c>
      <c r="K49" t="str">
        <f t="shared" si="8"/>
        <v>000110</v>
      </c>
      <c r="L49" t="str">
        <f t="shared" si="9"/>
        <v>010101</v>
      </c>
      <c r="M49" t="str">
        <f>LOOKUP(J49,Lookups!$A$27:$A$42,Lookups!$B$27:$B$42)</f>
        <v>h</v>
      </c>
      <c r="N49">
        <f t="shared" si="10"/>
        <v>6</v>
      </c>
      <c r="O49">
        <f t="shared" si="11"/>
        <v>21</v>
      </c>
      <c r="P49">
        <f t="shared" si="12"/>
        <v>405</v>
      </c>
    </row>
    <row r="50" spans="1:16" x14ac:dyDescent="0.35">
      <c r="A50" t="s">
        <v>366</v>
      </c>
      <c r="C50" t="str">
        <f t="shared" si="1"/>
        <v>2928</v>
      </c>
      <c r="D50" t="str">
        <f t="shared" si="2"/>
        <v>280c0406</v>
      </c>
      <c r="E50" t="str">
        <f t="shared" si="3"/>
        <v>00101000</v>
      </c>
      <c r="F50" t="str">
        <f t="shared" si="4"/>
        <v>00001100</v>
      </c>
      <c r="G50" t="str">
        <f t="shared" si="5"/>
        <v>00000100</v>
      </c>
      <c r="H50" t="str">
        <f t="shared" si="6"/>
        <v>00000110</v>
      </c>
      <c r="I50" t="str">
        <f t="shared" si="7"/>
        <v>00101000000011000000010000000110</v>
      </c>
      <c r="J50" t="str">
        <f t="shared" si="0"/>
        <v>c</v>
      </c>
      <c r="K50" t="str">
        <f t="shared" si="8"/>
        <v>000100</v>
      </c>
      <c r="L50" t="str">
        <f t="shared" si="9"/>
        <v>000001</v>
      </c>
      <c r="M50" t="str">
        <f>LOOKUP(J50,Lookups!$A$27:$A$42,Lookups!$B$27:$B$42)</f>
        <v>h</v>
      </c>
      <c r="N50">
        <f t="shared" si="10"/>
        <v>4</v>
      </c>
      <c r="O50">
        <f t="shared" si="11"/>
        <v>1</v>
      </c>
      <c r="P50">
        <f t="shared" si="12"/>
        <v>257</v>
      </c>
    </row>
    <row r="51" spans="1:16" x14ac:dyDescent="0.35">
      <c r="A51" t="s">
        <v>367</v>
      </c>
      <c r="C51" t="str">
        <f t="shared" si="1"/>
        <v>2929</v>
      </c>
      <c r="D51" t="str">
        <f t="shared" si="2"/>
        <v>10640806</v>
      </c>
      <c r="E51" t="str">
        <f t="shared" si="3"/>
        <v>00010000</v>
      </c>
      <c r="F51" t="str">
        <f t="shared" si="4"/>
        <v>01100100</v>
      </c>
      <c r="G51" t="str">
        <f t="shared" si="5"/>
        <v>00001000</v>
      </c>
      <c r="H51" t="str">
        <f t="shared" si="6"/>
        <v>00000110</v>
      </c>
      <c r="I51" t="str">
        <f t="shared" si="7"/>
        <v>00010000011001000000100000000110</v>
      </c>
      <c r="J51" t="str">
        <f t="shared" si="0"/>
        <v>4</v>
      </c>
      <c r="K51" t="str">
        <f t="shared" si="8"/>
        <v>001000</v>
      </c>
      <c r="L51" t="str">
        <f t="shared" si="9"/>
        <v>000001</v>
      </c>
      <c r="M51" t="str">
        <f>LOOKUP(J51,Lookups!$A$27:$A$42,Lookups!$B$27:$B$42)</f>
        <v>i</v>
      </c>
      <c r="N51">
        <f t="shared" si="10"/>
        <v>8</v>
      </c>
      <c r="O51">
        <f t="shared" si="11"/>
        <v>1</v>
      </c>
      <c r="P51">
        <f t="shared" si="12"/>
        <v>513</v>
      </c>
    </row>
    <row r="52" spans="1:16" x14ac:dyDescent="0.35">
      <c r="A52" t="s">
        <v>368</v>
      </c>
      <c r="C52" t="str">
        <f t="shared" si="1"/>
        <v>2930</v>
      </c>
      <c r="D52" t="str">
        <f t="shared" si="2"/>
        <v>10750806</v>
      </c>
      <c r="E52" t="str">
        <f t="shared" si="3"/>
        <v>00010000</v>
      </c>
      <c r="F52" t="str">
        <f t="shared" si="4"/>
        <v>01110101</v>
      </c>
      <c r="G52" t="str">
        <f t="shared" si="5"/>
        <v>00001000</v>
      </c>
      <c r="H52" t="str">
        <f t="shared" si="6"/>
        <v>00000110</v>
      </c>
      <c r="I52" t="str">
        <f t="shared" si="7"/>
        <v>00010000011101010000100000000110</v>
      </c>
      <c r="J52" t="str">
        <f t="shared" si="0"/>
        <v>5</v>
      </c>
      <c r="K52" t="str">
        <f t="shared" si="8"/>
        <v>001000</v>
      </c>
      <c r="L52" t="str">
        <f t="shared" si="9"/>
        <v>000001</v>
      </c>
      <c r="M52" t="str">
        <f>LOOKUP(J52,Lookups!$A$27:$A$42,Lookups!$B$27:$B$42)</f>
        <v>d</v>
      </c>
      <c r="N52">
        <f t="shared" si="10"/>
        <v>8</v>
      </c>
      <c r="O52">
        <f t="shared" si="11"/>
        <v>1</v>
      </c>
      <c r="P52">
        <f t="shared" si="12"/>
        <v>513</v>
      </c>
    </row>
    <row r="53" spans="1:16" x14ac:dyDescent="0.35">
      <c r="A53" t="s">
        <v>369</v>
      </c>
      <c r="C53" t="str">
        <f t="shared" si="1"/>
        <v>2931</v>
      </c>
      <c r="D53" t="str">
        <f t="shared" si="2"/>
        <v>106c0806</v>
      </c>
      <c r="E53" t="str">
        <f t="shared" si="3"/>
        <v>00010000</v>
      </c>
      <c r="F53" t="str">
        <f t="shared" si="4"/>
        <v>01101100</v>
      </c>
      <c r="G53" t="str">
        <f t="shared" si="5"/>
        <v>00001000</v>
      </c>
      <c r="H53" t="str">
        <f t="shared" si="6"/>
        <v>00000110</v>
      </c>
      <c r="I53" t="str">
        <f t="shared" si="7"/>
        <v>00010000011011000000100000000110</v>
      </c>
      <c r="J53" t="str">
        <f t="shared" si="0"/>
        <v>c</v>
      </c>
      <c r="K53" t="str">
        <f t="shared" si="8"/>
        <v>001000</v>
      </c>
      <c r="L53" t="str">
        <f t="shared" si="9"/>
        <v>000001</v>
      </c>
      <c r="M53" t="str">
        <f>LOOKUP(J53,Lookups!$A$27:$A$42,Lookups!$B$27:$B$42)</f>
        <v>h</v>
      </c>
      <c r="N53">
        <f t="shared" si="10"/>
        <v>8</v>
      </c>
      <c r="O53">
        <f t="shared" si="11"/>
        <v>1</v>
      </c>
      <c r="P53">
        <f t="shared" si="12"/>
        <v>513</v>
      </c>
    </row>
    <row r="54" spans="1:16" x14ac:dyDescent="0.35">
      <c r="A54" t="s">
        <v>370</v>
      </c>
      <c r="C54" t="str">
        <f t="shared" si="1"/>
        <v>2932</v>
      </c>
      <c r="D54" t="str">
        <f t="shared" si="2"/>
        <v>0e067a7e</v>
      </c>
      <c r="E54" t="str">
        <f t="shared" si="3"/>
        <v>00001110</v>
      </c>
      <c r="F54" t="str">
        <f t="shared" si="4"/>
        <v>00000110</v>
      </c>
      <c r="G54" t="str">
        <f t="shared" si="5"/>
        <v>01111010</v>
      </c>
      <c r="H54" t="str">
        <f t="shared" si="6"/>
        <v>01111110</v>
      </c>
      <c r="I54" t="str">
        <f t="shared" si="7"/>
        <v>00001110000001100111101001111110</v>
      </c>
      <c r="J54" t="str">
        <f t="shared" si="0"/>
        <v>6</v>
      </c>
      <c r="K54" t="str">
        <f t="shared" si="8"/>
        <v>111010</v>
      </c>
      <c r="L54" t="str">
        <f t="shared" si="9"/>
        <v>011111</v>
      </c>
      <c r="M54" t="str">
        <f>LOOKUP(J54,Lookups!$A$27:$A$42,Lookups!$B$27:$B$42)</f>
        <v>n</v>
      </c>
      <c r="N54">
        <f t="shared" si="10"/>
        <v>58</v>
      </c>
      <c r="O54">
        <f t="shared" si="11"/>
        <v>31</v>
      </c>
      <c r="P54">
        <f t="shared" si="12"/>
        <v>3743</v>
      </c>
    </row>
    <row r="55" spans="1:16" x14ac:dyDescent="0.35">
      <c r="A55" t="s">
        <v>371</v>
      </c>
      <c r="C55" t="str">
        <f t="shared" si="1"/>
        <v>2933</v>
      </c>
      <c r="D55" t="str">
        <f t="shared" si="2"/>
        <v>0e06627e</v>
      </c>
      <c r="E55" t="str">
        <f t="shared" si="3"/>
        <v>00001110</v>
      </c>
      <c r="F55" t="str">
        <f t="shared" si="4"/>
        <v>00000110</v>
      </c>
      <c r="G55" t="str">
        <f t="shared" si="5"/>
        <v>01100010</v>
      </c>
      <c r="H55" t="str">
        <f t="shared" si="6"/>
        <v>01111110</v>
      </c>
      <c r="I55" t="str">
        <f t="shared" si="7"/>
        <v>00001110000001100110001001111110</v>
      </c>
      <c r="J55" t="str">
        <f t="shared" si="0"/>
        <v>6</v>
      </c>
      <c r="K55" t="str">
        <f t="shared" si="8"/>
        <v>100010</v>
      </c>
      <c r="L55" t="str">
        <f t="shared" si="9"/>
        <v>011111</v>
      </c>
      <c r="M55" t="str">
        <f>LOOKUP(J55,Lookups!$A$27:$A$42,Lookups!$B$27:$B$42)</f>
        <v>n</v>
      </c>
      <c r="N55">
        <f t="shared" si="10"/>
        <v>34</v>
      </c>
      <c r="O55">
        <f t="shared" si="11"/>
        <v>31</v>
      </c>
      <c r="P55">
        <f t="shared" si="12"/>
        <v>2207</v>
      </c>
    </row>
    <row r="56" spans="1:16" x14ac:dyDescent="0.35">
      <c r="A56" t="s">
        <v>372</v>
      </c>
      <c r="C56" t="str">
        <f t="shared" si="1"/>
        <v>2934</v>
      </c>
      <c r="D56" t="str">
        <f t="shared" si="2"/>
        <v>0e062a7e</v>
      </c>
      <c r="E56" t="str">
        <f t="shared" si="3"/>
        <v>00001110</v>
      </c>
      <c r="F56" t="str">
        <f t="shared" si="4"/>
        <v>00000110</v>
      </c>
      <c r="G56" t="str">
        <f t="shared" si="5"/>
        <v>00101010</v>
      </c>
      <c r="H56" t="str">
        <f t="shared" si="6"/>
        <v>01111110</v>
      </c>
      <c r="I56" t="str">
        <f t="shared" si="7"/>
        <v>00001110000001100010101001111110</v>
      </c>
      <c r="J56" t="str">
        <f t="shared" si="0"/>
        <v>6</v>
      </c>
      <c r="K56" t="str">
        <f t="shared" si="8"/>
        <v>101010</v>
      </c>
      <c r="L56" t="str">
        <f t="shared" si="9"/>
        <v>011111</v>
      </c>
      <c r="M56" t="str">
        <f>LOOKUP(J56,Lookups!$A$27:$A$42,Lookups!$B$27:$B$42)</f>
        <v>n</v>
      </c>
      <c r="N56">
        <f t="shared" si="10"/>
        <v>42</v>
      </c>
      <c r="O56">
        <f t="shared" si="11"/>
        <v>31</v>
      </c>
      <c r="P56">
        <f t="shared" si="12"/>
        <v>2719</v>
      </c>
    </row>
    <row r="57" spans="1:16" x14ac:dyDescent="0.35">
      <c r="A57" t="s">
        <v>373</v>
      </c>
      <c r="C57" t="str">
        <f t="shared" si="1"/>
        <v>2935</v>
      </c>
      <c r="D57" t="str">
        <f t="shared" si="2"/>
        <v>0e066a7e</v>
      </c>
      <c r="E57" t="str">
        <f t="shared" si="3"/>
        <v>00001110</v>
      </c>
      <c r="F57" t="str">
        <f t="shared" si="4"/>
        <v>00000110</v>
      </c>
      <c r="G57" t="str">
        <f t="shared" si="5"/>
        <v>01101010</v>
      </c>
      <c r="H57" t="str">
        <f t="shared" si="6"/>
        <v>01111110</v>
      </c>
      <c r="I57" t="str">
        <f t="shared" si="7"/>
        <v>00001110000001100110101001111110</v>
      </c>
      <c r="J57" t="str">
        <f t="shared" si="0"/>
        <v>6</v>
      </c>
      <c r="K57" t="str">
        <f t="shared" si="8"/>
        <v>101010</v>
      </c>
      <c r="L57" t="str">
        <f t="shared" si="9"/>
        <v>011111</v>
      </c>
      <c r="M57" t="str">
        <f>LOOKUP(J57,Lookups!$A$27:$A$42,Lookups!$B$27:$B$42)</f>
        <v>n</v>
      </c>
      <c r="N57">
        <f t="shared" si="10"/>
        <v>42</v>
      </c>
      <c r="O57">
        <f t="shared" si="11"/>
        <v>31</v>
      </c>
      <c r="P57">
        <f t="shared" si="12"/>
        <v>2719</v>
      </c>
    </row>
    <row r="58" spans="1:16" x14ac:dyDescent="0.35">
      <c r="A58" t="s">
        <v>374</v>
      </c>
      <c r="C58" t="str">
        <f t="shared" si="1"/>
        <v>2936</v>
      </c>
      <c r="D58" t="str">
        <f t="shared" si="2"/>
        <v>01000000</v>
      </c>
      <c r="E58" t="str">
        <f t="shared" si="3"/>
        <v>00000001</v>
      </c>
      <c r="F58" t="str">
        <f t="shared" si="4"/>
        <v>00000000</v>
      </c>
      <c r="G58" t="str">
        <f t="shared" si="5"/>
        <v>00000000</v>
      </c>
      <c r="H58" t="str">
        <f t="shared" si="6"/>
        <v>00000000</v>
      </c>
      <c r="I58" t="str">
        <f t="shared" si="7"/>
        <v>00000001000000000000000000000000</v>
      </c>
      <c r="J58" t="str">
        <f t="shared" si="0"/>
        <v>0</v>
      </c>
      <c r="K58" t="str">
        <f t="shared" si="8"/>
        <v>000000</v>
      </c>
      <c r="L58" t="str">
        <f t="shared" si="9"/>
        <v>000000</v>
      </c>
      <c r="M58" t="str">
        <f>LOOKUP(J58,Lookups!$A$27:$A$42,Lookups!$B$27:$B$42)</f>
        <v>z</v>
      </c>
      <c r="N58">
        <f t="shared" si="10"/>
        <v>0</v>
      </c>
      <c r="O58">
        <f t="shared" si="11"/>
        <v>0</v>
      </c>
      <c r="P58">
        <f t="shared" si="12"/>
        <v>0</v>
      </c>
    </row>
    <row r="59" spans="1:16" x14ac:dyDescent="0.35">
      <c r="A59" t="s">
        <v>375</v>
      </c>
      <c r="C59" t="str">
        <f t="shared" si="1"/>
        <v>2937</v>
      </c>
      <c r="D59" t="str">
        <f t="shared" si="2"/>
        <v>00800000</v>
      </c>
      <c r="E59" t="str">
        <f t="shared" si="3"/>
        <v>00000000</v>
      </c>
      <c r="F59" t="str">
        <f t="shared" si="4"/>
        <v>10000000</v>
      </c>
      <c r="G59" t="str">
        <f t="shared" si="5"/>
        <v>00000000</v>
      </c>
      <c r="H59" t="str">
        <f t="shared" si="6"/>
        <v>00000000</v>
      </c>
      <c r="I59" t="str">
        <f t="shared" si="7"/>
        <v>00000000100000000000000000000000</v>
      </c>
      <c r="J59" t="str">
        <f t="shared" si="0"/>
        <v>0</v>
      </c>
      <c r="K59" t="str">
        <f t="shared" si="8"/>
        <v>000000</v>
      </c>
      <c r="L59" t="str">
        <f t="shared" si="9"/>
        <v>000000</v>
      </c>
      <c r="M59" t="str">
        <f>LOOKUP(J59,Lookups!$A$27:$A$42,Lookups!$B$27:$B$42)</f>
        <v>z</v>
      </c>
      <c r="N59">
        <f t="shared" si="10"/>
        <v>0</v>
      </c>
      <c r="O59">
        <f t="shared" si="11"/>
        <v>0</v>
      </c>
      <c r="P59">
        <f t="shared" si="12"/>
        <v>0</v>
      </c>
    </row>
    <row r="60" spans="1:16" x14ac:dyDescent="0.35">
      <c r="A60" t="s">
        <v>376</v>
      </c>
      <c r="C60" t="str">
        <f t="shared" si="1"/>
        <v>2938</v>
      </c>
      <c r="D60" t="str">
        <f t="shared" si="2"/>
        <v>00010000</v>
      </c>
      <c r="E60" t="str">
        <f t="shared" si="3"/>
        <v>00000000</v>
      </c>
      <c r="F60" t="str">
        <f t="shared" si="4"/>
        <v>00000001</v>
      </c>
      <c r="G60" t="str">
        <f t="shared" si="5"/>
        <v>00000000</v>
      </c>
      <c r="H60" t="str">
        <f t="shared" si="6"/>
        <v>00000000</v>
      </c>
      <c r="I60" t="str">
        <f t="shared" si="7"/>
        <v>00000000000000010000000000000000</v>
      </c>
      <c r="J60" t="str">
        <f t="shared" si="0"/>
        <v>1</v>
      </c>
      <c r="K60" t="str">
        <f t="shared" si="8"/>
        <v>000000</v>
      </c>
      <c r="L60" t="str">
        <f t="shared" si="9"/>
        <v>000000</v>
      </c>
      <c r="M60" t="str">
        <f>LOOKUP(J60,Lookups!$A$27:$A$42,Lookups!$B$27:$B$42)</f>
        <v>b</v>
      </c>
      <c r="N60">
        <f t="shared" si="10"/>
        <v>0</v>
      </c>
      <c r="O60">
        <f t="shared" si="11"/>
        <v>0</v>
      </c>
      <c r="P60">
        <f t="shared" si="12"/>
        <v>0</v>
      </c>
    </row>
    <row r="61" spans="1:16" x14ac:dyDescent="0.35">
      <c r="A61" t="s">
        <v>377</v>
      </c>
      <c r="C61" t="str">
        <f t="shared" si="1"/>
        <v>2939</v>
      </c>
      <c r="D61" t="str">
        <f t="shared" si="2"/>
        <v>00008000</v>
      </c>
      <c r="E61" t="str">
        <f t="shared" si="3"/>
        <v>00000000</v>
      </c>
      <c r="F61" t="str">
        <f t="shared" si="4"/>
        <v>00000000</v>
      </c>
      <c r="G61" t="str">
        <f t="shared" si="5"/>
        <v>10000000</v>
      </c>
      <c r="H61" t="str">
        <f t="shared" si="6"/>
        <v>00000000</v>
      </c>
      <c r="I61" t="str">
        <f t="shared" si="7"/>
        <v>00000000000000001000000000000000</v>
      </c>
      <c r="J61" t="str">
        <f t="shared" si="0"/>
        <v>0</v>
      </c>
      <c r="K61" t="str">
        <f t="shared" si="8"/>
        <v>000000</v>
      </c>
      <c r="L61" t="str">
        <f t="shared" si="9"/>
        <v>000000</v>
      </c>
      <c r="M61" t="str">
        <f>LOOKUP(J61,Lookups!$A$27:$A$42,Lookups!$B$27:$B$42)</f>
        <v>z</v>
      </c>
      <c r="N61">
        <f t="shared" si="10"/>
        <v>0</v>
      </c>
      <c r="O61">
        <f t="shared" si="11"/>
        <v>0</v>
      </c>
      <c r="P61">
        <f t="shared" si="12"/>
        <v>0</v>
      </c>
    </row>
    <row r="62" spans="1:16" x14ac:dyDescent="0.35">
      <c r="A62" t="s">
        <v>378</v>
      </c>
      <c r="C62" t="str">
        <f t="shared" si="1"/>
        <v>2940</v>
      </c>
      <c r="D62" t="str">
        <f t="shared" si="2"/>
        <v>80000004</v>
      </c>
      <c r="E62" t="str">
        <f t="shared" si="3"/>
        <v>10000000</v>
      </c>
      <c r="F62" t="str">
        <f t="shared" si="4"/>
        <v>00000000</v>
      </c>
      <c r="G62" t="str">
        <f t="shared" si="5"/>
        <v>00000000</v>
      </c>
      <c r="H62" t="str">
        <f t="shared" si="6"/>
        <v>00000100</v>
      </c>
      <c r="I62" t="str">
        <f t="shared" si="7"/>
        <v>10000000000000000000000000000100</v>
      </c>
      <c r="J62" t="str">
        <f t="shared" si="0"/>
        <v>0</v>
      </c>
      <c r="K62" t="str">
        <f t="shared" si="8"/>
        <v>000000</v>
      </c>
      <c r="L62" t="str">
        <f t="shared" si="9"/>
        <v>000001</v>
      </c>
      <c r="M62" t="str">
        <f>LOOKUP(J62,Lookups!$A$27:$A$42,Lookups!$B$27:$B$42)</f>
        <v>z</v>
      </c>
      <c r="N62">
        <f t="shared" si="10"/>
        <v>0</v>
      </c>
      <c r="O62">
        <f t="shared" si="11"/>
        <v>1</v>
      </c>
      <c r="P62">
        <f t="shared" si="12"/>
        <v>1</v>
      </c>
    </row>
    <row r="63" spans="1:16" x14ac:dyDescent="0.35">
      <c r="A63" t="s">
        <v>379</v>
      </c>
      <c r="C63" t="str">
        <f t="shared" si="1"/>
        <v>2941</v>
      </c>
      <c r="D63" t="str">
        <f t="shared" si="2"/>
        <v>7e7e7e7e</v>
      </c>
      <c r="E63" t="str">
        <f t="shared" si="3"/>
        <v>01111110</v>
      </c>
      <c r="F63" t="str">
        <f t="shared" si="4"/>
        <v>01111110</v>
      </c>
      <c r="G63" t="str">
        <f t="shared" si="5"/>
        <v>01111110</v>
      </c>
      <c r="H63" t="str">
        <f t="shared" si="6"/>
        <v>01111110</v>
      </c>
      <c r="I63" t="str">
        <f t="shared" si="7"/>
        <v>01111110011111100111111001111110</v>
      </c>
      <c r="J63" t="str">
        <f t="shared" si="0"/>
        <v>e</v>
      </c>
      <c r="K63" t="str">
        <f t="shared" si="8"/>
        <v>111110</v>
      </c>
      <c r="L63" t="str">
        <f t="shared" si="9"/>
        <v>011111</v>
      </c>
      <c r="M63" t="str">
        <f>LOOKUP(J63,Lookups!$A$27:$A$42,Lookups!$B$27:$B$42)</f>
        <v>a</v>
      </c>
      <c r="N63">
        <f t="shared" si="10"/>
        <v>62</v>
      </c>
      <c r="O63">
        <f t="shared" si="11"/>
        <v>31</v>
      </c>
      <c r="P63">
        <f t="shared" si="12"/>
        <v>3999</v>
      </c>
    </row>
    <row r="64" spans="1:16" x14ac:dyDescent="0.35">
      <c r="A64" t="s">
        <v>380</v>
      </c>
      <c r="C64" t="str">
        <f t="shared" si="1"/>
        <v>2942</v>
      </c>
      <c r="D64" t="str">
        <f t="shared" si="2"/>
        <v>7ffffffc</v>
      </c>
      <c r="E64" t="str">
        <f t="shared" si="3"/>
        <v>01111111</v>
      </c>
      <c r="F64" t="str">
        <f t="shared" si="4"/>
        <v>11111111</v>
      </c>
      <c r="G64" t="str">
        <f t="shared" si="5"/>
        <v>11111111</v>
      </c>
      <c r="H64" t="str">
        <f t="shared" si="6"/>
        <v>11111100</v>
      </c>
      <c r="I64" t="str">
        <f t="shared" si="7"/>
        <v>01111111111111111111111111111100</v>
      </c>
      <c r="J64" t="str">
        <f t="shared" si="0"/>
        <v>f</v>
      </c>
      <c r="K64" t="str">
        <f t="shared" si="8"/>
        <v>111111</v>
      </c>
      <c r="L64" t="str">
        <f t="shared" si="9"/>
        <v>111111</v>
      </c>
      <c r="M64" t="str">
        <f>LOOKUP(J64,Lookups!$A$27:$A$42,Lookups!$B$27:$B$42)</f>
        <v>s</v>
      </c>
      <c r="N64">
        <f t="shared" si="10"/>
        <v>63</v>
      </c>
      <c r="O64">
        <f t="shared" si="11"/>
        <v>63</v>
      </c>
      <c r="P64">
        <f t="shared" si="12"/>
        <v>4095</v>
      </c>
    </row>
    <row r="65" spans="1:16" x14ac:dyDescent="0.35">
      <c r="A65" t="s">
        <v>381</v>
      </c>
      <c r="C65" t="str">
        <f t="shared" si="1"/>
        <v>2943</v>
      </c>
      <c r="D65" t="str">
        <f t="shared" si="2"/>
        <v>00400000</v>
      </c>
      <c r="E65" t="str">
        <f t="shared" si="3"/>
        <v>00000000</v>
      </c>
      <c r="F65" t="str">
        <f t="shared" si="4"/>
        <v>01000000</v>
      </c>
      <c r="G65" t="str">
        <f t="shared" si="5"/>
        <v>00000000</v>
      </c>
      <c r="H65" t="str">
        <f t="shared" si="6"/>
        <v>00000000</v>
      </c>
      <c r="I65" t="str">
        <f t="shared" si="7"/>
        <v>00000000010000000000000000000000</v>
      </c>
      <c r="J65" t="str">
        <f t="shared" si="0"/>
        <v>0</v>
      </c>
      <c r="K65" t="str">
        <f t="shared" si="8"/>
        <v>000000</v>
      </c>
      <c r="L65" t="str">
        <f t="shared" si="9"/>
        <v>000000</v>
      </c>
      <c r="M65" t="str">
        <f>LOOKUP(J65,Lookups!$A$27:$A$42,Lookups!$B$27:$B$42)</f>
        <v>z</v>
      </c>
      <c r="N65">
        <f t="shared" si="10"/>
        <v>0</v>
      </c>
      <c r="O65">
        <f t="shared" si="11"/>
        <v>0</v>
      </c>
      <c r="P65">
        <f t="shared" si="12"/>
        <v>0</v>
      </c>
    </row>
    <row r="66" spans="1:16" x14ac:dyDescent="0.35">
      <c r="A66" t="s">
        <v>382</v>
      </c>
      <c r="C66" t="str">
        <f t="shared" si="1"/>
        <v>2944</v>
      </c>
      <c r="D66" t="str">
        <f t="shared" si="2"/>
        <v>00012d94</v>
      </c>
      <c r="E66" t="str">
        <f t="shared" si="3"/>
        <v>00000000</v>
      </c>
      <c r="F66" t="str">
        <f t="shared" si="4"/>
        <v>00000001</v>
      </c>
      <c r="G66" t="str">
        <f t="shared" si="5"/>
        <v>00101101</v>
      </c>
      <c r="H66" t="str">
        <f t="shared" si="6"/>
        <v>10010100</v>
      </c>
      <c r="I66" t="str">
        <f t="shared" si="7"/>
        <v>00000000000000010010110110010100</v>
      </c>
      <c r="J66" t="str">
        <f t="shared" ref="J66:J129" si="13">MID(D66,4,1)</f>
        <v>1</v>
      </c>
      <c r="K66" t="str">
        <f t="shared" si="8"/>
        <v>101101</v>
      </c>
      <c r="L66" t="str">
        <f t="shared" si="9"/>
        <v>100101</v>
      </c>
      <c r="M66" t="str">
        <f>LOOKUP(J66,Lookups!$A$27:$A$42,Lookups!$B$27:$B$42)</f>
        <v>b</v>
      </c>
      <c r="N66">
        <f t="shared" si="10"/>
        <v>45</v>
      </c>
      <c r="O66">
        <f t="shared" si="11"/>
        <v>37</v>
      </c>
      <c r="P66">
        <f t="shared" si="12"/>
        <v>2917</v>
      </c>
    </row>
    <row r="67" spans="1:16" x14ac:dyDescent="0.35">
      <c r="A67" t="s">
        <v>383</v>
      </c>
      <c r="C67" t="str">
        <f t="shared" ref="C67:C130" si="14">MID(A67,1,4)</f>
        <v>2945</v>
      </c>
      <c r="D67" t="str">
        <f t="shared" ref="D67:D130" si="15">MID(A67,8,20)</f>
        <v>000f31fc</v>
      </c>
      <c r="E67" t="str">
        <f t="shared" ref="E67:E130" si="16">HEX2BIN(MID(D67,1,2),8)</f>
        <v>00000000</v>
      </c>
      <c r="F67" t="str">
        <f t="shared" ref="F67:F130" si="17">HEX2BIN(MID(D67,3,2),8)</f>
        <v>00001111</v>
      </c>
      <c r="G67" t="str">
        <f t="shared" ref="G67:G130" si="18">HEX2BIN(MID(D67,5,2),8)</f>
        <v>00110001</v>
      </c>
      <c r="H67" t="str">
        <f t="shared" ref="H67:H130" si="19">HEX2BIN(MID(D67,7,2),8)</f>
        <v>11111100</v>
      </c>
      <c r="I67" t="str">
        <f t="shared" ref="I67:I130" si="20">CONCATENATE(E67,F67,G67,H67)</f>
        <v>00000000000011110011000111111100</v>
      </c>
      <c r="J67" t="str">
        <f t="shared" si="13"/>
        <v>f</v>
      </c>
      <c r="K67" t="str">
        <f t="shared" ref="K67:K130" si="21">MID(G67,3,6)</f>
        <v>110001</v>
      </c>
      <c r="L67" t="str">
        <f t="shared" ref="L67:L130" si="22">MID(H67,1,6)</f>
        <v>111111</v>
      </c>
      <c r="M67" t="str">
        <f>LOOKUP(J67,Lookups!$A$27:$A$42,Lookups!$B$27:$B$42)</f>
        <v>s</v>
      </c>
      <c r="N67">
        <f t="shared" ref="N67:N130" si="23">BIN2DEC(K67)</f>
        <v>49</v>
      </c>
      <c r="O67">
        <f t="shared" ref="O67:O130" si="24">BIN2DEC(L67)</f>
        <v>63</v>
      </c>
      <c r="P67">
        <f t="shared" ref="P67:P130" si="25">N67*64+O67</f>
        <v>3199</v>
      </c>
    </row>
    <row r="68" spans="1:16" x14ac:dyDescent="0.35">
      <c r="A68" t="s">
        <v>384</v>
      </c>
      <c r="C68" t="str">
        <f t="shared" si="14"/>
        <v>2946</v>
      </c>
      <c r="D68" t="str">
        <f t="shared" si="15"/>
        <v>000b2e24</v>
      </c>
      <c r="E68" t="str">
        <f t="shared" si="16"/>
        <v>00000000</v>
      </c>
      <c r="F68" t="str">
        <f t="shared" si="17"/>
        <v>00001011</v>
      </c>
      <c r="G68" t="str">
        <f t="shared" si="18"/>
        <v>00101110</v>
      </c>
      <c r="H68" t="str">
        <f t="shared" si="19"/>
        <v>00100100</v>
      </c>
      <c r="I68" t="str">
        <f t="shared" si="20"/>
        <v>00000000000010110010111000100100</v>
      </c>
      <c r="J68" t="str">
        <f t="shared" si="13"/>
        <v>b</v>
      </c>
      <c r="K68" t="str">
        <f t="shared" si="21"/>
        <v>101110</v>
      </c>
      <c r="L68" t="str">
        <f t="shared" si="22"/>
        <v>001001</v>
      </c>
      <c r="M68" t="str">
        <f>LOOKUP(J68,Lookups!$A$27:$A$42,Lookups!$B$27:$B$42)</f>
        <v>t</v>
      </c>
      <c r="N68">
        <f t="shared" si="23"/>
        <v>46</v>
      </c>
      <c r="O68">
        <f t="shared" si="24"/>
        <v>9</v>
      </c>
      <c r="P68">
        <f t="shared" si="25"/>
        <v>2953</v>
      </c>
    </row>
    <row r="69" spans="1:16" x14ac:dyDescent="0.35">
      <c r="A69" t="s">
        <v>385</v>
      </c>
      <c r="C69" t="str">
        <f t="shared" si="14"/>
        <v>2947</v>
      </c>
      <c r="D69" t="str">
        <f t="shared" si="15"/>
        <v>000f329c</v>
      </c>
      <c r="E69" t="str">
        <f t="shared" si="16"/>
        <v>00000000</v>
      </c>
      <c r="F69" t="str">
        <f t="shared" si="17"/>
        <v>00001111</v>
      </c>
      <c r="G69" t="str">
        <f t="shared" si="18"/>
        <v>00110010</v>
      </c>
      <c r="H69" t="str">
        <f t="shared" si="19"/>
        <v>10011100</v>
      </c>
      <c r="I69" t="str">
        <f t="shared" si="20"/>
        <v>00000000000011110011001010011100</v>
      </c>
      <c r="J69" t="str">
        <f t="shared" si="13"/>
        <v>f</v>
      </c>
      <c r="K69" t="str">
        <f t="shared" si="21"/>
        <v>110010</v>
      </c>
      <c r="L69" t="str">
        <f t="shared" si="22"/>
        <v>100111</v>
      </c>
      <c r="M69" t="str">
        <f>LOOKUP(J69,Lookups!$A$27:$A$42,Lookups!$B$27:$B$42)</f>
        <v>s</v>
      </c>
      <c r="N69">
        <f t="shared" si="23"/>
        <v>50</v>
      </c>
      <c r="O69">
        <f t="shared" si="24"/>
        <v>39</v>
      </c>
      <c r="P69">
        <f t="shared" si="25"/>
        <v>3239</v>
      </c>
    </row>
    <row r="70" spans="1:16" x14ac:dyDescent="0.35">
      <c r="A70" t="s">
        <v>386</v>
      </c>
      <c r="C70" t="str">
        <f t="shared" si="14"/>
        <v>2948</v>
      </c>
      <c r="D70" t="str">
        <f t="shared" si="15"/>
        <v>000b2e1c</v>
      </c>
      <c r="E70" t="str">
        <f t="shared" si="16"/>
        <v>00000000</v>
      </c>
      <c r="F70" t="str">
        <f t="shared" si="17"/>
        <v>00001011</v>
      </c>
      <c r="G70" t="str">
        <f t="shared" si="18"/>
        <v>00101110</v>
      </c>
      <c r="H70" t="str">
        <f t="shared" si="19"/>
        <v>00011100</v>
      </c>
      <c r="I70" t="str">
        <f t="shared" si="20"/>
        <v>00000000000010110010111000011100</v>
      </c>
      <c r="J70" t="str">
        <f t="shared" si="13"/>
        <v>b</v>
      </c>
      <c r="K70" t="str">
        <f t="shared" si="21"/>
        <v>101110</v>
      </c>
      <c r="L70" t="str">
        <f t="shared" si="22"/>
        <v>000111</v>
      </c>
      <c r="M70" t="str">
        <f>LOOKUP(J70,Lookups!$A$27:$A$42,Lookups!$B$27:$B$42)</f>
        <v>t</v>
      </c>
      <c r="N70">
        <f t="shared" si="23"/>
        <v>46</v>
      </c>
      <c r="O70">
        <f t="shared" si="24"/>
        <v>7</v>
      </c>
      <c r="P70">
        <f t="shared" si="25"/>
        <v>2951</v>
      </c>
    </row>
    <row r="71" spans="1:16" x14ac:dyDescent="0.35">
      <c r="A71" t="s">
        <v>387</v>
      </c>
      <c r="C71" t="str">
        <f t="shared" si="14"/>
        <v>2949</v>
      </c>
      <c r="D71" t="str">
        <f t="shared" si="15"/>
        <v>00012fc4</v>
      </c>
      <c r="E71" t="str">
        <f t="shared" si="16"/>
        <v>00000000</v>
      </c>
      <c r="F71" t="str">
        <f t="shared" si="17"/>
        <v>00000001</v>
      </c>
      <c r="G71" t="str">
        <f t="shared" si="18"/>
        <v>00101111</v>
      </c>
      <c r="H71" t="str">
        <f t="shared" si="19"/>
        <v>11000100</v>
      </c>
      <c r="I71" t="str">
        <f t="shared" si="20"/>
        <v>00000000000000010010111111000100</v>
      </c>
      <c r="J71" t="str">
        <f t="shared" si="13"/>
        <v>1</v>
      </c>
      <c r="K71" t="str">
        <f t="shared" si="21"/>
        <v>101111</v>
      </c>
      <c r="L71" t="str">
        <f t="shared" si="22"/>
        <v>110001</v>
      </c>
      <c r="M71" t="str">
        <f>LOOKUP(J71,Lookups!$A$27:$A$42,Lookups!$B$27:$B$42)</f>
        <v>b</v>
      </c>
      <c r="N71">
        <f t="shared" si="23"/>
        <v>47</v>
      </c>
      <c r="O71">
        <f t="shared" si="24"/>
        <v>49</v>
      </c>
      <c r="P71">
        <f t="shared" si="25"/>
        <v>3057</v>
      </c>
    </row>
    <row r="72" spans="1:16" x14ac:dyDescent="0.35">
      <c r="A72" t="s">
        <v>388</v>
      </c>
      <c r="C72" t="str">
        <f t="shared" si="14"/>
        <v>2950</v>
      </c>
      <c r="D72" t="str">
        <f t="shared" si="15"/>
        <v>000a2e28</v>
      </c>
      <c r="E72" t="str">
        <f t="shared" si="16"/>
        <v>00000000</v>
      </c>
      <c r="F72" t="str">
        <f t="shared" si="17"/>
        <v>00001010</v>
      </c>
      <c r="G72" t="str">
        <f t="shared" si="18"/>
        <v>00101110</v>
      </c>
      <c r="H72" t="str">
        <f t="shared" si="19"/>
        <v>00101000</v>
      </c>
      <c r="I72" t="str">
        <f t="shared" si="20"/>
        <v>00000000000010100010111000101000</v>
      </c>
      <c r="J72" t="str">
        <f t="shared" si="13"/>
        <v>a</v>
      </c>
      <c r="K72" t="str">
        <f t="shared" si="21"/>
        <v>101110</v>
      </c>
      <c r="L72" t="str">
        <f t="shared" si="22"/>
        <v>001010</v>
      </c>
      <c r="M72" t="str">
        <f>LOOKUP(J72,Lookups!$A$27:$A$42,Lookups!$B$27:$B$42)</f>
        <v>u</v>
      </c>
      <c r="N72">
        <f t="shared" si="23"/>
        <v>46</v>
      </c>
      <c r="O72">
        <f t="shared" si="24"/>
        <v>10</v>
      </c>
      <c r="P72">
        <f t="shared" si="25"/>
        <v>2954</v>
      </c>
    </row>
    <row r="73" spans="1:16" x14ac:dyDescent="0.35">
      <c r="A73" t="s">
        <v>389</v>
      </c>
      <c r="C73" t="str">
        <f t="shared" si="14"/>
        <v>2951</v>
      </c>
      <c r="D73" t="str">
        <f t="shared" si="15"/>
        <v>00012d94</v>
      </c>
      <c r="E73" t="str">
        <f t="shared" si="16"/>
        <v>00000000</v>
      </c>
      <c r="F73" t="str">
        <f t="shared" si="17"/>
        <v>00000001</v>
      </c>
      <c r="G73" t="str">
        <f t="shared" si="18"/>
        <v>00101101</v>
      </c>
      <c r="H73" t="str">
        <f t="shared" si="19"/>
        <v>10010100</v>
      </c>
      <c r="I73" t="str">
        <f t="shared" si="20"/>
        <v>00000000000000010010110110010100</v>
      </c>
      <c r="J73" t="str">
        <f t="shared" si="13"/>
        <v>1</v>
      </c>
      <c r="K73" t="str">
        <f t="shared" si="21"/>
        <v>101101</v>
      </c>
      <c r="L73" t="str">
        <f t="shared" si="22"/>
        <v>100101</v>
      </c>
      <c r="M73" t="str">
        <f>LOOKUP(J73,Lookups!$A$27:$A$42,Lookups!$B$27:$B$42)</f>
        <v>b</v>
      </c>
      <c r="N73">
        <f t="shared" si="23"/>
        <v>45</v>
      </c>
      <c r="O73">
        <f t="shared" si="24"/>
        <v>37</v>
      </c>
      <c r="P73">
        <f t="shared" si="25"/>
        <v>2917</v>
      </c>
    </row>
    <row r="74" spans="1:16" x14ac:dyDescent="0.35">
      <c r="A74" t="s">
        <v>390</v>
      </c>
      <c r="C74" t="str">
        <f t="shared" si="14"/>
        <v>2952</v>
      </c>
      <c r="D74" t="str">
        <f t="shared" si="15"/>
        <v>000a2e28</v>
      </c>
      <c r="E74" t="str">
        <f t="shared" si="16"/>
        <v>00000000</v>
      </c>
      <c r="F74" t="str">
        <f t="shared" si="17"/>
        <v>00001010</v>
      </c>
      <c r="G74" t="str">
        <f t="shared" si="18"/>
        <v>00101110</v>
      </c>
      <c r="H74" t="str">
        <f t="shared" si="19"/>
        <v>00101000</v>
      </c>
      <c r="I74" t="str">
        <f t="shared" si="20"/>
        <v>00000000000010100010111000101000</v>
      </c>
      <c r="J74" t="str">
        <f t="shared" si="13"/>
        <v>a</v>
      </c>
      <c r="K74" t="str">
        <f t="shared" si="21"/>
        <v>101110</v>
      </c>
      <c r="L74" t="str">
        <f t="shared" si="22"/>
        <v>001010</v>
      </c>
      <c r="M74" t="str">
        <f>LOOKUP(J74,Lookups!$A$27:$A$42,Lookups!$B$27:$B$42)</f>
        <v>u</v>
      </c>
      <c r="N74">
        <f t="shared" si="23"/>
        <v>46</v>
      </c>
      <c r="O74">
        <f t="shared" si="24"/>
        <v>10</v>
      </c>
      <c r="P74">
        <f t="shared" si="25"/>
        <v>2954</v>
      </c>
    </row>
    <row r="75" spans="1:16" x14ac:dyDescent="0.35">
      <c r="A75" t="s">
        <v>391</v>
      </c>
      <c r="C75" t="str">
        <f t="shared" si="14"/>
        <v>2953</v>
      </c>
      <c r="D75" t="str">
        <f t="shared" si="15"/>
        <v>00012df0</v>
      </c>
      <c r="E75" t="str">
        <f t="shared" si="16"/>
        <v>00000000</v>
      </c>
      <c r="F75" t="str">
        <f t="shared" si="17"/>
        <v>00000001</v>
      </c>
      <c r="G75" t="str">
        <f t="shared" si="18"/>
        <v>00101101</v>
      </c>
      <c r="H75" t="str">
        <f t="shared" si="19"/>
        <v>11110000</v>
      </c>
      <c r="I75" t="str">
        <f t="shared" si="20"/>
        <v>00000000000000010010110111110000</v>
      </c>
      <c r="J75" t="str">
        <f t="shared" si="13"/>
        <v>1</v>
      </c>
      <c r="K75" t="str">
        <f t="shared" si="21"/>
        <v>101101</v>
      </c>
      <c r="L75" t="str">
        <f t="shared" si="22"/>
        <v>111100</v>
      </c>
      <c r="M75" t="str">
        <f>LOOKUP(J75,Lookups!$A$27:$A$42,Lookups!$B$27:$B$42)</f>
        <v>b</v>
      </c>
      <c r="N75">
        <f t="shared" si="23"/>
        <v>45</v>
      </c>
      <c r="O75">
        <f t="shared" si="24"/>
        <v>60</v>
      </c>
      <c r="P75">
        <f t="shared" si="25"/>
        <v>2940</v>
      </c>
    </row>
    <row r="76" spans="1:16" x14ac:dyDescent="0.35">
      <c r="A76" t="s">
        <v>392</v>
      </c>
      <c r="C76" t="str">
        <f t="shared" si="14"/>
        <v>2954</v>
      </c>
      <c r="D76" t="str">
        <f t="shared" si="15"/>
        <v>000a2fe0</v>
      </c>
      <c r="E76" t="str">
        <f t="shared" si="16"/>
        <v>00000000</v>
      </c>
      <c r="F76" t="str">
        <f t="shared" si="17"/>
        <v>00001010</v>
      </c>
      <c r="G76" t="str">
        <f t="shared" si="18"/>
        <v>00101111</v>
      </c>
      <c r="H76" t="str">
        <f t="shared" si="19"/>
        <v>11100000</v>
      </c>
      <c r="I76" t="str">
        <f t="shared" si="20"/>
        <v>00000000000010100010111111100000</v>
      </c>
      <c r="J76" t="str">
        <f t="shared" si="13"/>
        <v>a</v>
      </c>
      <c r="K76" t="str">
        <f t="shared" si="21"/>
        <v>101111</v>
      </c>
      <c r="L76" t="str">
        <f t="shared" si="22"/>
        <v>111000</v>
      </c>
      <c r="M76" t="str">
        <f>LOOKUP(J76,Lookups!$A$27:$A$42,Lookups!$B$27:$B$42)</f>
        <v>u</v>
      </c>
      <c r="N76">
        <f t="shared" si="23"/>
        <v>47</v>
      </c>
      <c r="O76">
        <f t="shared" si="24"/>
        <v>56</v>
      </c>
      <c r="P76">
        <f t="shared" si="25"/>
        <v>3064</v>
      </c>
    </row>
    <row r="77" spans="1:16" x14ac:dyDescent="0.35">
      <c r="A77" t="s">
        <v>393</v>
      </c>
      <c r="C77" t="str">
        <f t="shared" si="14"/>
        <v>2955</v>
      </c>
      <c r="D77" t="str">
        <f t="shared" si="15"/>
        <v>00012e78</v>
      </c>
      <c r="E77" t="str">
        <f t="shared" si="16"/>
        <v>00000000</v>
      </c>
      <c r="F77" t="str">
        <f t="shared" si="17"/>
        <v>00000001</v>
      </c>
      <c r="G77" t="str">
        <f t="shared" si="18"/>
        <v>00101110</v>
      </c>
      <c r="H77" t="str">
        <f t="shared" si="19"/>
        <v>01111000</v>
      </c>
      <c r="I77" t="str">
        <f t="shared" si="20"/>
        <v>00000000000000010010111001111000</v>
      </c>
      <c r="J77" t="str">
        <f t="shared" si="13"/>
        <v>1</v>
      </c>
      <c r="K77" t="str">
        <f t="shared" si="21"/>
        <v>101110</v>
      </c>
      <c r="L77" t="str">
        <f t="shared" si="22"/>
        <v>011110</v>
      </c>
      <c r="M77" t="str">
        <f>LOOKUP(J77,Lookups!$A$27:$A$42,Lookups!$B$27:$B$42)</f>
        <v>b</v>
      </c>
      <c r="N77">
        <f t="shared" si="23"/>
        <v>46</v>
      </c>
      <c r="O77">
        <f t="shared" si="24"/>
        <v>30</v>
      </c>
      <c r="P77">
        <f t="shared" si="25"/>
        <v>2974</v>
      </c>
    </row>
    <row r="78" spans="1:16" x14ac:dyDescent="0.35">
      <c r="A78" t="s">
        <v>394</v>
      </c>
      <c r="C78" t="str">
        <f t="shared" si="14"/>
        <v>2956</v>
      </c>
      <c r="D78" t="str">
        <f t="shared" si="15"/>
        <v>00022e38</v>
      </c>
      <c r="E78" t="str">
        <f t="shared" si="16"/>
        <v>00000000</v>
      </c>
      <c r="F78" t="str">
        <f t="shared" si="17"/>
        <v>00000010</v>
      </c>
      <c r="G78" t="str">
        <f t="shared" si="18"/>
        <v>00101110</v>
      </c>
      <c r="H78" t="str">
        <f t="shared" si="19"/>
        <v>00111000</v>
      </c>
      <c r="I78" t="str">
        <f t="shared" si="20"/>
        <v>00000000000000100010111000111000</v>
      </c>
      <c r="J78" t="str">
        <f t="shared" si="13"/>
        <v>2</v>
      </c>
      <c r="K78" t="str">
        <f t="shared" si="21"/>
        <v>101110</v>
      </c>
      <c r="L78" t="str">
        <f t="shared" si="22"/>
        <v>001110</v>
      </c>
      <c r="M78" t="str">
        <f>LOOKUP(J78,Lookups!$A$27:$A$42,Lookups!$B$27:$B$42)</f>
        <v>y</v>
      </c>
      <c r="N78">
        <f t="shared" si="23"/>
        <v>46</v>
      </c>
      <c r="O78">
        <f t="shared" si="24"/>
        <v>14</v>
      </c>
      <c r="P78">
        <f t="shared" si="25"/>
        <v>2958</v>
      </c>
    </row>
    <row r="79" spans="1:16" x14ac:dyDescent="0.35">
      <c r="A79" t="s">
        <v>395</v>
      </c>
      <c r="C79" t="str">
        <f t="shared" si="14"/>
        <v>2957</v>
      </c>
      <c r="D79" t="str">
        <f t="shared" si="15"/>
        <v>00022e40</v>
      </c>
      <c r="E79" t="str">
        <f t="shared" si="16"/>
        <v>00000000</v>
      </c>
      <c r="F79" t="str">
        <f t="shared" si="17"/>
        <v>00000010</v>
      </c>
      <c r="G79" t="str">
        <f t="shared" si="18"/>
        <v>00101110</v>
      </c>
      <c r="H79" t="str">
        <f t="shared" si="19"/>
        <v>01000000</v>
      </c>
      <c r="I79" t="str">
        <f t="shared" si="20"/>
        <v>00000000000000100010111001000000</v>
      </c>
      <c r="J79" t="str">
        <f t="shared" si="13"/>
        <v>2</v>
      </c>
      <c r="K79" t="str">
        <f t="shared" si="21"/>
        <v>101110</v>
      </c>
      <c r="L79" t="str">
        <f t="shared" si="22"/>
        <v>010000</v>
      </c>
      <c r="M79" t="str">
        <f>LOOKUP(J79,Lookups!$A$27:$A$42,Lookups!$B$27:$B$42)</f>
        <v>y</v>
      </c>
      <c r="N79">
        <f t="shared" si="23"/>
        <v>46</v>
      </c>
      <c r="O79">
        <f t="shared" si="24"/>
        <v>16</v>
      </c>
      <c r="P79">
        <f t="shared" si="25"/>
        <v>2960</v>
      </c>
    </row>
    <row r="80" spans="1:16" x14ac:dyDescent="0.35">
      <c r="A80" t="s">
        <v>396</v>
      </c>
      <c r="C80" t="str">
        <f t="shared" si="14"/>
        <v>2958</v>
      </c>
      <c r="D80" t="str">
        <f t="shared" si="15"/>
        <v>00012dd0</v>
      </c>
      <c r="E80" t="str">
        <f t="shared" si="16"/>
        <v>00000000</v>
      </c>
      <c r="F80" t="str">
        <f t="shared" si="17"/>
        <v>00000001</v>
      </c>
      <c r="G80" t="str">
        <f t="shared" si="18"/>
        <v>00101101</v>
      </c>
      <c r="H80" t="str">
        <f t="shared" si="19"/>
        <v>11010000</v>
      </c>
      <c r="I80" t="str">
        <f t="shared" si="20"/>
        <v>00000000000000010010110111010000</v>
      </c>
      <c r="J80" t="str">
        <f t="shared" si="13"/>
        <v>1</v>
      </c>
      <c r="K80" t="str">
        <f t="shared" si="21"/>
        <v>101101</v>
      </c>
      <c r="L80" t="str">
        <f t="shared" si="22"/>
        <v>110100</v>
      </c>
      <c r="M80" t="str">
        <f>LOOKUP(J80,Lookups!$A$27:$A$42,Lookups!$B$27:$B$42)</f>
        <v>b</v>
      </c>
      <c r="N80">
        <f t="shared" si="23"/>
        <v>45</v>
      </c>
      <c r="O80">
        <f t="shared" si="24"/>
        <v>52</v>
      </c>
      <c r="P80">
        <f t="shared" si="25"/>
        <v>2932</v>
      </c>
    </row>
    <row r="81" spans="1:16" x14ac:dyDescent="0.35">
      <c r="A81" t="s">
        <v>397</v>
      </c>
      <c r="C81" t="str">
        <f t="shared" si="14"/>
        <v>2959</v>
      </c>
      <c r="D81" t="str">
        <f t="shared" si="15"/>
        <v>00092df4</v>
      </c>
      <c r="E81" t="str">
        <f t="shared" si="16"/>
        <v>00000000</v>
      </c>
      <c r="F81" t="str">
        <f t="shared" si="17"/>
        <v>00001001</v>
      </c>
      <c r="G81" t="str">
        <f t="shared" si="18"/>
        <v>00101101</v>
      </c>
      <c r="H81" t="str">
        <f t="shared" si="19"/>
        <v>11110100</v>
      </c>
      <c r="I81" t="str">
        <f t="shared" si="20"/>
        <v>00000000000010010010110111110100</v>
      </c>
      <c r="J81" t="str">
        <f t="shared" si="13"/>
        <v>9</v>
      </c>
      <c r="K81" t="str">
        <f t="shared" si="21"/>
        <v>101101</v>
      </c>
      <c r="L81" t="str">
        <f t="shared" si="22"/>
        <v>111101</v>
      </c>
      <c r="M81" t="str">
        <f>LOOKUP(J81,Lookups!$A$27:$A$42,Lookups!$B$27:$B$42)</f>
        <v>e</v>
      </c>
      <c r="N81">
        <f t="shared" si="23"/>
        <v>45</v>
      </c>
      <c r="O81">
        <f t="shared" si="24"/>
        <v>61</v>
      </c>
      <c r="P81">
        <f t="shared" si="25"/>
        <v>2941</v>
      </c>
    </row>
    <row r="82" spans="1:16" x14ac:dyDescent="0.35">
      <c r="A82" t="s">
        <v>398</v>
      </c>
      <c r="C82" t="str">
        <f t="shared" si="14"/>
        <v>2960</v>
      </c>
      <c r="D82" t="str">
        <f t="shared" si="15"/>
        <v>000d2dd0</v>
      </c>
      <c r="E82" t="str">
        <f t="shared" si="16"/>
        <v>00000000</v>
      </c>
      <c r="F82" t="str">
        <f t="shared" si="17"/>
        <v>00001101</v>
      </c>
      <c r="G82" t="str">
        <f t="shared" si="18"/>
        <v>00101101</v>
      </c>
      <c r="H82" t="str">
        <f t="shared" si="19"/>
        <v>11010000</v>
      </c>
      <c r="I82" t="str">
        <f t="shared" si="20"/>
        <v>00000000000011010010110111010000</v>
      </c>
      <c r="J82" t="str">
        <f t="shared" si="13"/>
        <v>d</v>
      </c>
      <c r="K82" t="str">
        <f t="shared" si="21"/>
        <v>101101</v>
      </c>
      <c r="L82" t="str">
        <f t="shared" si="22"/>
        <v>110100</v>
      </c>
      <c r="M82" t="str">
        <f>LOOKUP(J82,Lookups!$A$27:$A$42,Lookups!$B$27:$B$42)</f>
        <v>c</v>
      </c>
      <c r="N82">
        <f t="shared" si="23"/>
        <v>45</v>
      </c>
      <c r="O82">
        <f t="shared" si="24"/>
        <v>52</v>
      </c>
      <c r="P82">
        <f t="shared" si="25"/>
        <v>2932</v>
      </c>
    </row>
    <row r="83" spans="1:16" x14ac:dyDescent="0.35">
      <c r="A83" t="s">
        <v>399</v>
      </c>
      <c r="C83" t="str">
        <f t="shared" si="14"/>
        <v>2961</v>
      </c>
      <c r="D83" t="str">
        <f t="shared" si="15"/>
        <v>00012e38</v>
      </c>
      <c r="E83" t="str">
        <f t="shared" si="16"/>
        <v>00000000</v>
      </c>
      <c r="F83" t="str">
        <f t="shared" si="17"/>
        <v>00000001</v>
      </c>
      <c r="G83" t="str">
        <f t="shared" si="18"/>
        <v>00101110</v>
      </c>
      <c r="H83" t="str">
        <f t="shared" si="19"/>
        <v>00111000</v>
      </c>
      <c r="I83" t="str">
        <f t="shared" si="20"/>
        <v>00000000000000010010111000111000</v>
      </c>
      <c r="J83" t="str">
        <f t="shared" si="13"/>
        <v>1</v>
      </c>
      <c r="K83" t="str">
        <f t="shared" si="21"/>
        <v>101110</v>
      </c>
      <c r="L83" t="str">
        <f t="shared" si="22"/>
        <v>001110</v>
      </c>
      <c r="M83" t="str">
        <f>LOOKUP(J83,Lookups!$A$27:$A$42,Lookups!$B$27:$B$42)</f>
        <v>b</v>
      </c>
      <c r="N83">
        <f t="shared" si="23"/>
        <v>46</v>
      </c>
      <c r="O83">
        <f t="shared" si="24"/>
        <v>14</v>
      </c>
      <c r="P83">
        <f t="shared" si="25"/>
        <v>2958</v>
      </c>
    </row>
    <row r="84" spans="1:16" x14ac:dyDescent="0.35">
      <c r="A84" t="s">
        <v>400</v>
      </c>
      <c r="C84" t="str">
        <f t="shared" si="14"/>
        <v>2962</v>
      </c>
      <c r="D84" t="str">
        <f t="shared" si="15"/>
        <v>000e2e8c</v>
      </c>
      <c r="E84" t="str">
        <f t="shared" si="16"/>
        <v>00000000</v>
      </c>
      <c r="F84" t="str">
        <f t="shared" si="17"/>
        <v>00001110</v>
      </c>
      <c r="G84" t="str">
        <f t="shared" si="18"/>
        <v>00101110</v>
      </c>
      <c r="H84" t="str">
        <f t="shared" si="19"/>
        <v>10001100</v>
      </c>
      <c r="I84" t="str">
        <f t="shared" si="20"/>
        <v>00000000000011100010111010001100</v>
      </c>
      <c r="J84" t="str">
        <f t="shared" si="13"/>
        <v>e</v>
      </c>
      <c r="K84" t="str">
        <f t="shared" si="21"/>
        <v>101110</v>
      </c>
      <c r="L84" t="str">
        <f t="shared" si="22"/>
        <v>100011</v>
      </c>
      <c r="M84" t="str">
        <f>LOOKUP(J84,Lookups!$A$27:$A$42,Lookups!$B$27:$B$42)</f>
        <v>a</v>
      </c>
      <c r="N84">
        <f t="shared" si="23"/>
        <v>46</v>
      </c>
      <c r="O84">
        <f t="shared" si="24"/>
        <v>35</v>
      </c>
      <c r="P84">
        <f t="shared" si="25"/>
        <v>2979</v>
      </c>
    </row>
    <row r="85" spans="1:16" x14ac:dyDescent="0.35">
      <c r="A85" t="s">
        <v>401</v>
      </c>
      <c r="C85" t="str">
        <f t="shared" si="14"/>
        <v>2963</v>
      </c>
      <c r="D85" t="str">
        <f t="shared" si="15"/>
        <v>000c2e38</v>
      </c>
      <c r="E85" t="str">
        <f t="shared" si="16"/>
        <v>00000000</v>
      </c>
      <c r="F85" t="str">
        <f t="shared" si="17"/>
        <v>00001100</v>
      </c>
      <c r="G85" t="str">
        <f t="shared" si="18"/>
        <v>00101110</v>
      </c>
      <c r="H85" t="str">
        <f t="shared" si="19"/>
        <v>00111000</v>
      </c>
      <c r="I85" t="str">
        <f t="shared" si="20"/>
        <v>00000000000011000010111000111000</v>
      </c>
      <c r="J85" t="str">
        <f t="shared" si="13"/>
        <v>c</v>
      </c>
      <c r="K85" t="str">
        <f t="shared" si="21"/>
        <v>101110</v>
      </c>
      <c r="L85" t="str">
        <f t="shared" si="22"/>
        <v>001110</v>
      </c>
      <c r="M85" t="str">
        <f>LOOKUP(J85,Lookups!$A$27:$A$42,Lookups!$B$27:$B$42)</f>
        <v>h</v>
      </c>
      <c r="N85">
        <f t="shared" si="23"/>
        <v>46</v>
      </c>
      <c r="O85">
        <f t="shared" si="24"/>
        <v>14</v>
      </c>
      <c r="P85">
        <f t="shared" si="25"/>
        <v>2958</v>
      </c>
    </row>
    <row r="86" spans="1:16" x14ac:dyDescent="0.35">
      <c r="A86" t="s">
        <v>402</v>
      </c>
      <c r="C86" t="str">
        <f t="shared" si="14"/>
        <v>2964</v>
      </c>
      <c r="D86" t="str">
        <f t="shared" si="15"/>
        <v>00022e40</v>
      </c>
      <c r="E86" t="str">
        <f t="shared" si="16"/>
        <v>00000000</v>
      </c>
      <c r="F86" t="str">
        <f t="shared" si="17"/>
        <v>00000010</v>
      </c>
      <c r="G86" t="str">
        <f t="shared" si="18"/>
        <v>00101110</v>
      </c>
      <c r="H86" t="str">
        <f t="shared" si="19"/>
        <v>01000000</v>
      </c>
      <c r="I86" t="str">
        <f t="shared" si="20"/>
        <v>00000000000000100010111001000000</v>
      </c>
      <c r="J86" t="str">
        <f t="shared" si="13"/>
        <v>2</v>
      </c>
      <c r="K86" t="str">
        <f t="shared" si="21"/>
        <v>101110</v>
      </c>
      <c r="L86" t="str">
        <f t="shared" si="22"/>
        <v>010000</v>
      </c>
      <c r="M86" t="str">
        <f>LOOKUP(J86,Lookups!$A$27:$A$42,Lookups!$B$27:$B$42)</f>
        <v>y</v>
      </c>
      <c r="N86">
        <f t="shared" si="23"/>
        <v>46</v>
      </c>
      <c r="O86">
        <f t="shared" si="24"/>
        <v>16</v>
      </c>
      <c r="P86">
        <f t="shared" si="25"/>
        <v>2960</v>
      </c>
    </row>
    <row r="87" spans="1:16" x14ac:dyDescent="0.35">
      <c r="A87" t="s">
        <v>403</v>
      </c>
      <c r="C87" t="str">
        <f t="shared" si="14"/>
        <v>2965</v>
      </c>
      <c r="D87" t="str">
        <f t="shared" si="15"/>
        <v>000f2d64</v>
      </c>
      <c r="E87" t="str">
        <f t="shared" si="16"/>
        <v>00000000</v>
      </c>
      <c r="F87" t="str">
        <f t="shared" si="17"/>
        <v>00001111</v>
      </c>
      <c r="G87" t="str">
        <f t="shared" si="18"/>
        <v>00101101</v>
      </c>
      <c r="H87" t="str">
        <f t="shared" si="19"/>
        <v>01100100</v>
      </c>
      <c r="I87" t="str">
        <f t="shared" si="20"/>
        <v>00000000000011110010110101100100</v>
      </c>
      <c r="J87" t="str">
        <f t="shared" si="13"/>
        <v>f</v>
      </c>
      <c r="K87" t="str">
        <f t="shared" si="21"/>
        <v>101101</v>
      </c>
      <c r="L87" t="str">
        <f t="shared" si="22"/>
        <v>011001</v>
      </c>
      <c r="M87" t="str">
        <f>LOOKUP(J87,Lookups!$A$27:$A$42,Lookups!$B$27:$B$42)</f>
        <v>s</v>
      </c>
      <c r="N87">
        <f t="shared" si="23"/>
        <v>45</v>
      </c>
      <c r="O87">
        <f t="shared" si="24"/>
        <v>25</v>
      </c>
      <c r="P87">
        <f t="shared" si="25"/>
        <v>2905</v>
      </c>
    </row>
    <row r="88" spans="1:16" x14ac:dyDescent="0.35">
      <c r="A88" t="s">
        <v>404</v>
      </c>
      <c r="C88" t="str">
        <f t="shared" si="14"/>
        <v>2966</v>
      </c>
      <c r="D88" t="str">
        <f t="shared" si="15"/>
        <v>000b2e38</v>
      </c>
      <c r="E88" t="str">
        <f t="shared" si="16"/>
        <v>00000000</v>
      </c>
      <c r="F88" t="str">
        <f t="shared" si="17"/>
        <v>00001011</v>
      </c>
      <c r="G88" t="str">
        <f t="shared" si="18"/>
        <v>00101110</v>
      </c>
      <c r="H88" t="str">
        <f t="shared" si="19"/>
        <v>00111000</v>
      </c>
      <c r="I88" t="str">
        <f t="shared" si="20"/>
        <v>00000000000010110010111000111000</v>
      </c>
      <c r="J88" t="str">
        <f t="shared" si="13"/>
        <v>b</v>
      </c>
      <c r="K88" t="str">
        <f t="shared" si="21"/>
        <v>101110</v>
      </c>
      <c r="L88" t="str">
        <f t="shared" si="22"/>
        <v>001110</v>
      </c>
      <c r="M88" t="str">
        <f>LOOKUP(J88,Lookups!$A$27:$A$42,Lookups!$B$27:$B$42)</f>
        <v>t</v>
      </c>
      <c r="N88">
        <f t="shared" si="23"/>
        <v>46</v>
      </c>
      <c r="O88">
        <f t="shared" si="24"/>
        <v>14</v>
      </c>
      <c r="P88">
        <f t="shared" si="25"/>
        <v>2958</v>
      </c>
    </row>
    <row r="89" spans="1:16" x14ac:dyDescent="0.35">
      <c r="A89" t="s">
        <v>405</v>
      </c>
      <c r="C89" t="str">
        <f t="shared" si="14"/>
        <v>2967</v>
      </c>
      <c r="D89" t="str">
        <f t="shared" si="15"/>
        <v>000d2f8c</v>
      </c>
      <c r="E89" t="str">
        <f t="shared" si="16"/>
        <v>00000000</v>
      </c>
      <c r="F89" t="str">
        <f t="shared" si="17"/>
        <v>00001101</v>
      </c>
      <c r="G89" t="str">
        <f t="shared" si="18"/>
        <v>00101111</v>
      </c>
      <c r="H89" t="str">
        <f t="shared" si="19"/>
        <v>10001100</v>
      </c>
      <c r="I89" t="str">
        <f t="shared" si="20"/>
        <v>00000000000011010010111110001100</v>
      </c>
      <c r="J89" t="str">
        <f t="shared" si="13"/>
        <v>d</v>
      </c>
      <c r="K89" t="str">
        <f t="shared" si="21"/>
        <v>101111</v>
      </c>
      <c r="L89" t="str">
        <f t="shared" si="22"/>
        <v>100011</v>
      </c>
      <c r="M89" t="str">
        <f>LOOKUP(J89,Lookups!$A$27:$A$42,Lookups!$B$27:$B$42)</f>
        <v>c</v>
      </c>
      <c r="N89">
        <f t="shared" si="23"/>
        <v>47</v>
      </c>
      <c r="O89">
        <f t="shared" si="24"/>
        <v>35</v>
      </c>
      <c r="P89">
        <f t="shared" si="25"/>
        <v>3043</v>
      </c>
    </row>
    <row r="90" spans="1:16" x14ac:dyDescent="0.35">
      <c r="A90" t="s">
        <v>406</v>
      </c>
      <c r="C90" t="str">
        <f t="shared" si="14"/>
        <v>2968</v>
      </c>
      <c r="D90" t="str">
        <f t="shared" si="15"/>
        <v>000d2f8c</v>
      </c>
      <c r="E90" t="str">
        <f t="shared" si="16"/>
        <v>00000000</v>
      </c>
      <c r="F90" t="str">
        <f t="shared" si="17"/>
        <v>00001101</v>
      </c>
      <c r="G90" t="str">
        <f t="shared" si="18"/>
        <v>00101111</v>
      </c>
      <c r="H90" t="str">
        <f t="shared" si="19"/>
        <v>10001100</v>
      </c>
      <c r="I90" t="str">
        <f t="shared" si="20"/>
        <v>00000000000011010010111110001100</v>
      </c>
      <c r="J90" t="str">
        <f t="shared" si="13"/>
        <v>d</v>
      </c>
      <c r="K90" t="str">
        <f t="shared" si="21"/>
        <v>101111</v>
      </c>
      <c r="L90" t="str">
        <f t="shared" si="22"/>
        <v>100011</v>
      </c>
      <c r="M90" t="str">
        <f>LOOKUP(J90,Lookups!$A$27:$A$42,Lookups!$B$27:$B$42)</f>
        <v>c</v>
      </c>
      <c r="N90">
        <f t="shared" si="23"/>
        <v>47</v>
      </c>
      <c r="O90">
        <f t="shared" si="24"/>
        <v>35</v>
      </c>
      <c r="P90">
        <f t="shared" si="25"/>
        <v>3043</v>
      </c>
    </row>
    <row r="91" spans="1:16" x14ac:dyDescent="0.35">
      <c r="A91" t="s">
        <v>407</v>
      </c>
      <c r="C91" t="str">
        <f t="shared" si="14"/>
        <v>2969</v>
      </c>
      <c r="D91" t="str">
        <f t="shared" si="15"/>
        <v>000a2e88</v>
      </c>
      <c r="E91" t="str">
        <f t="shared" si="16"/>
        <v>00000000</v>
      </c>
      <c r="F91" t="str">
        <f t="shared" si="17"/>
        <v>00001010</v>
      </c>
      <c r="G91" t="str">
        <f t="shared" si="18"/>
        <v>00101110</v>
      </c>
      <c r="H91" t="str">
        <f t="shared" si="19"/>
        <v>10001000</v>
      </c>
      <c r="I91" t="str">
        <f t="shared" si="20"/>
        <v>00000000000010100010111010001000</v>
      </c>
      <c r="J91" t="str">
        <f t="shared" si="13"/>
        <v>a</v>
      </c>
      <c r="K91" t="str">
        <f t="shared" si="21"/>
        <v>101110</v>
      </c>
      <c r="L91" t="str">
        <f t="shared" si="22"/>
        <v>100010</v>
      </c>
      <c r="M91" t="str">
        <f>LOOKUP(J91,Lookups!$A$27:$A$42,Lookups!$B$27:$B$42)</f>
        <v>u</v>
      </c>
      <c r="N91">
        <f t="shared" si="23"/>
        <v>46</v>
      </c>
      <c r="O91">
        <f t="shared" si="24"/>
        <v>34</v>
      </c>
      <c r="P91">
        <f t="shared" si="25"/>
        <v>2978</v>
      </c>
    </row>
    <row r="92" spans="1:16" x14ac:dyDescent="0.35">
      <c r="A92" t="s">
        <v>408</v>
      </c>
      <c r="C92" t="str">
        <f t="shared" si="14"/>
        <v>2970</v>
      </c>
      <c r="D92" t="str">
        <f t="shared" si="15"/>
        <v>000332f0</v>
      </c>
      <c r="E92" t="str">
        <f t="shared" si="16"/>
        <v>00000000</v>
      </c>
      <c r="F92" t="str">
        <f t="shared" si="17"/>
        <v>00000011</v>
      </c>
      <c r="G92" t="str">
        <f t="shared" si="18"/>
        <v>00110010</v>
      </c>
      <c r="H92" t="str">
        <f t="shared" si="19"/>
        <v>11110000</v>
      </c>
      <c r="I92" t="str">
        <f t="shared" si="20"/>
        <v>00000000000000110011001011110000</v>
      </c>
      <c r="J92" t="str">
        <f t="shared" si="13"/>
        <v>3</v>
      </c>
      <c r="K92" t="str">
        <f t="shared" si="21"/>
        <v>110010</v>
      </c>
      <c r="L92" t="str">
        <f t="shared" si="22"/>
        <v>111100</v>
      </c>
      <c r="M92" t="str">
        <f>LOOKUP(J92,Lookups!$A$27:$A$42,Lookups!$B$27:$B$42)</f>
        <v>r</v>
      </c>
      <c r="N92">
        <f t="shared" si="23"/>
        <v>50</v>
      </c>
      <c r="O92">
        <f t="shared" si="24"/>
        <v>60</v>
      </c>
      <c r="P92">
        <f t="shared" si="25"/>
        <v>3260</v>
      </c>
    </row>
    <row r="93" spans="1:16" x14ac:dyDescent="0.35">
      <c r="A93" t="s">
        <v>409</v>
      </c>
      <c r="C93" t="str">
        <f t="shared" si="14"/>
        <v>2971</v>
      </c>
      <c r="D93" t="str">
        <f t="shared" si="15"/>
        <v>000a32cc</v>
      </c>
      <c r="E93" t="str">
        <f t="shared" si="16"/>
        <v>00000000</v>
      </c>
      <c r="F93" t="str">
        <f t="shared" si="17"/>
        <v>00001010</v>
      </c>
      <c r="G93" t="str">
        <f t="shared" si="18"/>
        <v>00110010</v>
      </c>
      <c r="H93" t="str">
        <f t="shared" si="19"/>
        <v>11001100</v>
      </c>
      <c r="I93" t="str">
        <f t="shared" si="20"/>
        <v>00000000000010100011001011001100</v>
      </c>
      <c r="J93" t="str">
        <f t="shared" si="13"/>
        <v>a</v>
      </c>
      <c r="K93" t="str">
        <f t="shared" si="21"/>
        <v>110010</v>
      </c>
      <c r="L93" t="str">
        <f t="shared" si="22"/>
        <v>110011</v>
      </c>
      <c r="M93" t="str">
        <f>LOOKUP(J93,Lookups!$A$27:$A$42,Lookups!$B$27:$B$42)</f>
        <v>u</v>
      </c>
      <c r="N93">
        <f t="shared" si="23"/>
        <v>50</v>
      </c>
      <c r="O93">
        <f t="shared" si="24"/>
        <v>51</v>
      </c>
      <c r="P93">
        <f t="shared" si="25"/>
        <v>3251</v>
      </c>
    </row>
    <row r="94" spans="1:16" x14ac:dyDescent="0.35">
      <c r="A94" t="s">
        <v>410</v>
      </c>
      <c r="C94" t="str">
        <f t="shared" si="14"/>
        <v>2972</v>
      </c>
      <c r="D94" t="str">
        <f t="shared" si="15"/>
        <v>000931e0</v>
      </c>
      <c r="E94" t="str">
        <f t="shared" si="16"/>
        <v>00000000</v>
      </c>
      <c r="F94" t="str">
        <f t="shared" si="17"/>
        <v>00001001</v>
      </c>
      <c r="G94" t="str">
        <f t="shared" si="18"/>
        <v>00110001</v>
      </c>
      <c r="H94" t="str">
        <f t="shared" si="19"/>
        <v>11100000</v>
      </c>
      <c r="I94" t="str">
        <f t="shared" si="20"/>
        <v>00000000000010010011000111100000</v>
      </c>
      <c r="J94" t="str">
        <f t="shared" si="13"/>
        <v>9</v>
      </c>
      <c r="K94" t="str">
        <f t="shared" si="21"/>
        <v>110001</v>
      </c>
      <c r="L94" t="str">
        <f t="shared" si="22"/>
        <v>111000</v>
      </c>
      <c r="M94" t="str">
        <f>LOOKUP(J94,Lookups!$A$27:$A$42,Lookups!$B$27:$B$42)</f>
        <v>e</v>
      </c>
      <c r="N94">
        <f t="shared" si="23"/>
        <v>49</v>
      </c>
      <c r="O94">
        <f t="shared" si="24"/>
        <v>56</v>
      </c>
      <c r="P94">
        <f t="shared" si="25"/>
        <v>3192</v>
      </c>
    </row>
    <row r="95" spans="1:16" x14ac:dyDescent="0.35">
      <c r="A95" t="s">
        <v>411</v>
      </c>
      <c r="C95" t="str">
        <f t="shared" si="14"/>
        <v>2973</v>
      </c>
      <c r="D95" t="str">
        <f t="shared" si="15"/>
        <v>000a2d0c</v>
      </c>
      <c r="E95" t="str">
        <f t="shared" si="16"/>
        <v>00000000</v>
      </c>
      <c r="F95" t="str">
        <f t="shared" si="17"/>
        <v>00001010</v>
      </c>
      <c r="G95" t="str">
        <f t="shared" si="18"/>
        <v>00101101</v>
      </c>
      <c r="H95" t="str">
        <f t="shared" si="19"/>
        <v>00001100</v>
      </c>
      <c r="I95" t="str">
        <f t="shared" si="20"/>
        <v>00000000000010100010110100001100</v>
      </c>
      <c r="J95" t="str">
        <f t="shared" si="13"/>
        <v>a</v>
      </c>
      <c r="K95" t="str">
        <f t="shared" si="21"/>
        <v>101101</v>
      </c>
      <c r="L95" t="str">
        <f t="shared" si="22"/>
        <v>000011</v>
      </c>
      <c r="M95" t="str">
        <f>LOOKUP(J95,Lookups!$A$27:$A$42,Lookups!$B$27:$B$42)</f>
        <v>u</v>
      </c>
      <c r="N95">
        <f t="shared" si="23"/>
        <v>45</v>
      </c>
      <c r="O95">
        <f t="shared" si="24"/>
        <v>3</v>
      </c>
      <c r="P95">
        <f t="shared" si="25"/>
        <v>2883</v>
      </c>
    </row>
    <row r="96" spans="1:16" x14ac:dyDescent="0.35">
      <c r="A96" t="s">
        <v>412</v>
      </c>
      <c r="C96" t="str">
        <f t="shared" si="14"/>
        <v>2974</v>
      </c>
      <c r="D96" t="str">
        <f t="shared" si="15"/>
        <v>00002d9c</v>
      </c>
      <c r="E96" t="str">
        <f t="shared" si="16"/>
        <v>00000000</v>
      </c>
      <c r="F96" t="str">
        <f t="shared" si="17"/>
        <v>00000000</v>
      </c>
      <c r="G96" t="str">
        <f t="shared" si="18"/>
        <v>00101101</v>
      </c>
      <c r="H96" t="str">
        <f t="shared" si="19"/>
        <v>10011100</v>
      </c>
      <c r="I96" t="str">
        <f t="shared" si="20"/>
        <v>00000000000000000010110110011100</v>
      </c>
      <c r="J96" t="str">
        <f t="shared" si="13"/>
        <v>0</v>
      </c>
      <c r="K96" t="str">
        <f t="shared" si="21"/>
        <v>101101</v>
      </c>
      <c r="L96" t="str">
        <f t="shared" si="22"/>
        <v>100111</v>
      </c>
      <c r="M96" t="str">
        <f>LOOKUP(J96,Lookups!$A$27:$A$42,Lookups!$B$27:$B$42)</f>
        <v>z</v>
      </c>
      <c r="N96">
        <f t="shared" si="23"/>
        <v>45</v>
      </c>
      <c r="O96">
        <f t="shared" si="24"/>
        <v>39</v>
      </c>
      <c r="P96">
        <f t="shared" si="25"/>
        <v>2919</v>
      </c>
    </row>
    <row r="97" spans="1:16" x14ac:dyDescent="0.35">
      <c r="A97" t="s">
        <v>413</v>
      </c>
      <c r="C97" t="str">
        <f t="shared" si="14"/>
        <v>2975</v>
      </c>
      <c r="D97" t="str">
        <f t="shared" si="15"/>
        <v>000131d4</v>
      </c>
      <c r="E97" t="str">
        <f t="shared" si="16"/>
        <v>00000000</v>
      </c>
      <c r="F97" t="str">
        <f t="shared" si="17"/>
        <v>00000001</v>
      </c>
      <c r="G97" t="str">
        <f t="shared" si="18"/>
        <v>00110001</v>
      </c>
      <c r="H97" t="str">
        <f t="shared" si="19"/>
        <v>11010100</v>
      </c>
      <c r="I97" t="str">
        <f t="shared" si="20"/>
        <v>00000000000000010011000111010100</v>
      </c>
      <c r="J97" t="str">
        <f t="shared" si="13"/>
        <v>1</v>
      </c>
      <c r="K97" t="str">
        <f t="shared" si="21"/>
        <v>110001</v>
      </c>
      <c r="L97" t="str">
        <f t="shared" si="22"/>
        <v>110101</v>
      </c>
      <c r="M97" t="str">
        <f>LOOKUP(J97,Lookups!$A$27:$A$42,Lookups!$B$27:$B$42)</f>
        <v>b</v>
      </c>
      <c r="N97">
        <f t="shared" si="23"/>
        <v>49</v>
      </c>
      <c r="O97">
        <f t="shared" si="24"/>
        <v>53</v>
      </c>
      <c r="P97">
        <f t="shared" si="25"/>
        <v>3189</v>
      </c>
    </row>
    <row r="98" spans="1:16" x14ac:dyDescent="0.35">
      <c r="A98" t="s">
        <v>414</v>
      </c>
      <c r="C98" t="str">
        <f t="shared" si="14"/>
        <v>2976</v>
      </c>
      <c r="D98" t="str">
        <f t="shared" si="15"/>
        <v>000f2f8c</v>
      </c>
      <c r="E98" t="str">
        <f t="shared" si="16"/>
        <v>00000000</v>
      </c>
      <c r="F98" t="str">
        <f t="shared" si="17"/>
        <v>00001111</v>
      </c>
      <c r="G98" t="str">
        <f t="shared" si="18"/>
        <v>00101111</v>
      </c>
      <c r="H98" t="str">
        <f t="shared" si="19"/>
        <v>10001100</v>
      </c>
      <c r="I98" t="str">
        <f t="shared" si="20"/>
        <v>00000000000011110010111110001100</v>
      </c>
      <c r="J98" t="str">
        <f t="shared" si="13"/>
        <v>f</v>
      </c>
      <c r="K98" t="str">
        <f t="shared" si="21"/>
        <v>101111</v>
      </c>
      <c r="L98" t="str">
        <f t="shared" si="22"/>
        <v>100011</v>
      </c>
      <c r="M98" t="str">
        <f>LOOKUP(J98,Lookups!$A$27:$A$42,Lookups!$B$27:$B$42)</f>
        <v>s</v>
      </c>
      <c r="N98">
        <f t="shared" si="23"/>
        <v>47</v>
      </c>
      <c r="O98">
        <f t="shared" si="24"/>
        <v>35</v>
      </c>
      <c r="P98">
        <f t="shared" si="25"/>
        <v>3043</v>
      </c>
    </row>
    <row r="99" spans="1:16" x14ac:dyDescent="0.35">
      <c r="A99" t="s">
        <v>415</v>
      </c>
      <c r="C99" t="str">
        <f t="shared" si="14"/>
        <v>2977</v>
      </c>
      <c r="D99" t="str">
        <f t="shared" si="15"/>
        <v>800b2e2c</v>
      </c>
      <c r="E99" t="str">
        <f t="shared" si="16"/>
        <v>10000000</v>
      </c>
      <c r="F99" t="str">
        <f t="shared" si="17"/>
        <v>00001011</v>
      </c>
      <c r="G99" t="str">
        <f t="shared" si="18"/>
        <v>00101110</v>
      </c>
      <c r="H99" t="str">
        <f t="shared" si="19"/>
        <v>00101100</v>
      </c>
      <c r="I99" t="str">
        <f t="shared" si="20"/>
        <v>10000000000010110010111000101100</v>
      </c>
      <c r="J99" t="str">
        <f t="shared" si="13"/>
        <v>b</v>
      </c>
      <c r="K99" t="str">
        <f t="shared" si="21"/>
        <v>101110</v>
      </c>
      <c r="L99" t="str">
        <f t="shared" si="22"/>
        <v>001011</v>
      </c>
      <c r="M99" t="str">
        <f>LOOKUP(J99,Lookups!$A$27:$A$42,Lookups!$B$27:$B$42)</f>
        <v>t</v>
      </c>
      <c r="N99">
        <f t="shared" si="23"/>
        <v>46</v>
      </c>
      <c r="O99">
        <f t="shared" si="24"/>
        <v>11</v>
      </c>
      <c r="P99">
        <f t="shared" si="25"/>
        <v>2955</v>
      </c>
    </row>
    <row r="100" spans="1:16" x14ac:dyDescent="0.35">
      <c r="A100" t="s">
        <v>416</v>
      </c>
      <c r="C100" t="str">
        <f t="shared" si="14"/>
        <v>2978</v>
      </c>
      <c r="D100" t="str">
        <f t="shared" si="15"/>
        <v>00081000</v>
      </c>
      <c r="E100" t="str">
        <f t="shared" si="16"/>
        <v>00000000</v>
      </c>
      <c r="F100" t="str">
        <f t="shared" si="17"/>
        <v>00001000</v>
      </c>
      <c r="G100" t="str">
        <f t="shared" si="18"/>
        <v>00010000</v>
      </c>
      <c r="H100" t="str">
        <f t="shared" si="19"/>
        <v>00000000</v>
      </c>
      <c r="I100" t="str">
        <f t="shared" si="20"/>
        <v>00000000000010000001000000000000</v>
      </c>
      <c r="J100" t="str">
        <f t="shared" si="13"/>
        <v>8</v>
      </c>
      <c r="K100" t="str">
        <f t="shared" si="21"/>
        <v>010000</v>
      </c>
      <c r="L100" t="str">
        <f t="shared" si="22"/>
        <v>000000</v>
      </c>
      <c r="M100" t="str">
        <f>LOOKUP(J100,Lookups!$A$27:$A$42,Lookups!$B$27:$B$42)</f>
        <v>p</v>
      </c>
      <c r="N100">
        <f t="shared" si="23"/>
        <v>16</v>
      </c>
      <c r="O100">
        <f t="shared" si="24"/>
        <v>0</v>
      </c>
      <c r="P100">
        <f t="shared" si="25"/>
        <v>1024</v>
      </c>
    </row>
    <row r="101" spans="1:16" x14ac:dyDescent="0.35">
      <c r="A101" t="s">
        <v>417</v>
      </c>
      <c r="C101" t="str">
        <f t="shared" si="14"/>
        <v>2979</v>
      </c>
      <c r="D101" t="str">
        <f t="shared" si="15"/>
        <v>00000004</v>
      </c>
      <c r="E101" t="str">
        <f t="shared" si="16"/>
        <v>00000000</v>
      </c>
      <c r="F101" t="str">
        <f t="shared" si="17"/>
        <v>00000000</v>
      </c>
      <c r="G101" t="str">
        <f t="shared" si="18"/>
        <v>00000000</v>
      </c>
      <c r="H101" t="str">
        <f t="shared" si="19"/>
        <v>00000100</v>
      </c>
      <c r="I101" t="str">
        <f t="shared" si="20"/>
        <v>00000000000000000000000000000100</v>
      </c>
      <c r="J101" t="str">
        <f t="shared" si="13"/>
        <v>0</v>
      </c>
      <c r="K101" t="str">
        <f t="shared" si="21"/>
        <v>000000</v>
      </c>
      <c r="L101" t="str">
        <f t="shared" si="22"/>
        <v>000001</v>
      </c>
      <c r="M101" t="str">
        <f>LOOKUP(J101,Lookups!$A$27:$A$42,Lookups!$B$27:$B$42)</f>
        <v>z</v>
      </c>
      <c r="N101">
        <f t="shared" si="23"/>
        <v>0</v>
      </c>
      <c r="O101">
        <f t="shared" si="24"/>
        <v>1</v>
      </c>
      <c r="P101">
        <f t="shared" si="25"/>
        <v>1</v>
      </c>
    </row>
    <row r="102" spans="1:16" x14ac:dyDescent="0.35">
      <c r="A102" t="s">
        <v>418</v>
      </c>
      <c r="C102" t="str">
        <f t="shared" si="14"/>
        <v>2980</v>
      </c>
      <c r="D102" t="str">
        <f t="shared" si="15"/>
        <v>00081800</v>
      </c>
      <c r="E102" t="str">
        <f t="shared" si="16"/>
        <v>00000000</v>
      </c>
      <c r="F102" t="str">
        <f t="shared" si="17"/>
        <v>00001000</v>
      </c>
      <c r="G102" t="str">
        <f t="shared" si="18"/>
        <v>00011000</v>
      </c>
      <c r="H102" t="str">
        <f t="shared" si="19"/>
        <v>00000000</v>
      </c>
      <c r="I102" t="str">
        <f t="shared" si="20"/>
        <v>00000000000010000001100000000000</v>
      </c>
      <c r="J102" t="str">
        <f t="shared" si="13"/>
        <v>8</v>
      </c>
      <c r="K102" t="str">
        <f t="shared" si="21"/>
        <v>011000</v>
      </c>
      <c r="L102" t="str">
        <f t="shared" si="22"/>
        <v>000000</v>
      </c>
      <c r="M102" t="str">
        <f>LOOKUP(J102,Lookups!$A$27:$A$42,Lookups!$B$27:$B$42)</f>
        <v>p</v>
      </c>
      <c r="N102">
        <f t="shared" si="23"/>
        <v>24</v>
      </c>
      <c r="O102">
        <f t="shared" si="24"/>
        <v>0</v>
      </c>
      <c r="P102">
        <f t="shared" si="25"/>
        <v>1536</v>
      </c>
    </row>
    <row r="103" spans="1:16" x14ac:dyDescent="0.35">
      <c r="A103" t="s">
        <v>419</v>
      </c>
      <c r="C103" t="str">
        <f t="shared" si="14"/>
        <v>2981</v>
      </c>
      <c r="D103" t="str">
        <f t="shared" si="15"/>
        <v>00032e28</v>
      </c>
      <c r="E103" t="str">
        <f t="shared" si="16"/>
        <v>00000000</v>
      </c>
      <c r="F103" t="str">
        <f t="shared" si="17"/>
        <v>00000011</v>
      </c>
      <c r="G103" t="str">
        <f t="shared" si="18"/>
        <v>00101110</v>
      </c>
      <c r="H103" t="str">
        <f t="shared" si="19"/>
        <v>00101000</v>
      </c>
      <c r="I103" t="str">
        <f t="shared" si="20"/>
        <v>00000000000000110010111000101000</v>
      </c>
      <c r="J103" t="str">
        <f t="shared" si="13"/>
        <v>3</v>
      </c>
      <c r="K103" t="str">
        <f t="shared" si="21"/>
        <v>101110</v>
      </c>
      <c r="L103" t="str">
        <f t="shared" si="22"/>
        <v>001010</v>
      </c>
      <c r="M103" t="str">
        <f>LOOKUP(J103,Lookups!$A$27:$A$42,Lookups!$B$27:$B$42)</f>
        <v>r</v>
      </c>
      <c r="N103">
        <f t="shared" si="23"/>
        <v>46</v>
      </c>
      <c r="O103">
        <f t="shared" si="24"/>
        <v>10</v>
      </c>
      <c r="P103">
        <f t="shared" si="25"/>
        <v>2954</v>
      </c>
    </row>
    <row r="104" spans="1:16" x14ac:dyDescent="0.35">
      <c r="A104" t="s">
        <v>420</v>
      </c>
      <c r="C104" t="str">
        <f t="shared" si="14"/>
        <v>2982</v>
      </c>
      <c r="D104" t="str">
        <f t="shared" si="15"/>
        <v>000a2e68</v>
      </c>
      <c r="E104" t="str">
        <f t="shared" si="16"/>
        <v>00000000</v>
      </c>
      <c r="F104" t="str">
        <f t="shared" si="17"/>
        <v>00001010</v>
      </c>
      <c r="G104" t="str">
        <f t="shared" si="18"/>
        <v>00101110</v>
      </c>
      <c r="H104" t="str">
        <f t="shared" si="19"/>
        <v>01101000</v>
      </c>
      <c r="I104" t="str">
        <f t="shared" si="20"/>
        <v>00000000000010100010111001101000</v>
      </c>
      <c r="J104" t="str">
        <f t="shared" si="13"/>
        <v>a</v>
      </c>
      <c r="K104" t="str">
        <f t="shared" si="21"/>
        <v>101110</v>
      </c>
      <c r="L104" t="str">
        <f t="shared" si="22"/>
        <v>011010</v>
      </c>
      <c r="M104" t="str">
        <f>LOOKUP(J104,Lookups!$A$27:$A$42,Lookups!$B$27:$B$42)</f>
        <v>u</v>
      </c>
      <c r="N104">
        <f t="shared" si="23"/>
        <v>46</v>
      </c>
      <c r="O104">
        <f t="shared" si="24"/>
        <v>26</v>
      </c>
      <c r="P104">
        <f t="shared" si="25"/>
        <v>2970</v>
      </c>
    </row>
    <row r="105" spans="1:16" x14ac:dyDescent="0.35">
      <c r="A105" t="s">
        <v>421</v>
      </c>
      <c r="C105" t="str">
        <f t="shared" si="14"/>
        <v>2983</v>
      </c>
      <c r="D105" t="str">
        <f t="shared" si="15"/>
        <v>000d33b4</v>
      </c>
      <c r="E105" t="str">
        <f t="shared" si="16"/>
        <v>00000000</v>
      </c>
      <c r="F105" t="str">
        <f t="shared" si="17"/>
        <v>00001101</v>
      </c>
      <c r="G105" t="str">
        <f t="shared" si="18"/>
        <v>00110011</v>
      </c>
      <c r="H105" t="str">
        <f t="shared" si="19"/>
        <v>10110100</v>
      </c>
      <c r="I105" t="str">
        <f t="shared" si="20"/>
        <v>00000000000011010011001110110100</v>
      </c>
      <c r="J105" t="str">
        <f t="shared" si="13"/>
        <v>d</v>
      </c>
      <c r="K105" t="str">
        <f t="shared" si="21"/>
        <v>110011</v>
      </c>
      <c r="L105" t="str">
        <f t="shared" si="22"/>
        <v>101101</v>
      </c>
      <c r="M105" t="str">
        <f>LOOKUP(J105,Lookups!$A$27:$A$42,Lookups!$B$27:$B$42)</f>
        <v>c</v>
      </c>
      <c r="N105">
        <f t="shared" si="23"/>
        <v>51</v>
      </c>
      <c r="O105">
        <f t="shared" si="24"/>
        <v>45</v>
      </c>
      <c r="P105">
        <f t="shared" si="25"/>
        <v>3309</v>
      </c>
    </row>
    <row r="106" spans="1:16" x14ac:dyDescent="0.35">
      <c r="A106" t="s">
        <v>422</v>
      </c>
      <c r="C106" t="str">
        <f t="shared" si="14"/>
        <v>2984</v>
      </c>
      <c r="D106" t="str">
        <f t="shared" si="15"/>
        <v>00080c00</v>
      </c>
      <c r="E106" t="str">
        <f t="shared" si="16"/>
        <v>00000000</v>
      </c>
      <c r="F106" t="str">
        <f t="shared" si="17"/>
        <v>00001000</v>
      </c>
      <c r="G106" t="str">
        <f t="shared" si="18"/>
        <v>00001100</v>
      </c>
      <c r="H106" t="str">
        <f t="shared" si="19"/>
        <v>00000000</v>
      </c>
      <c r="I106" t="str">
        <f t="shared" si="20"/>
        <v>00000000000010000000110000000000</v>
      </c>
      <c r="J106" t="str">
        <f t="shared" si="13"/>
        <v>8</v>
      </c>
      <c r="K106" t="str">
        <f t="shared" si="21"/>
        <v>001100</v>
      </c>
      <c r="L106" t="str">
        <f t="shared" si="22"/>
        <v>000000</v>
      </c>
      <c r="M106" t="str">
        <f>LOOKUP(J106,Lookups!$A$27:$A$42,Lookups!$B$27:$B$42)</f>
        <v>p</v>
      </c>
      <c r="N106">
        <f t="shared" si="23"/>
        <v>12</v>
      </c>
      <c r="O106">
        <f t="shared" si="24"/>
        <v>0</v>
      </c>
      <c r="P106">
        <f t="shared" si="25"/>
        <v>768</v>
      </c>
    </row>
    <row r="107" spans="1:16" x14ac:dyDescent="0.35">
      <c r="A107" t="s">
        <v>423</v>
      </c>
      <c r="C107" t="str">
        <f t="shared" si="14"/>
        <v>2985</v>
      </c>
      <c r="D107" t="str">
        <f t="shared" si="15"/>
        <v>00000058</v>
      </c>
      <c r="E107" t="str">
        <f t="shared" si="16"/>
        <v>00000000</v>
      </c>
      <c r="F107" t="str">
        <f t="shared" si="17"/>
        <v>00000000</v>
      </c>
      <c r="G107" t="str">
        <f t="shared" si="18"/>
        <v>00000000</v>
      </c>
      <c r="H107" t="str">
        <f t="shared" si="19"/>
        <v>01011000</v>
      </c>
      <c r="I107" t="str">
        <f t="shared" si="20"/>
        <v>00000000000000000000000001011000</v>
      </c>
      <c r="J107" t="str">
        <f t="shared" si="13"/>
        <v>0</v>
      </c>
      <c r="K107" t="str">
        <f t="shared" si="21"/>
        <v>000000</v>
      </c>
      <c r="L107" t="str">
        <f t="shared" si="22"/>
        <v>010110</v>
      </c>
      <c r="M107" t="str">
        <f>LOOKUP(J107,Lookups!$A$27:$A$42,Lookups!$B$27:$B$42)</f>
        <v>z</v>
      </c>
      <c r="N107">
        <f t="shared" si="23"/>
        <v>0</v>
      </c>
      <c r="O107">
        <f t="shared" si="24"/>
        <v>22</v>
      </c>
      <c r="P107">
        <f t="shared" si="25"/>
        <v>22</v>
      </c>
    </row>
    <row r="108" spans="1:16" x14ac:dyDescent="0.35">
      <c r="A108" t="s">
        <v>424</v>
      </c>
      <c r="C108" t="str">
        <f t="shared" si="14"/>
        <v>2986</v>
      </c>
      <c r="D108" t="str">
        <f t="shared" si="15"/>
        <v>00081800</v>
      </c>
      <c r="E108" t="str">
        <f t="shared" si="16"/>
        <v>00000000</v>
      </c>
      <c r="F108" t="str">
        <f t="shared" si="17"/>
        <v>00001000</v>
      </c>
      <c r="G108" t="str">
        <f t="shared" si="18"/>
        <v>00011000</v>
      </c>
      <c r="H108" t="str">
        <f t="shared" si="19"/>
        <v>00000000</v>
      </c>
      <c r="I108" t="str">
        <f t="shared" si="20"/>
        <v>00000000000010000001100000000000</v>
      </c>
      <c r="J108" t="str">
        <f t="shared" si="13"/>
        <v>8</v>
      </c>
      <c r="K108" t="str">
        <f t="shared" si="21"/>
        <v>011000</v>
      </c>
      <c r="L108" t="str">
        <f t="shared" si="22"/>
        <v>000000</v>
      </c>
      <c r="M108" t="str">
        <f>LOOKUP(J108,Lookups!$A$27:$A$42,Lookups!$B$27:$B$42)</f>
        <v>p</v>
      </c>
      <c r="N108">
        <f t="shared" si="23"/>
        <v>24</v>
      </c>
      <c r="O108">
        <f t="shared" si="24"/>
        <v>0</v>
      </c>
      <c r="P108">
        <f t="shared" si="25"/>
        <v>1536</v>
      </c>
    </row>
    <row r="109" spans="1:16" x14ac:dyDescent="0.35">
      <c r="A109" t="s">
        <v>425</v>
      </c>
      <c r="C109" t="str">
        <f t="shared" si="14"/>
        <v>2987</v>
      </c>
      <c r="D109" t="str">
        <f t="shared" si="15"/>
        <v>00032e28</v>
      </c>
      <c r="E109" t="str">
        <f t="shared" si="16"/>
        <v>00000000</v>
      </c>
      <c r="F109" t="str">
        <f t="shared" si="17"/>
        <v>00000011</v>
      </c>
      <c r="G109" t="str">
        <f t="shared" si="18"/>
        <v>00101110</v>
      </c>
      <c r="H109" t="str">
        <f t="shared" si="19"/>
        <v>00101000</v>
      </c>
      <c r="I109" t="str">
        <f t="shared" si="20"/>
        <v>00000000000000110010111000101000</v>
      </c>
      <c r="J109" t="str">
        <f t="shared" si="13"/>
        <v>3</v>
      </c>
      <c r="K109" t="str">
        <f t="shared" si="21"/>
        <v>101110</v>
      </c>
      <c r="L109" t="str">
        <f t="shared" si="22"/>
        <v>001010</v>
      </c>
      <c r="M109" t="str">
        <f>LOOKUP(J109,Lookups!$A$27:$A$42,Lookups!$B$27:$B$42)</f>
        <v>r</v>
      </c>
      <c r="N109">
        <f t="shared" si="23"/>
        <v>46</v>
      </c>
      <c r="O109">
        <f t="shared" si="24"/>
        <v>10</v>
      </c>
      <c r="P109">
        <f t="shared" si="25"/>
        <v>2954</v>
      </c>
    </row>
    <row r="110" spans="1:16" x14ac:dyDescent="0.35">
      <c r="A110" t="s">
        <v>426</v>
      </c>
      <c r="C110" t="str">
        <f t="shared" si="14"/>
        <v>2988</v>
      </c>
      <c r="D110" t="str">
        <f t="shared" si="15"/>
        <v>000a2e68</v>
      </c>
      <c r="E110" t="str">
        <f t="shared" si="16"/>
        <v>00000000</v>
      </c>
      <c r="F110" t="str">
        <f t="shared" si="17"/>
        <v>00001010</v>
      </c>
      <c r="G110" t="str">
        <f t="shared" si="18"/>
        <v>00101110</v>
      </c>
      <c r="H110" t="str">
        <f t="shared" si="19"/>
        <v>01101000</v>
      </c>
      <c r="I110" t="str">
        <f t="shared" si="20"/>
        <v>00000000000010100010111001101000</v>
      </c>
      <c r="J110" t="str">
        <f t="shared" si="13"/>
        <v>a</v>
      </c>
      <c r="K110" t="str">
        <f t="shared" si="21"/>
        <v>101110</v>
      </c>
      <c r="L110" t="str">
        <f t="shared" si="22"/>
        <v>011010</v>
      </c>
      <c r="M110" t="str">
        <f>LOOKUP(J110,Lookups!$A$27:$A$42,Lookups!$B$27:$B$42)</f>
        <v>u</v>
      </c>
      <c r="N110">
        <f t="shared" si="23"/>
        <v>46</v>
      </c>
      <c r="O110">
        <f t="shared" si="24"/>
        <v>26</v>
      </c>
      <c r="P110">
        <f t="shared" si="25"/>
        <v>2970</v>
      </c>
    </row>
    <row r="111" spans="1:16" x14ac:dyDescent="0.35">
      <c r="A111" t="s">
        <v>427</v>
      </c>
      <c r="C111" t="str">
        <f t="shared" si="14"/>
        <v>2989</v>
      </c>
      <c r="D111" t="str">
        <f t="shared" si="15"/>
        <v>000d3274</v>
      </c>
      <c r="E111" t="str">
        <f t="shared" si="16"/>
        <v>00000000</v>
      </c>
      <c r="F111" t="str">
        <f t="shared" si="17"/>
        <v>00001101</v>
      </c>
      <c r="G111" t="str">
        <f t="shared" si="18"/>
        <v>00110010</v>
      </c>
      <c r="H111" t="str">
        <f t="shared" si="19"/>
        <v>01110100</v>
      </c>
      <c r="I111" t="str">
        <f t="shared" si="20"/>
        <v>00000000000011010011001001110100</v>
      </c>
      <c r="J111" t="str">
        <f t="shared" si="13"/>
        <v>d</v>
      </c>
      <c r="K111" t="str">
        <f t="shared" si="21"/>
        <v>110010</v>
      </c>
      <c r="L111" t="str">
        <f t="shared" si="22"/>
        <v>011101</v>
      </c>
      <c r="M111" t="str">
        <f>LOOKUP(J111,Lookups!$A$27:$A$42,Lookups!$B$27:$B$42)</f>
        <v>c</v>
      </c>
      <c r="N111">
        <f t="shared" si="23"/>
        <v>50</v>
      </c>
      <c r="O111">
        <f t="shared" si="24"/>
        <v>29</v>
      </c>
      <c r="P111">
        <f t="shared" si="25"/>
        <v>3229</v>
      </c>
    </row>
    <row r="112" spans="1:16" x14ac:dyDescent="0.35">
      <c r="A112" t="s">
        <v>428</v>
      </c>
      <c r="C112" t="str">
        <f t="shared" si="14"/>
        <v>2990</v>
      </c>
      <c r="D112" t="str">
        <f t="shared" si="15"/>
        <v>00033300</v>
      </c>
      <c r="E112" t="str">
        <f t="shared" si="16"/>
        <v>00000000</v>
      </c>
      <c r="F112" t="str">
        <f t="shared" si="17"/>
        <v>00000011</v>
      </c>
      <c r="G112" t="str">
        <f t="shared" si="18"/>
        <v>00110011</v>
      </c>
      <c r="H112" t="str">
        <f t="shared" si="19"/>
        <v>00000000</v>
      </c>
      <c r="I112" t="str">
        <f t="shared" si="20"/>
        <v>00000000000000110011001100000000</v>
      </c>
      <c r="J112" t="str">
        <f t="shared" si="13"/>
        <v>3</v>
      </c>
      <c r="K112" t="str">
        <f t="shared" si="21"/>
        <v>110011</v>
      </c>
      <c r="L112" t="str">
        <f t="shared" si="22"/>
        <v>000000</v>
      </c>
      <c r="M112" t="str">
        <f>LOOKUP(J112,Lookups!$A$27:$A$42,Lookups!$B$27:$B$42)</f>
        <v>r</v>
      </c>
      <c r="N112">
        <f t="shared" si="23"/>
        <v>51</v>
      </c>
      <c r="O112">
        <f t="shared" si="24"/>
        <v>0</v>
      </c>
      <c r="P112">
        <f t="shared" si="25"/>
        <v>3264</v>
      </c>
    </row>
    <row r="113" spans="1:16" x14ac:dyDescent="0.35">
      <c r="A113" t="s">
        <v>429</v>
      </c>
      <c r="C113" t="str">
        <f t="shared" si="14"/>
        <v>2991</v>
      </c>
      <c r="D113" t="str">
        <f t="shared" si="15"/>
        <v>000a3300</v>
      </c>
      <c r="E113" t="str">
        <f t="shared" si="16"/>
        <v>00000000</v>
      </c>
      <c r="F113" t="str">
        <f t="shared" si="17"/>
        <v>00001010</v>
      </c>
      <c r="G113" t="str">
        <f t="shared" si="18"/>
        <v>00110011</v>
      </c>
      <c r="H113" t="str">
        <f t="shared" si="19"/>
        <v>00000000</v>
      </c>
      <c r="I113" t="str">
        <f t="shared" si="20"/>
        <v>00000000000010100011001100000000</v>
      </c>
      <c r="J113" t="str">
        <f t="shared" si="13"/>
        <v>a</v>
      </c>
      <c r="K113" t="str">
        <f t="shared" si="21"/>
        <v>110011</v>
      </c>
      <c r="L113" t="str">
        <f t="shared" si="22"/>
        <v>000000</v>
      </c>
      <c r="M113" t="str">
        <f>LOOKUP(J113,Lookups!$A$27:$A$42,Lookups!$B$27:$B$42)</f>
        <v>u</v>
      </c>
      <c r="N113">
        <f t="shared" si="23"/>
        <v>51</v>
      </c>
      <c r="O113">
        <f t="shared" si="24"/>
        <v>0</v>
      </c>
      <c r="P113">
        <f t="shared" si="25"/>
        <v>3264</v>
      </c>
    </row>
    <row r="114" spans="1:16" x14ac:dyDescent="0.35">
      <c r="A114" t="s">
        <v>430</v>
      </c>
      <c r="C114" t="str">
        <f t="shared" si="14"/>
        <v>2992</v>
      </c>
      <c r="D114" t="str">
        <f t="shared" si="15"/>
        <v>20187e7e</v>
      </c>
      <c r="E114" t="str">
        <f t="shared" si="16"/>
        <v>00100000</v>
      </c>
      <c r="F114" t="str">
        <f t="shared" si="17"/>
        <v>00011000</v>
      </c>
      <c r="G114" t="str">
        <f t="shared" si="18"/>
        <v>01111110</v>
      </c>
      <c r="H114" t="str">
        <f t="shared" si="19"/>
        <v>01111110</v>
      </c>
      <c r="I114" t="str">
        <f t="shared" si="20"/>
        <v>00100000000110000111111001111110</v>
      </c>
      <c r="J114" t="str">
        <f t="shared" si="13"/>
        <v>8</v>
      </c>
      <c r="K114" t="str">
        <f t="shared" si="21"/>
        <v>111110</v>
      </c>
      <c r="L114" t="str">
        <f t="shared" si="22"/>
        <v>011111</v>
      </c>
      <c r="M114" t="str">
        <f>LOOKUP(J114,Lookups!$A$27:$A$42,Lookups!$B$27:$B$42)</f>
        <v>p</v>
      </c>
      <c r="N114">
        <f t="shared" si="23"/>
        <v>62</v>
      </c>
      <c r="O114">
        <f t="shared" si="24"/>
        <v>31</v>
      </c>
      <c r="P114">
        <f t="shared" si="25"/>
        <v>3999</v>
      </c>
    </row>
    <row r="115" spans="1:16" x14ac:dyDescent="0.35">
      <c r="A115" t="s">
        <v>431</v>
      </c>
      <c r="C115" t="str">
        <f t="shared" si="14"/>
        <v>2993</v>
      </c>
      <c r="D115" t="str">
        <f t="shared" si="15"/>
        <v>00081800</v>
      </c>
      <c r="E115" t="str">
        <f t="shared" si="16"/>
        <v>00000000</v>
      </c>
      <c r="F115" t="str">
        <f t="shared" si="17"/>
        <v>00001000</v>
      </c>
      <c r="G115" t="str">
        <f t="shared" si="18"/>
        <v>00011000</v>
      </c>
      <c r="H115" t="str">
        <f t="shared" si="19"/>
        <v>00000000</v>
      </c>
      <c r="I115" t="str">
        <f t="shared" si="20"/>
        <v>00000000000010000001100000000000</v>
      </c>
      <c r="J115" t="str">
        <f t="shared" si="13"/>
        <v>8</v>
      </c>
      <c r="K115" t="str">
        <f t="shared" si="21"/>
        <v>011000</v>
      </c>
      <c r="L115" t="str">
        <f t="shared" si="22"/>
        <v>000000</v>
      </c>
      <c r="M115" t="str">
        <f>LOOKUP(J115,Lookups!$A$27:$A$42,Lookups!$B$27:$B$42)</f>
        <v>p</v>
      </c>
      <c r="N115">
        <f t="shared" si="23"/>
        <v>24</v>
      </c>
      <c r="O115">
        <f t="shared" si="24"/>
        <v>0</v>
      </c>
      <c r="P115">
        <f t="shared" si="25"/>
        <v>1536</v>
      </c>
    </row>
    <row r="116" spans="1:16" x14ac:dyDescent="0.35">
      <c r="A116" t="s">
        <v>432</v>
      </c>
      <c r="C116" t="str">
        <f t="shared" si="14"/>
        <v>2994</v>
      </c>
      <c r="D116" t="str">
        <f t="shared" si="15"/>
        <v>0001327c</v>
      </c>
      <c r="E116" t="str">
        <f t="shared" si="16"/>
        <v>00000000</v>
      </c>
      <c r="F116" t="str">
        <f t="shared" si="17"/>
        <v>00000001</v>
      </c>
      <c r="G116" t="str">
        <f t="shared" si="18"/>
        <v>00110010</v>
      </c>
      <c r="H116" t="str">
        <f t="shared" si="19"/>
        <v>01111100</v>
      </c>
      <c r="I116" t="str">
        <f t="shared" si="20"/>
        <v>00000000000000010011001001111100</v>
      </c>
      <c r="J116" t="str">
        <f t="shared" si="13"/>
        <v>1</v>
      </c>
      <c r="K116" t="str">
        <f t="shared" si="21"/>
        <v>110010</v>
      </c>
      <c r="L116" t="str">
        <f t="shared" si="22"/>
        <v>011111</v>
      </c>
      <c r="M116" t="str">
        <f>LOOKUP(J116,Lookups!$A$27:$A$42,Lookups!$B$27:$B$42)</f>
        <v>b</v>
      </c>
      <c r="N116">
        <f t="shared" si="23"/>
        <v>50</v>
      </c>
      <c r="O116">
        <f t="shared" si="24"/>
        <v>31</v>
      </c>
      <c r="P116">
        <f t="shared" si="25"/>
        <v>3231</v>
      </c>
    </row>
    <row r="117" spans="1:16" x14ac:dyDescent="0.35">
      <c r="A117" t="s">
        <v>433</v>
      </c>
      <c r="C117" t="str">
        <f t="shared" si="14"/>
        <v>2995</v>
      </c>
      <c r="D117" t="str">
        <f t="shared" si="15"/>
        <v>000e2e8c</v>
      </c>
      <c r="E117" t="str">
        <f t="shared" si="16"/>
        <v>00000000</v>
      </c>
      <c r="F117" t="str">
        <f t="shared" si="17"/>
        <v>00001110</v>
      </c>
      <c r="G117" t="str">
        <f t="shared" si="18"/>
        <v>00101110</v>
      </c>
      <c r="H117" t="str">
        <f t="shared" si="19"/>
        <v>10001100</v>
      </c>
      <c r="I117" t="str">
        <f t="shared" si="20"/>
        <v>00000000000011100010111010001100</v>
      </c>
      <c r="J117" t="str">
        <f t="shared" si="13"/>
        <v>e</v>
      </c>
      <c r="K117" t="str">
        <f t="shared" si="21"/>
        <v>101110</v>
      </c>
      <c r="L117" t="str">
        <f t="shared" si="22"/>
        <v>100011</v>
      </c>
      <c r="M117" t="str">
        <f>LOOKUP(J117,Lookups!$A$27:$A$42,Lookups!$B$27:$B$42)</f>
        <v>a</v>
      </c>
      <c r="N117">
        <f t="shared" si="23"/>
        <v>46</v>
      </c>
      <c r="O117">
        <f t="shared" si="24"/>
        <v>35</v>
      </c>
      <c r="P117">
        <f t="shared" si="25"/>
        <v>2979</v>
      </c>
    </row>
    <row r="118" spans="1:16" x14ac:dyDescent="0.35">
      <c r="A118" t="s">
        <v>434</v>
      </c>
      <c r="C118" t="str">
        <f t="shared" si="14"/>
        <v>2996</v>
      </c>
      <c r="D118" t="str">
        <f t="shared" si="15"/>
        <v>000d327c</v>
      </c>
      <c r="E118" t="str">
        <f t="shared" si="16"/>
        <v>00000000</v>
      </c>
      <c r="F118" t="str">
        <f t="shared" si="17"/>
        <v>00001101</v>
      </c>
      <c r="G118" t="str">
        <f t="shared" si="18"/>
        <v>00110010</v>
      </c>
      <c r="H118" t="str">
        <f t="shared" si="19"/>
        <v>01111100</v>
      </c>
      <c r="I118" t="str">
        <f t="shared" si="20"/>
        <v>00000000000011010011001001111100</v>
      </c>
      <c r="J118" t="str">
        <f t="shared" si="13"/>
        <v>d</v>
      </c>
      <c r="K118" t="str">
        <f t="shared" si="21"/>
        <v>110010</v>
      </c>
      <c r="L118" t="str">
        <f t="shared" si="22"/>
        <v>011111</v>
      </c>
      <c r="M118" t="str">
        <f>LOOKUP(J118,Lookups!$A$27:$A$42,Lookups!$B$27:$B$42)</f>
        <v>c</v>
      </c>
      <c r="N118">
        <f t="shared" si="23"/>
        <v>50</v>
      </c>
      <c r="O118">
        <f t="shared" si="24"/>
        <v>31</v>
      </c>
      <c r="P118">
        <f t="shared" si="25"/>
        <v>3231</v>
      </c>
    </row>
    <row r="119" spans="1:16" x14ac:dyDescent="0.35">
      <c r="A119" t="s">
        <v>435</v>
      </c>
      <c r="C119" t="str">
        <f t="shared" si="14"/>
        <v>2997</v>
      </c>
      <c r="D119" t="str">
        <f t="shared" si="15"/>
        <v>000a2ed8</v>
      </c>
      <c r="E119" t="str">
        <f t="shared" si="16"/>
        <v>00000000</v>
      </c>
      <c r="F119" t="str">
        <f t="shared" si="17"/>
        <v>00001010</v>
      </c>
      <c r="G119" t="str">
        <f t="shared" si="18"/>
        <v>00101110</v>
      </c>
      <c r="H119" t="str">
        <f t="shared" si="19"/>
        <v>11011000</v>
      </c>
      <c r="I119" t="str">
        <f t="shared" si="20"/>
        <v>00000000000010100010111011011000</v>
      </c>
      <c r="J119" t="str">
        <f t="shared" si="13"/>
        <v>a</v>
      </c>
      <c r="K119" t="str">
        <f t="shared" si="21"/>
        <v>101110</v>
      </c>
      <c r="L119" t="str">
        <f t="shared" si="22"/>
        <v>110110</v>
      </c>
      <c r="M119" t="str">
        <f>LOOKUP(J119,Lookups!$A$27:$A$42,Lookups!$B$27:$B$42)</f>
        <v>u</v>
      </c>
      <c r="N119">
        <f t="shared" si="23"/>
        <v>46</v>
      </c>
      <c r="O119">
        <f t="shared" si="24"/>
        <v>54</v>
      </c>
      <c r="P119">
        <f t="shared" si="25"/>
        <v>2998</v>
      </c>
    </row>
    <row r="120" spans="1:16" x14ac:dyDescent="0.35">
      <c r="A120" t="s">
        <v>436</v>
      </c>
      <c r="C120" t="str">
        <f t="shared" si="14"/>
        <v>2998</v>
      </c>
      <c r="D120" t="str">
        <f t="shared" si="15"/>
        <v>00032e28</v>
      </c>
      <c r="E120" t="str">
        <f t="shared" si="16"/>
        <v>00000000</v>
      </c>
      <c r="F120" t="str">
        <f t="shared" si="17"/>
        <v>00000011</v>
      </c>
      <c r="G120" t="str">
        <f t="shared" si="18"/>
        <v>00101110</v>
      </c>
      <c r="H120" t="str">
        <f t="shared" si="19"/>
        <v>00101000</v>
      </c>
      <c r="I120" t="str">
        <f t="shared" si="20"/>
        <v>00000000000000110010111000101000</v>
      </c>
      <c r="J120" t="str">
        <f t="shared" si="13"/>
        <v>3</v>
      </c>
      <c r="K120" t="str">
        <f t="shared" si="21"/>
        <v>101110</v>
      </c>
      <c r="L120" t="str">
        <f t="shared" si="22"/>
        <v>001010</v>
      </c>
      <c r="M120" t="str">
        <f>LOOKUP(J120,Lookups!$A$27:$A$42,Lookups!$B$27:$B$42)</f>
        <v>r</v>
      </c>
      <c r="N120">
        <f t="shared" si="23"/>
        <v>46</v>
      </c>
      <c r="O120">
        <f t="shared" si="24"/>
        <v>10</v>
      </c>
      <c r="P120">
        <f t="shared" si="25"/>
        <v>2954</v>
      </c>
    </row>
    <row r="121" spans="1:16" x14ac:dyDescent="0.35">
      <c r="A121" t="s">
        <v>437</v>
      </c>
      <c r="C121" t="str">
        <f t="shared" si="14"/>
        <v>2999</v>
      </c>
      <c r="D121" t="str">
        <f t="shared" si="15"/>
        <v>000a2e68</v>
      </c>
      <c r="E121" t="str">
        <f t="shared" si="16"/>
        <v>00000000</v>
      </c>
      <c r="F121" t="str">
        <f t="shared" si="17"/>
        <v>00001010</v>
      </c>
      <c r="G121" t="str">
        <f t="shared" si="18"/>
        <v>00101110</v>
      </c>
      <c r="H121" t="str">
        <f t="shared" si="19"/>
        <v>01101000</v>
      </c>
      <c r="I121" t="str">
        <f t="shared" si="20"/>
        <v>00000000000010100010111001101000</v>
      </c>
      <c r="J121" t="str">
        <f t="shared" si="13"/>
        <v>a</v>
      </c>
      <c r="K121" t="str">
        <f t="shared" si="21"/>
        <v>101110</v>
      </c>
      <c r="L121" t="str">
        <f t="shared" si="22"/>
        <v>011010</v>
      </c>
      <c r="M121" t="str">
        <f>LOOKUP(J121,Lookups!$A$27:$A$42,Lookups!$B$27:$B$42)</f>
        <v>u</v>
      </c>
      <c r="N121">
        <f t="shared" si="23"/>
        <v>46</v>
      </c>
      <c r="O121">
        <f t="shared" si="24"/>
        <v>26</v>
      </c>
      <c r="P121">
        <f t="shared" si="25"/>
        <v>2970</v>
      </c>
    </row>
    <row r="122" spans="1:16" x14ac:dyDescent="0.35">
      <c r="A122" t="s">
        <v>438</v>
      </c>
      <c r="C122" t="str">
        <f t="shared" si="14"/>
        <v>3000</v>
      </c>
      <c r="D122" t="str">
        <f t="shared" si="15"/>
        <v>000b2f2c</v>
      </c>
      <c r="E122" t="str">
        <f t="shared" si="16"/>
        <v>00000000</v>
      </c>
      <c r="F122" t="str">
        <f t="shared" si="17"/>
        <v>00001011</v>
      </c>
      <c r="G122" t="str">
        <f t="shared" si="18"/>
        <v>00101111</v>
      </c>
      <c r="H122" t="str">
        <f t="shared" si="19"/>
        <v>00101100</v>
      </c>
      <c r="I122" t="str">
        <f t="shared" si="20"/>
        <v>00000000000010110010111100101100</v>
      </c>
      <c r="J122" t="str">
        <f t="shared" si="13"/>
        <v>b</v>
      </c>
      <c r="K122" t="str">
        <f t="shared" si="21"/>
        <v>101111</v>
      </c>
      <c r="L122" t="str">
        <f t="shared" si="22"/>
        <v>001011</v>
      </c>
      <c r="M122" t="str">
        <f>LOOKUP(J122,Lookups!$A$27:$A$42,Lookups!$B$27:$B$42)</f>
        <v>t</v>
      </c>
      <c r="N122">
        <f t="shared" si="23"/>
        <v>47</v>
      </c>
      <c r="O122">
        <f t="shared" si="24"/>
        <v>11</v>
      </c>
      <c r="P122">
        <f t="shared" si="25"/>
        <v>3019</v>
      </c>
    </row>
    <row r="123" spans="1:16" x14ac:dyDescent="0.35">
      <c r="A123" t="s">
        <v>439</v>
      </c>
      <c r="C123" t="str">
        <f t="shared" si="14"/>
        <v>3001</v>
      </c>
      <c r="D123" t="str">
        <f t="shared" si="15"/>
        <v>000e33b4</v>
      </c>
      <c r="E123" t="str">
        <f t="shared" si="16"/>
        <v>00000000</v>
      </c>
      <c r="F123" t="str">
        <f t="shared" si="17"/>
        <v>00001110</v>
      </c>
      <c r="G123" t="str">
        <f t="shared" si="18"/>
        <v>00110011</v>
      </c>
      <c r="H123" t="str">
        <f t="shared" si="19"/>
        <v>10110100</v>
      </c>
      <c r="I123" t="str">
        <f t="shared" si="20"/>
        <v>00000000000011100011001110110100</v>
      </c>
      <c r="J123" t="str">
        <f t="shared" si="13"/>
        <v>e</v>
      </c>
      <c r="K123" t="str">
        <f t="shared" si="21"/>
        <v>110011</v>
      </c>
      <c r="L123" t="str">
        <f t="shared" si="22"/>
        <v>101101</v>
      </c>
      <c r="M123" t="str">
        <f>LOOKUP(J123,Lookups!$A$27:$A$42,Lookups!$B$27:$B$42)</f>
        <v>a</v>
      </c>
      <c r="N123">
        <f t="shared" si="23"/>
        <v>51</v>
      </c>
      <c r="O123">
        <f t="shared" si="24"/>
        <v>45</v>
      </c>
      <c r="P123">
        <f t="shared" si="25"/>
        <v>3309</v>
      </c>
    </row>
    <row r="124" spans="1:16" x14ac:dyDescent="0.35">
      <c r="A124" t="s">
        <v>440</v>
      </c>
      <c r="C124" t="str">
        <f t="shared" si="14"/>
        <v>3002</v>
      </c>
      <c r="D124" t="str">
        <f t="shared" si="15"/>
        <v>000c33b4</v>
      </c>
      <c r="E124" t="str">
        <f t="shared" si="16"/>
        <v>00000000</v>
      </c>
      <c r="F124" t="str">
        <f t="shared" si="17"/>
        <v>00001100</v>
      </c>
      <c r="G124" t="str">
        <f t="shared" si="18"/>
        <v>00110011</v>
      </c>
      <c r="H124" t="str">
        <f t="shared" si="19"/>
        <v>10110100</v>
      </c>
      <c r="I124" t="str">
        <f t="shared" si="20"/>
        <v>00000000000011000011001110110100</v>
      </c>
      <c r="J124" t="str">
        <f t="shared" si="13"/>
        <v>c</v>
      </c>
      <c r="K124" t="str">
        <f t="shared" si="21"/>
        <v>110011</v>
      </c>
      <c r="L124" t="str">
        <f t="shared" si="22"/>
        <v>101101</v>
      </c>
      <c r="M124" t="str">
        <f>LOOKUP(J124,Lookups!$A$27:$A$42,Lookups!$B$27:$B$42)</f>
        <v>h</v>
      </c>
      <c r="N124">
        <f t="shared" si="23"/>
        <v>51</v>
      </c>
      <c r="O124">
        <f t="shared" si="24"/>
        <v>45</v>
      </c>
      <c r="P124">
        <f t="shared" si="25"/>
        <v>3309</v>
      </c>
    </row>
    <row r="125" spans="1:16" x14ac:dyDescent="0.35">
      <c r="A125" t="s">
        <v>441</v>
      </c>
      <c r="C125" t="str">
        <f t="shared" si="14"/>
        <v>3003</v>
      </c>
      <c r="D125" t="str">
        <f t="shared" si="15"/>
        <v>00092df8</v>
      </c>
      <c r="E125" t="str">
        <f t="shared" si="16"/>
        <v>00000000</v>
      </c>
      <c r="F125" t="str">
        <f t="shared" si="17"/>
        <v>00001001</v>
      </c>
      <c r="G125" t="str">
        <f t="shared" si="18"/>
        <v>00101101</v>
      </c>
      <c r="H125" t="str">
        <f t="shared" si="19"/>
        <v>11111000</v>
      </c>
      <c r="I125" t="str">
        <f t="shared" si="20"/>
        <v>00000000000010010010110111111000</v>
      </c>
      <c r="J125" t="str">
        <f t="shared" si="13"/>
        <v>9</v>
      </c>
      <c r="K125" t="str">
        <f t="shared" si="21"/>
        <v>101101</v>
      </c>
      <c r="L125" t="str">
        <f t="shared" si="22"/>
        <v>111110</v>
      </c>
      <c r="M125" t="str">
        <f>LOOKUP(J125,Lookups!$A$27:$A$42,Lookups!$B$27:$B$42)</f>
        <v>e</v>
      </c>
      <c r="N125">
        <f t="shared" si="23"/>
        <v>45</v>
      </c>
      <c r="O125">
        <f t="shared" si="24"/>
        <v>62</v>
      </c>
      <c r="P125">
        <f t="shared" si="25"/>
        <v>2942</v>
      </c>
    </row>
    <row r="126" spans="1:16" x14ac:dyDescent="0.35">
      <c r="A126" t="s">
        <v>442</v>
      </c>
      <c r="C126" t="str">
        <f t="shared" si="14"/>
        <v>3004</v>
      </c>
      <c r="D126" t="str">
        <f t="shared" si="15"/>
        <v>000f2ea4</v>
      </c>
      <c r="E126" t="str">
        <f t="shared" si="16"/>
        <v>00000000</v>
      </c>
      <c r="F126" t="str">
        <f t="shared" si="17"/>
        <v>00001111</v>
      </c>
      <c r="G126" t="str">
        <f t="shared" si="18"/>
        <v>00101110</v>
      </c>
      <c r="H126" t="str">
        <f t="shared" si="19"/>
        <v>10100100</v>
      </c>
      <c r="I126" t="str">
        <f t="shared" si="20"/>
        <v>00000000000011110010111010100100</v>
      </c>
      <c r="J126" t="str">
        <f t="shared" si="13"/>
        <v>f</v>
      </c>
      <c r="K126" t="str">
        <f t="shared" si="21"/>
        <v>101110</v>
      </c>
      <c r="L126" t="str">
        <f t="shared" si="22"/>
        <v>101001</v>
      </c>
      <c r="M126" t="str">
        <f>LOOKUP(J126,Lookups!$A$27:$A$42,Lookups!$B$27:$B$42)</f>
        <v>s</v>
      </c>
      <c r="N126">
        <f t="shared" si="23"/>
        <v>46</v>
      </c>
      <c r="O126">
        <f t="shared" si="24"/>
        <v>41</v>
      </c>
      <c r="P126">
        <f t="shared" si="25"/>
        <v>2985</v>
      </c>
    </row>
    <row r="127" spans="1:16" x14ac:dyDescent="0.35">
      <c r="A127" t="s">
        <v>443</v>
      </c>
      <c r="C127" t="str">
        <f t="shared" si="14"/>
        <v>3005</v>
      </c>
      <c r="D127" t="str">
        <f t="shared" si="15"/>
        <v>000b2f60</v>
      </c>
      <c r="E127" t="str">
        <f t="shared" si="16"/>
        <v>00000000</v>
      </c>
      <c r="F127" t="str">
        <f t="shared" si="17"/>
        <v>00001011</v>
      </c>
      <c r="G127" t="str">
        <f t="shared" si="18"/>
        <v>00101111</v>
      </c>
      <c r="H127" t="str">
        <f t="shared" si="19"/>
        <v>01100000</v>
      </c>
      <c r="I127" t="str">
        <f t="shared" si="20"/>
        <v>00000000000010110010111101100000</v>
      </c>
      <c r="J127" t="str">
        <f t="shared" si="13"/>
        <v>b</v>
      </c>
      <c r="K127" t="str">
        <f t="shared" si="21"/>
        <v>101111</v>
      </c>
      <c r="L127" t="str">
        <f t="shared" si="22"/>
        <v>011000</v>
      </c>
      <c r="M127" t="str">
        <f>LOOKUP(J127,Lookups!$A$27:$A$42,Lookups!$B$27:$B$42)</f>
        <v>t</v>
      </c>
      <c r="N127">
        <f t="shared" si="23"/>
        <v>47</v>
      </c>
      <c r="O127">
        <f t="shared" si="24"/>
        <v>24</v>
      </c>
      <c r="P127">
        <f t="shared" si="25"/>
        <v>3032</v>
      </c>
    </row>
    <row r="128" spans="1:16" x14ac:dyDescent="0.35">
      <c r="A128" t="s">
        <v>444</v>
      </c>
      <c r="C128" t="str">
        <f t="shared" si="14"/>
        <v>3006</v>
      </c>
      <c r="D128" t="str">
        <f t="shared" si="15"/>
        <v>00080c00</v>
      </c>
      <c r="E128" t="str">
        <f t="shared" si="16"/>
        <v>00000000</v>
      </c>
      <c r="F128" t="str">
        <f t="shared" si="17"/>
        <v>00001000</v>
      </c>
      <c r="G128" t="str">
        <f t="shared" si="18"/>
        <v>00001100</v>
      </c>
      <c r="H128" t="str">
        <f t="shared" si="19"/>
        <v>00000000</v>
      </c>
      <c r="I128" t="str">
        <f t="shared" si="20"/>
        <v>00000000000010000000110000000000</v>
      </c>
      <c r="J128" t="str">
        <f t="shared" si="13"/>
        <v>8</v>
      </c>
      <c r="K128" t="str">
        <f t="shared" si="21"/>
        <v>001100</v>
      </c>
      <c r="L128" t="str">
        <f t="shared" si="22"/>
        <v>000000</v>
      </c>
      <c r="M128" t="str">
        <f>LOOKUP(J128,Lookups!$A$27:$A$42,Lookups!$B$27:$B$42)</f>
        <v>p</v>
      </c>
      <c r="N128">
        <f t="shared" si="23"/>
        <v>12</v>
      </c>
      <c r="O128">
        <f t="shared" si="24"/>
        <v>0</v>
      </c>
      <c r="P128">
        <f t="shared" si="25"/>
        <v>768</v>
      </c>
    </row>
    <row r="129" spans="1:16" x14ac:dyDescent="0.35">
      <c r="A129" t="s">
        <v>445</v>
      </c>
      <c r="C129" t="str">
        <f t="shared" si="14"/>
        <v>3007</v>
      </c>
      <c r="D129" t="str">
        <f t="shared" si="15"/>
        <v>00000010</v>
      </c>
      <c r="E129" t="str">
        <f t="shared" si="16"/>
        <v>00000000</v>
      </c>
      <c r="F129" t="str">
        <f t="shared" si="17"/>
        <v>00000000</v>
      </c>
      <c r="G129" t="str">
        <f t="shared" si="18"/>
        <v>00000000</v>
      </c>
      <c r="H129" t="str">
        <f t="shared" si="19"/>
        <v>00010000</v>
      </c>
      <c r="I129" t="str">
        <f t="shared" si="20"/>
        <v>00000000000000000000000000010000</v>
      </c>
      <c r="J129" t="str">
        <f t="shared" si="13"/>
        <v>0</v>
      </c>
      <c r="K129" t="str">
        <f t="shared" si="21"/>
        <v>000000</v>
      </c>
      <c r="L129" t="str">
        <f t="shared" si="22"/>
        <v>000100</v>
      </c>
      <c r="M129" t="str">
        <f>LOOKUP(J129,Lookups!$A$27:$A$42,Lookups!$B$27:$B$42)</f>
        <v>z</v>
      </c>
      <c r="N129">
        <f t="shared" si="23"/>
        <v>0</v>
      </c>
      <c r="O129">
        <f t="shared" si="24"/>
        <v>4</v>
      </c>
      <c r="P129">
        <f t="shared" si="25"/>
        <v>4</v>
      </c>
    </row>
    <row r="130" spans="1:16" x14ac:dyDescent="0.35">
      <c r="A130" t="s">
        <v>446</v>
      </c>
      <c r="C130" t="str">
        <f t="shared" si="14"/>
        <v>3008</v>
      </c>
      <c r="D130" t="str">
        <f t="shared" si="15"/>
        <v>00081800</v>
      </c>
      <c r="E130" t="str">
        <f t="shared" si="16"/>
        <v>00000000</v>
      </c>
      <c r="F130" t="str">
        <f t="shared" si="17"/>
        <v>00001000</v>
      </c>
      <c r="G130" t="str">
        <f t="shared" si="18"/>
        <v>00011000</v>
      </c>
      <c r="H130" t="str">
        <f t="shared" si="19"/>
        <v>00000000</v>
      </c>
      <c r="I130" t="str">
        <f t="shared" si="20"/>
        <v>00000000000010000001100000000000</v>
      </c>
      <c r="J130" t="str">
        <f t="shared" ref="J130:J193" si="26">MID(D130,4,1)</f>
        <v>8</v>
      </c>
      <c r="K130" t="str">
        <f t="shared" si="21"/>
        <v>011000</v>
      </c>
      <c r="L130" t="str">
        <f t="shared" si="22"/>
        <v>000000</v>
      </c>
      <c r="M130" t="str">
        <f>LOOKUP(J130,Lookups!$A$27:$A$42,Lookups!$B$27:$B$42)</f>
        <v>p</v>
      </c>
      <c r="N130">
        <f t="shared" si="23"/>
        <v>24</v>
      </c>
      <c r="O130">
        <f t="shared" si="24"/>
        <v>0</v>
      </c>
      <c r="P130">
        <f t="shared" si="25"/>
        <v>1536</v>
      </c>
    </row>
    <row r="131" spans="1:16" x14ac:dyDescent="0.35">
      <c r="A131" t="s">
        <v>447</v>
      </c>
      <c r="C131" t="str">
        <f t="shared" ref="C131:C194" si="27">MID(A131,1,4)</f>
        <v>3009</v>
      </c>
      <c r="D131" t="str">
        <f t="shared" ref="D131:D194" si="28">MID(A131,8,20)</f>
        <v>00012f5c</v>
      </c>
      <c r="E131" t="str">
        <f t="shared" ref="E131:E194" si="29">HEX2BIN(MID(D131,1,2),8)</f>
        <v>00000000</v>
      </c>
      <c r="F131" t="str">
        <f t="shared" ref="F131:F194" si="30">HEX2BIN(MID(D131,3,2),8)</f>
        <v>00000001</v>
      </c>
      <c r="G131" t="str">
        <f t="shared" ref="G131:G194" si="31">HEX2BIN(MID(D131,5,2),8)</f>
        <v>00101111</v>
      </c>
      <c r="H131" t="str">
        <f t="shared" ref="H131:H194" si="32">HEX2BIN(MID(D131,7,2),8)</f>
        <v>01011100</v>
      </c>
      <c r="I131" t="str">
        <f t="shared" ref="I131:I194" si="33">CONCATENATE(E131,F131,G131,H131)</f>
        <v>00000000000000010010111101011100</v>
      </c>
      <c r="J131" t="str">
        <f t="shared" si="26"/>
        <v>1</v>
      </c>
      <c r="K131" t="str">
        <f t="shared" ref="K131:K194" si="34">MID(G131,3,6)</f>
        <v>101111</v>
      </c>
      <c r="L131" t="str">
        <f t="shared" ref="L131:L194" si="35">MID(H131,1,6)</f>
        <v>010111</v>
      </c>
      <c r="M131" t="str">
        <f>LOOKUP(J131,Lookups!$A$27:$A$42,Lookups!$B$27:$B$42)</f>
        <v>b</v>
      </c>
      <c r="N131">
        <f t="shared" ref="N131:N194" si="36">BIN2DEC(K131)</f>
        <v>47</v>
      </c>
      <c r="O131">
        <f t="shared" ref="O131:O194" si="37">BIN2DEC(L131)</f>
        <v>23</v>
      </c>
      <c r="P131">
        <f t="shared" ref="P131:P194" si="38">N131*64+O131</f>
        <v>3031</v>
      </c>
    </row>
    <row r="132" spans="1:16" x14ac:dyDescent="0.35">
      <c r="A132" t="s">
        <v>448</v>
      </c>
      <c r="C132" t="str">
        <f t="shared" si="27"/>
        <v>3010</v>
      </c>
      <c r="D132" t="str">
        <f t="shared" si="28"/>
        <v>000e2e8c</v>
      </c>
      <c r="E132" t="str">
        <f t="shared" si="29"/>
        <v>00000000</v>
      </c>
      <c r="F132" t="str">
        <f t="shared" si="30"/>
        <v>00001110</v>
      </c>
      <c r="G132" t="str">
        <f t="shared" si="31"/>
        <v>00101110</v>
      </c>
      <c r="H132" t="str">
        <f t="shared" si="32"/>
        <v>10001100</v>
      </c>
      <c r="I132" t="str">
        <f t="shared" si="33"/>
        <v>00000000000011100010111010001100</v>
      </c>
      <c r="J132" t="str">
        <f t="shared" si="26"/>
        <v>e</v>
      </c>
      <c r="K132" t="str">
        <f t="shared" si="34"/>
        <v>101110</v>
      </c>
      <c r="L132" t="str">
        <f t="shared" si="35"/>
        <v>100011</v>
      </c>
      <c r="M132" t="str">
        <f>LOOKUP(J132,Lookups!$A$27:$A$42,Lookups!$B$27:$B$42)</f>
        <v>a</v>
      </c>
      <c r="N132">
        <f t="shared" si="36"/>
        <v>46</v>
      </c>
      <c r="O132">
        <f t="shared" si="37"/>
        <v>35</v>
      </c>
      <c r="P132">
        <f t="shared" si="38"/>
        <v>2979</v>
      </c>
    </row>
    <row r="133" spans="1:16" x14ac:dyDescent="0.35">
      <c r="A133" t="s">
        <v>449</v>
      </c>
      <c r="C133" t="str">
        <f t="shared" si="27"/>
        <v>3011</v>
      </c>
      <c r="D133" t="str">
        <f t="shared" si="28"/>
        <v>000d2f5c</v>
      </c>
      <c r="E133" t="str">
        <f t="shared" si="29"/>
        <v>00000000</v>
      </c>
      <c r="F133" t="str">
        <f t="shared" si="30"/>
        <v>00001101</v>
      </c>
      <c r="G133" t="str">
        <f t="shared" si="31"/>
        <v>00101111</v>
      </c>
      <c r="H133" t="str">
        <f t="shared" si="32"/>
        <v>01011100</v>
      </c>
      <c r="I133" t="str">
        <f t="shared" si="33"/>
        <v>00000000000011010010111101011100</v>
      </c>
      <c r="J133" t="str">
        <f t="shared" si="26"/>
        <v>d</v>
      </c>
      <c r="K133" t="str">
        <f t="shared" si="34"/>
        <v>101111</v>
      </c>
      <c r="L133" t="str">
        <f t="shared" si="35"/>
        <v>010111</v>
      </c>
      <c r="M133" t="str">
        <f>LOOKUP(J133,Lookups!$A$27:$A$42,Lookups!$B$27:$B$42)</f>
        <v>c</v>
      </c>
      <c r="N133">
        <f t="shared" si="36"/>
        <v>47</v>
      </c>
      <c r="O133">
        <f t="shared" si="37"/>
        <v>23</v>
      </c>
      <c r="P133">
        <f t="shared" si="38"/>
        <v>3031</v>
      </c>
    </row>
    <row r="134" spans="1:16" x14ac:dyDescent="0.35">
      <c r="A134" t="s">
        <v>450</v>
      </c>
      <c r="C134" t="str">
        <f t="shared" si="27"/>
        <v>3012</v>
      </c>
      <c r="D134" t="str">
        <f t="shared" si="28"/>
        <v>00032e28</v>
      </c>
      <c r="E134" t="str">
        <f t="shared" si="29"/>
        <v>00000000</v>
      </c>
      <c r="F134" t="str">
        <f t="shared" si="30"/>
        <v>00000011</v>
      </c>
      <c r="G134" t="str">
        <f t="shared" si="31"/>
        <v>00101110</v>
      </c>
      <c r="H134" t="str">
        <f t="shared" si="32"/>
        <v>00101000</v>
      </c>
      <c r="I134" t="str">
        <f t="shared" si="33"/>
        <v>00000000000000110010111000101000</v>
      </c>
      <c r="J134" t="str">
        <f t="shared" si="26"/>
        <v>3</v>
      </c>
      <c r="K134" t="str">
        <f t="shared" si="34"/>
        <v>101110</v>
      </c>
      <c r="L134" t="str">
        <f t="shared" si="35"/>
        <v>001010</v>
      </c>
      <c r="M134" t="str">
        <f>LOOKUP(J134,Lookups!$A$27:$A$42,Lookups!$B$27:$B$42)</f>
        <v>r</v>
      </c>
      <c r="N134">
        <f t="shared" si="36"/>
        <v>46</v>
      </c>
      <c r="O134">
        <f t="shared" si="37"/>
        <v>10</v>
      </c>
      <c r="P134">
        <f t="shared" si="38"/>
        <v>2954</v>
      </c>
    </row>
    <row r="135" spans="1:16" x14ac:dyDescent="0.35">
      <c r="A135" t="s">
        <v>451</v>
      </c>
      <c r="C135" t="str">
        <f t="shared" si="27"/>
        <v>3013</v>
      </c>
      <c r="D135" t="str">
        <f t="shared" si="28"/>
        <v>000a2e68</v>
      </c>
      <c r="E135" t="str">
        <f t="shared" si="29"/>
        <v>00000000</v>
      </c>
      <c r="F135" t="str">
        <f t="shared" si="30"/>
        <v>00001010</v>
      </c>
      <c r="G135" t="str">
        <f t="shared" si="31"/>
        <v>00101110</v>
      </c>
      <c r="H135" t="str">
        <f t="shared" si="32"/>
        <v>01101000</v>
      </c>
      <c r="I135" t="str">
        <f t="shared" si="33"/>
        <v>00000000000010100010111001101000</v>
      </c>
      <c r="J135" t="str">
        <f t="shared" si="26"/>
        <v>a</v>
      </c>
      <c r="K135" t="str">
        <f t="shared" si="34"/>
        <v>101110</v>
      </c>
      <c r="L135" t="str">
        <f t="shared" si="35"/>
        <v>011010</v>
      </c>
      <c r="M135" t="str">
        <f>LOOKUP(J135,Lookups!$A$27:$A$42,Lookups!$B$27:$B$42)</f>
        <v>u</v>
      </c>
      <c r="N135">
        <f t="shared" si="36"/>
        <v>46</v>
      </c>
      <c r="O135">
        <f t="shared" si="37"/>
        <v>26</v>
      </c>
      <c r="P135">
        <f t="shared" si="38"/>
        <v>2970</v>
      </c>
    </row>
    <row r="136" spans="1:16" x14ac:dyDescent="0.35">
      <c r="A136" t="s">
        <v>452</v>
      </c>
      <c r="C136" t="str">
        <f t="shared" si="27"/>
        <v>3014</v>
      </c>
      <c r="D136" t="str">
        <f t="shared" si="28"/>
        <v>000b2f3c</v>
      </c>
      <c r="E136" t="str">
        <f t="shared" si="29"/>
        <v>00000000</v>
      </c>
      <c r="F136" t="str">
        <f t="shared" si="30"/>
        <v>00001011</v>
      </c>
      <c r="G136" t="str">
        <f t="shared" si="31"/>
        <v>00101111</v>
      </c>
      <c r="H136" t="str">
        <f t="shared" si="32"/>
        <v>00111100</v>
      </c>
      <c r="I136" t="str">
        <f t="shared" si="33"/>
        <v>00000000000010110010111100111100</v>
      </c>
      <c r="J136" t="str">
        <f t="shared" si="26"/>
        <v>b</v>
      </c>
      <c r="K136" t="str">
        <f t="shared" si="34"/>
        <v>101111</v>
      </c>
      <c r="L136" t="str">
        <f t="shared" si="35"/>
        <v>001111</v>
      </c>
      <c r="M136" t="str">
        <f>LOOKUP(J136,Lookups!$A$27:$A$42,Lookups!$B$27:$B$42)</f>
        <v>t</v>
      </c>
      <c r="N136">
        <f t="shared" si="36"/>
        <v>47</v>
      </c>
      <c r="O136">
        <f t="shared" si="37"/>
        <v>15</v>
      </c>
      <c r="P136">
        <f t="shared" si="38"/>
        <v>3023</v>
      </c>
    </row>
    <row r="137" spans="1:16" x14ac:dyDescent="0.35">
      <c r="A137" t="s">
        <v>453</v>
      </c>
      <c r="C137" t="str">
        <f t="shared" si="27"/>
        <v>3015</v>
      </c>
      <c r="D137" t="str">
        <f t="shared" si="28"/>
        <v>000e3274</v>
      </c>
      <c r="E137" t="str">
        <f t="shared" si="29"/>
        <v>00000000</v>
      </c>
      <c r="F137" t="str">
        <f t="shared" si="30"/>
        <v>00001110</v>
      </c>
      <c r="G137" t="str">
        <f t="shared" si="31"/>
        <v>00110010</v>
      </c>
      <c r="H137" t="str">
        <f t="shared" si="32"/>
        <v>01110100</v>
      </c>
      <c r="I137" t="str">
        <f t="shared" si="33"/>
        <v>00000000000011100011001001110100</v>
      </c>
      <c r="J137" t="str">
        <f t="shared" si="26"/>
        <v>e</v>
      </c>
      <c r="K137" t="str">
        <f t="shared" si="34"/>
        <v>110010</v>
      </c>
      <c r="L137" t="str">
        <f t="shared" si="35"/>
        <v>011101</v>
      </c>
      <c r="M137" t="str">
        <f>LOOKUP(J137,Lookups!$A$27:$A$42,Lookups!$B$27:$B$42)</f>
        <v>a</v>
      </c>
      <c r="N137">
        <f t="shared" si="36"/>
        <v>50</v>
      </c>
      <c r="O137">
        <f t="shared" si="37"/>
        <v>29</v>
      </c>
      <c r="P137">
        <f t="shared" si="38"/>
        <v>3229</v>
      </c>
    </row>
    <row r="138" spans="1:16" x14ac:dyDescent="0.35">
      <c r="A138" t="s">
        <v>454</v>
      </c>
      <c r="C138" t="str">
        <f t="shared" si="27"/>
        <v>3016</v>
      </c>
      <c r="D138" t="str">
        <f t="shared" si="28"/>
        <v>000c3274</v>
      </c>
      <c r="E138" t="str">
        <f t="shared" si="29"/>
        <v>00000000</v>
      </c>
      <c r="F138" t="str">
        <f t="shared" si="30"/>
        <v>00001100</v>
      </c>
      <c r="G138" t="str">
        <f t="shared" si="31"/>
        <v>00110010</v>
      </c>
      <c r="H138" t="str">
        <f t="shared" si="32"/>
        <v>01110100</v>
      </c>
      <c r="I138" t="str">
        <f t="shared" si="33"/>
        <v>00000000000011000011001001110100</v>
      </c>
      <c r="J138" t="str">
        <f t="shared" si="26"/>
        <v>c</v>
      </c>
      <c r="K138" t="str">
        <f t="shared" si="34"/>
        <v>110010</v>
      </c>
      <c r="L138" t="str">
        <f t="shared" si="35"/>
        <v>011101</v>
      </c>
      <c r="M138" t="str">
        <f>LOOKUP(J138,Lookups!$A$27:$A$42,Lookups!$B$27:$B$42)</f>
        <v>h</v>
      </c>
      <c r="N138">
        <f t="shared" si="36"/>
        <v>50</v>
      </c>
      <c r="O138">
        <f t="shared" si="37"/>
        <v>29</v>
      </c>
      <c r="P138">
        <f t="shared" si="38"/>
        <v>3229</v>
      </c>
    </row>
    <row r="139" spans="1:16" x14ac:dyDescent="0.35">
      <c r="A139" t="s">
        <v>455</v>
      </c>
      <c r="C139" t="str">
        <f t="shared" si="27"/>
        <v>3017</v>
      </c>
      <c r="D139" t="str">
        <f t="shared" si="28"/>
        <v>000b3068</v>
      </c>
      <c r="E139" t="str">
        <f t="shared" si="29"/>
        <v>00000000</v>
      </c>
      <c r="F139" t="str">
        <f t="shared" si="30"/>
        <v>00001011</v>
      </c>
      <c r="G139" t="str">
        <f t="shared" si="31"/>
        <v>00110000</v>
      </c>
      <c r="H139" t="str">
        <f t="shared" si="32"/>
        <v>01101000</v>
      </c>
      <c r="I139" t="str">
        <f t="shared" si="33"/>
        <v>00000000000010110011000001101000</v>
      </c>
      <c r="J139" t="str">
        <f t="shared" si="26"/>
        <v>b</v>
      </c>
      <c r="K139" t="str">
        <f t="shared" si="34"/>
        <v>110000</v>
      </c>
      <c r="L139" t="str">
        <f t="shared" si="35"/>
        <v>011010</v>
      </c>
      <c r="M139" t="str">
        <f>LOOKUP(J139,Lookups!$A$27:$A$42,Lookups!$B$27:$B$42)</f>
        <v>t</v>
      </c>
      <c r="N139">
        <f t="shared" si="36"/>
        <v>48</v>
      </c>
      <c r="O139">
        <f t="shared" si="37"/>
        <v>26</v>
      </c>
      <c r="P139">
        <f t="shared" si="38"/>
        <v>3098</v>
      </c>
    </row>
    <row r="140" spans="1:16" x14ac:dyDescent="0.35">
      <c r="A140" t="s">
        <v>456</v>
      </c>
      <c r="C140" t="str">
        <f t="shared" si="27"/>
        <v>3018</v>
      </c>
      <c r="D140" t="str">
        <f t="shared" si="28"/>
        <v>000a2ff8</v>
      </c>
      <c r="E140" t="str">
        <f t="shared" si="29"/>
        <v>00000000</v>
      </c>
      <c r="F140" t="str">
        <f t="shared" si="30"/>
        <v>00001010</v>
      </c>
      <c r="G140" t="str">
        <f t="shared" si="31"/>
        <v>00101111</v>
      </c>
      <c r="H140" t="str">
        <f t="shared" si="32"/>
        <v>11111000</v>
      </c>
      <c r="I140" t="str">
        <f t="shared" si="33"/>
        <v>00000000000010100010111111111000</v>
      </c>
      <c r="J140" t="str">
        <f t="shared" si="26"/>
        <v>a</v>
      </c>
      <c r="K140" t="str">
        <f t="shared" si="34"/>
        <v>101111</v>
      </c>
      <c r="L140" t="str">
        <f t="shared" si="35"/>
        <v>111110</v>
      </c>
      <c r="M140" t="str">
        <f>LOOKUP(J140,Lookups!$A$27:$A$42,Lookups!$B$27:$B$42)</f>
        <v>u</v>
      </c>
      <c r="N140">
        <f t="shared" si="36"/>
        <v>47</v>
      </c>
      <c r="O140">
        <f t="shared" si="37"/>
        <v>62</v>
      </c>
      <c r="P140">
        <f t="shared" si="38"/>
        <v>3070</v>
      </c>
    </row>
    <row r="141" spans="1:16" x14ac:dyDescent="0.35">
      <c r="A141" t="s">
        <v>457</v>
      </c>
      <c r="C141" t="str">
        <f t="shared" si="27"/>
        <v>3019</v>
      </c>
      <c r="D141" t="str">
        <f t="shared" si="28"/>
        <v>000133b4</v>
      </c>
      <c r="E141" t="str">
        <f t="shared" si="29"/>
        <v>00000000</v>
      </c>
      <c r="F141" t="str">
        <f t="shared" si="30"/>
        <v>00000001</v>
      </c>
      <c r="G141" t="str">
        <f t="shared" si="31"/>
        <v>00110011</v>
      </c>
      <c r="H141" t="str">
        <f t="shared" si="32"/>
        <v>10110100</v>
      </c>
      <c r="I141" t="str">
        <f t="shared" si="33"/>
        <v>00000000000000010011001110110100</v>
      </c>
      <c r="J141" t="str">
        <f t="shared" si="26"/>
        <v>1</v>
      </c>
      <c r="K141" t="str">
        <f t="shared" si="34"/>
        <v>110011</v>
      </c>
      <c r="L141" t="str">
        <f t="shared" si="35"/>
        <v>101101</v>
      </c>
      <c r="M141" t="str">
        <f>LOOKUP(J141,Lookups!$A$27:$A$42,Lookups!$B$27:$B$42)</f>
        <v>b</v>
      </c>
      <c r="N141">
        <f t="shared" si="36"/>
        <v>51</v>
      </c>
      <c r="O141">
        <f t="shared" si="37"/>
        <v>45</v>
      </c>
      <c r="P141">
        <f t="shared" si="38"/>
        <v>3309</v>
      </c>
    </row>
    <row r="142" spans="1:16" x14ac:dyDescent="0.35">
      <c r="A142" t="s">
        <v>458</v>
      </c>
      <c r="C142" t="str">
        <f t="shared" si="27"/>
        <v>3020</v>
      </c>
      <c r="D142" t="str">
        <f t="shared" si="28"/>
        <v>00092df8</v>
      </c>
      <c r="E142" t="str">
        <f t="shared" si="29"/>
        <v>00000000</v>
      </c>
      <c r="F142" t="str">
        <f t="shared" si="30"/>
        <v>00001001</v>
      </c>
      <c r="G142" t="str">
        <f t="shared" si="31"/>
        <v>00101101</v>
      </c>
      <c r="H142" t="str">
        <f t="shared" si="32"/>
        <v>11111000</v>
      </c>
      <c r="I142" t="str">
        <f t="shared" si="33"/>
        <v>00000000000010010010110111111000</v>
      </c>
      <c r="J142" t="str">
        <f t="shared" si="26"/>
        <v>9</v>
      </c>
      <c r="K142" t="str">
        <f t="shared" si="34"/>
        <v>101101</v>
      </c>
      <c r="L142" t="str">
        <f t="shared" si="35"/>
        <v>111110</v>
      </c>
      <c r="M142" t="str">
        <f>LOOKUP(J142,Lookups!$A$27:$A$42,Lookups!$B$27:$B$42)</f>
        <v>e</v>
      </c>
      <c r="N142">
        <f t="shared" si="36"/>
        <v>45</v>
      </c>
      <c r="O142">
        <f t="shared" si="37"/>
        <v>62</v>
      </c>
      <c r="P142">
        <f t="shared" si="38"/>
        <v>2942</v>
      </c>
    </row>
    <row r="143" spans="1:16" x14ac:dyDescent="0.35">
      <c r="A143" t="s">
        <v>459</v>
      </c>
      <c r="C143" t="str">
        <f t="shared" si="27"/>
        <v>3021</v>
      </c>
      <c r="D143" t="str">
        <f t="shared" si="28"/>
        <v>000e2df0</v>
      </c>
      <c r="E143" t="str">
        <f t="shared" si="29"/>
        <v>00000000</v>
      </c>
      <c r="F143" t="str">
        <f t="shared" si="30"/>
        <v>00001110</v>
      </c>
      <c r="G143" t="str">
        <f t="shared" si="31"/>
        <v>00101101</v>
      </c>
      <c r="H143" t="str">
        <f t="shared" si="32"/>
        <v>11110000</v>
      </c>
      <c r="I143" t="str">
        <f t="shared" si="33"/>
        <v>00000000000011100010110111110000</v>
      </c>
      <c r="J143" t="str">
        <f t="shared" si="26"/>
        <v>e</v>
      </c>
      <c r="K143" t="str">
        <f t="shared" si="34"/>
        <v>101101</v>
      </c>
      <c r="L143" t="str">
        <f t="shared" si="35"/>
        <v>111100</v>
      </c>
      <c r="M143" t="str">
        <f>LOOKUP(J143,Lookups!$A$27:$A$42,Lookups!$B$27:$B$42)</f>
        <v>a</v>
      </c>
      <c r="N143">
        <f t="shared" si="36"/>
        <v>45</v>
      </c>
      <c r="O143">
        <f t="shared" si="37"/>
        <v>60</v>
      </c>
      <c r="P143">
        <f t="shared" si="38"/>
        <v>2940</v>
      </c>
    </row>
    <row r="144" spans="1:16" x14ac:dyDescent="0.35">
      <c r="A144" t="s">
        <v>460</v>
      </c>
      <c r="C144" t="str">
        <f t="shared" si="27"/>
        <v>3022</v>
      </c>
      <c r="D144" t="str">
        <f t="shared" si="28"/>
        <v>000a2ee8</v>
      </c>
      <c r="E144" t="str">
        <f t="shared" si="29"/>
        <v>00000000</v>
      </c>
      <c r="F144" t="str">
        <f t="shared" si="30"/>
        <v>00001010</v>
      </c>
      <c r="G144" t="str">
        <f t="shared" si="31"/>
        <v>00101110</v>
      </c>
      <c r="H144" t="str">
        <f t="shared" si="32"/>
        <v>11101000</v>
      </c>
      <c r="I144" t="str">
        <f t="shared" si="33"/>
        <v>00000000000010100010111011101000</v>
      </c>
      <c r="J144" t="str">
        <f t="shared" si="26"/>
        <v>a</v>
      </c>
      <c r="K144" t="str">
        <f t="shared" si="34"/>
        <v>101110</v>
      </c>
      <c r="L144" t="str">
        <f t="shared" si="35"/>
        <v>111010</v>
      </c>
      <c r="M144" t="str">
        <f>LOOKUP(J144,Lookups!$A$27:$A$42,Lookups!$B$27:$B$42)</f>
        <v>u</v>
      </c>
      <c r="N144">
        <f t="shared" si="36"/>
        <v>46</v>
      </c>
      <c r="O144">
        <f t="shared" si="37"/>
        <v>58</v>
      </c>
      <c r="P144">
        <f t="shared" si="38"/>
        <v>3002</v>
      </c>
    </row>
    <row r="145" spans="1:16" x14ac:dyDescent="0.35">
      <c r="A145" t="s">
        <v>461</v>
      </c>
      <c r="C145" t="str">
        <f t="shared" si="27"/>
        <v>3023</v>
      </c>
      <c r="D145" t="str">
        <f t="shared" si="28"/>
        <v>00013274</v>
      </c>
      <c r="E145" t="str">
        <f t="shared" si="29"/>
        <v>00000000</v>
      </c>
      <c r="F145" t="str">
        <f t="shared" si="30"/>
        <v>00000001</v>
      </c>
      <c r="G145" t="str">
        <f t="shared" si="31"/>
        <v>00110010</v>
      </c>
      <c r="H145" t="str">
        <f t="shared" si="32"/>
        <v>01110100</v>
      </c>
      <c r="I145" t="str">
        <f t="shared" si="33"/>
        <v>00000000000000010011001001110100</v>
      </c>
      <c r="J145" t="str">
        <f t="shared" si="26"/>
        <v>1</v>
      </c>
      <c r="K145" t="str">
        <f t="shared" si="34"/>
        <v>110010</v>
      </c>
      <c r="L145" t="str">
        <f t="shared" si="35"/>
        <v>011101</v>
      </c>
      <c r="M145" t="str">
        <f>LOOKUP(J145,Lookups!$A$27:$A$42,Lookups!$B$27:$B$42)</f>
        <v>b</v>
      </c>
      <c r="N145">
        <f t="shared" si="36"/>
        <v>50</v>
      </c>
      <c r="O145">
        <f t="shared" si="37"/>
        <v>29</v>
      </c>
      <c r="P145">
        <f t="shared" si="38"/>
        <v>3229</v>
      </c>
    </row>
    <row r="146" spans="1:16" x14ac:dyDescent="0.35">
      <c r="A146" t="s">
        <v>462</v>
      </c>
      <c r="C146" t="str">
        <f t="shared" si="27"/>
        <v>3024</v>
      </c>
      <c r="D146" t="str">
        <f t="shared" si="28"/>
        <v>00092df8</v>
      </c>
      <c r="E146" t="str">
        <f t="shared" si="29"/>
        <v>00000000</v>
      </c>
      <c r="F146" t="str">
        <f t="shared" si="30"/>
        <v>00001001</v>
      </c>
      <c r="G146" t="str">
        <f t="shared" si="31"/>
        <v>00101101</v>
      </c>
      <c r="H146" t="str">
        <f t="shared" si="32"/>
        <v>11111000</v>
      </c>
      <c r="I146" t="str">
        <f t="shared" si="33"/>
        <v>00000000000010010010110111111000</v>
      </c>
      <c r="J146" t="str">
        <f t="shared" si="26"/>
        <v>9</v>
      </c>
      <c r="K146" t="str">
        <f t="shared" si="34"/>
        <v>101101</v>
      </c>
      <c r="L146" t="str">
        <f t="shared" si="35"/>
        <v>111110</v>
      </c>
      <c r="M146" t="str">
        <f>LOOKUP(J146,Lookups!$A$27:$A$42,Lookups!$B$27:$B$42)</f>
        <v>e</v>
      </c>
      <c r="N146">
        <f t="shared" si="36"/>
        <v>45</v>
      </c>
      <c r="O146">
        <f t="shared" si="37"/>
        <v>62</v>
      </c>
      <c r="P146">
        <f t="shared" si="38"/>
        <v>2942</v>
      </c>
    </row>
    <row r="147" spans="1:16" x14ac:dyDescent="0.35">
      <c r="A147" t="s">
        <v>463</v>
      </c>
      <c r="C147" t="str">
        <f t="shared" si="27"/>
        <v>3025</v>
      </c>
      <c r="D147" t="str">
        <f t="shared" si="28"/>
        <v>000e2df0</v>
      </c>
      <c r="E147" t="str">
        <f t="shared" si="29"/>
        <v>00000000</v>
      </c>
      <c r="F147" t="str">
        <f t="shared" si="30"/>
        <v>00001110</v>
      </c>
      <c r="G147" t="str">
        <f t="shared" si="31"/>
        <v>00101101</v>
      </c>
      <c r="H147" t="str">
        <f t="shared" si="32"/>
        <v>11110000</v>
      </c>
      <c r="I147" t="str">
        <f t="shared" si="33"/>
        <v>00000000000011100010110111110000</v>
      </c>
      <c r="J147" t="str">
        <f t="shared" si="26"/>
        <v>e</v>
      </c>
      <c r="K147" t="str">
        <f t="shared" si="34"/>
        <v>101101</v>
      </c>
      <c r="L147" t="str">
        <f t="shared" si="35"/>
        <v>111100</v>
      </c>
      <c r="M147" t="str">
        <f>LOOKUP(J147,Lookups!$A$27:$A$42,Lookups!$B$27:$B$42)</f>
        <v>a</v>
      </c>
      <c r="N147">
        <f t="shared" si="36"/>
        <v>45</v>
      </c>
      <c r="O147">
        <f t="shared" si="37"/>
        <v>60</v>
      </c>
      <c r="P147">
        <f t="shared" si="38"/>
        <v>2940</v>
      </c>
    </row>
    <row r="148" spans="1:16" x14ac:dyDescent="0.35">
      <c r="A148" t="s">
        <v>464</v>
      </c>
      <c r="C148" t="str">
        <f t="shared" si="27"/>
        <v>3026</v>
      </c>
      <c r="D148" t="str">
        <f t="shared" si="28"/>
        <v>000a2f20</v>
      </c>
      <c r="E148" t="str">
        <f t="shared" si="29"/>
        <v>00000000</v>
      </c>
      <c r="F148" t="str">
        <f t="shared" si="30"/>
        <v>00001010</v>
      </c>
      <c r="G148" t="str">
        <f t="shared" si="31"/>
        <v>00101111</v>
      </c>
      <c r="H148" t="str">
        <f t="shared" si="32"/>
        <v>00100000</v>
      </c>
      <c r="I148" t="str">
        <f t="shared" si="33"/>
        <v>00000000000010100010111100100000</v>
      </c>
      <c r="J148" t="str">
        <f t="shared" si="26"/>
        <v>a</v>
      </c>
      <c r="K148" t="str">
        <f t="shared" si="34"/>
        <v>101111</v>
      </c>
      <c r="L148" t="str">
        <f t="shared" si="35"/>
        <v>001000</v>
      </c>
      <c r="M148" t="str">
        <f>LOOKUP(J148,Lookups!$A$27:$A$42,Lookups!$B$27:$B$42)</f>
        <v>u</v>
      </c>
      <c r="N148">
        <f t="shared" si="36"/>
        <v>47</v>
      </c>
      <c r="O148">
        <f t="shared" si="37"/>
        <v>8</v>
      </c>
      <c r="P148">
        <f t="shared" si="38"/>
        <v>3016</v>
      </c>
    </row>
    <row r="149" spans="1:16" x14ac:dyDescent="0.35">
      <c r="A149" t="s">
        <v>465</v>
      </c>
      <c r="C149" t="str">
        <f t="shared" si="27"/>
        <v>3027</v>
      </c>
      <c r="D149" t="str">
        <f t="shared" si="28"/>
        <v>00013274</v>
      </c>
      <c r="E149" t="str">
        <f t="shared" si="29"/>
        <v>00000000</v>
      </c>
      <c r="F149" t="str">
        <f t="shared" si="30"/>
        <v>00000001</v>
      </c>
      <c r="G149" t="str">
        <f t="shared" si="31"/>
        <v>00110010</v>
      </c>
      <c r="H149" t="str">
        <f t="shared" si="32"/>
        <v>01110100</v>
      </c>
      <c r="I149" t="str">
        <f t="shared" si="33"/>
        <v>00000000000000010011001001110100</v>
      </c>
      <c r="J149" t="str">
        <f t="shared" si="26"/>
        <v>1</v>
      </c>
      <c r="K149" t="str">
        <f t="shared" si="34"/>
        <v>110010</v>
      </c>
      <c r="L149" t="str">
        <f t="shared" si="35"/>
        <v>011101</v>
      </c>
      <c r="M149" t="str">
        <f>LOOKUP(J149,Lookups!$A$27:$A$42,Lookups!$B$27:$B$42)</f>
        <v>b</v>
      </c>
      <c r="N149">
        <f t="shared" si="36"/>
        <v>50</v>
      </c>
      <c r="O149">
        <f t="shared" si="37"/>
        <v>29</v>
      </c>
      <c r="P149">
        <f t="shared" si="38"/>
        <v>3229</v>
      </c>
    </row>
    <row r="150" spans="1:16" x14ac:dyDescent="0.35">
      <c r="A150" t="s">
        <v>466</v>
      </c>
      <c r="C150" t="str">
        <f t="shared" si="27"/>
        <v>3028</v>
      </c>
      <c r="D150" t="str">
        <f t="shared" si="28"/>
        <v>00092df8</v>
      </c>
      <c r="E150" t="str">
        <f t="shared" si="29"/>
        <v>00000000</v>
      </c>
      <c r="F150" t="str">
        <f t="shared" si="30"/>
        <v>00001001</v>
      </c>
      <c r="G150" t="str">
        <f t="shared" si="31"/>
        <v>00101101</v>
      </c>
      <c r="H150" t="str">
        <f t="shared" si="32"/>
        <v>11111000</v>
      </c>
      <c r="I150" t="str">
        <f t="shared" si="33"/>
        <v>00000000000010010010110111111000</v>
      </c>
      <c r="J150" t="str">
        <f t="shared" si="26"/>
        <v>9</v>
      </c>
      <c r="K150" t="str">
        <f t="shared" si="34"/>
        <v>101101</v>
      </c>
      <c r="L150" t="str">
        <f t="shared" si="35"/>
        <v>111110</v>
      </c>
      <c r="M150" t="str">
        <f>LOOKUP(J150,Lookups!$A$27:$A$42,Lookups!$B$27:$B$42)</f>
        <v>e</v>
      </c>
      <c r="N150">
        <f t="shared" si="36"/>
        <v>45</v>
      </c>
      <c r="O150">
        <f t="shared" si="37"/>
        <v>62</v>
      </c>
      <c r="P150">
        <f t="shared" si="38"/>
        <v>2942</v>
      </c>
    </row>
    <row r="151" spans="1:16" x14ac:dyDescent="0.35">
      <c r="A151" t="s">
        <v>467</v>
      </c>
      <c r="C151" t="str">
        <f t="shared" si="27"/>
        <v>3029</v>
      </c>
      <c r="D151" t="str">
        <f t="shared" si="28"/>
        <v>000e2df0</v>
      </c>
      <c r="E151" t="str">
        <f t="shared" si="29"/>
        <v>00000000</v>
      </c>
      <c r="F151" t="str">
        <f t="shared" si="30"/>
        <v>00001110</v>
      </c>
      <c r="G151" t="str">
        <f t="shared" si="31"/>
        <v>00101101</v>
      </c>
      <c r="H151" t="str">
        <f t="shared" si="32"/>
        <v>11110000</v>
      </c>
      <c r="I151" t="str">
        <f t="shared" si="33"/>
        <v>00000000000011100010110111110000</v>
      </c>
      <c r="J151" t="str">
        <f t="shared" si="26"/>
        <v>e</v>
      </c>
      <c r="K151" t="str">
        <f t="shared" si="34"/>
        <v>101101</v>
      </c>
      <c r="L151" t="str">
        <f t="shared" si="35"/>
        <v>111100</v>
      </c>
      <c r="M151" t="str">
        <f>LOOKUP(J151,Lookups!$A$27:$A$42,Lookups!$B$27:$B$42)</f>
        <v>a</v>
      </c>
      <c r="N151">
        <f t="shared" si="36"/>
        <v>45</v>
      </c>
      <c r="O151">
        <f t="shared" si="37"/>
        <v>60</v>
      </c>
      <c r="P151">
        <f t="shared" si="38"/>
        <v>2940</v>
      </c>
    </row>
    <row r="152" spans="1:16" x14ac:dyDescent="0.35">
      <c r="A152" t="s">
        <v>468</v>
      </c>
      <c r="C152" t="str">
        <f t="shared" si="27"/>
        <v>3030</v>
      </c>
      <c r="D152" t="str">
        <f t="shared" si="28"/>
        <v>000a2fe8</v>
      </c>
      <c r="E152" t="str">
        <f t="shared" si="29"/>
        <v>00000000</v>
      </c>
      <c r="F152" t="str">
        <f t="shared" si="30"/>
        <v>00001010</v>
      </c>
      <c r="G152" t="str">
        <f t="shared" si="31"/>
        <v>00101111</v>
      </c>
      <c r="H152" t="str">
        <f t="shared" si="32"/>
        <v>11101000</v>
      </c>
      <c r="I152" t="str">
        <f t="shared" si="33"/>
        <v>00000000000010100010111111101000</v>
      </c>
      <c r="J152" t="str">
        <f t="shared" si="26"/>
        <v>a</v>
      </c>
      <c r="K152" t="str">
        <f t="shared" si="34"/>
        <v>101111</v>
      </c>
      <c r="L152" t="str">
        <f t="shared" si="35"/>
        <v>111010</v>
      </c>
      <c r="M152" t="str">
        <f>LOOKUP(J152,Lookups!$A$27:$A$42,Lookups!$B$27:$B$42)</f>
        <v>u</v>
      </c>
      <c r="N152">
        <f t="shared" si="36"/>
        <v>47</v>
      </c>
      <c r="O152">
        <f t="shared" si="37"/>
        <v>58</v>
      </c>
      <c r="P152">
        <f t="shared" si="38"/>
        <v>3066</v>
      </c>
    </row>
    <row r="153" spans="1:16" x14ac:dyDescent="0.35">
      <c r="A153" t="s">
        <v>469</v>
      </c>
      <c r="C153" t="str">
        <f t="shared" si="27"/>
        <v>3031</v>
      </c>
      <c r="D153" t="str">
        <f t="shared" si="28"/>
        <v>00000000</v>
      </c>
      <c r="E153" t="str">
        <f t="shared" si="29"/>
        <v>00000000</v>
      </c>
      <c r="F153" t="str">
        <f t="shared" si="30"/>
        <v>00000000</v>
      </c>
      <c r="G153" t="str">
        <f t="shared" si="31"/>
        <v>00000000</v>
      </c>
      <c r="H153" t="str">
        <f t="shared" si="32"/>
        <v>00000000</v>
      </c>
      <c r="I153" t="str">
        <f t="shared" si="33"/>
        <v>00000000000000000000000000000000</v>
      </c>
      <c r="J153" t="str">
        <f t="shared" si="26"/>
        <v>0</v>
      </c>
      <c r="K153" t="str">
        <f t="shared" si="34"/>
        <v>000000</v>
      </c>
      <c r="L153" t="str">
        <f t="shared" si="35"/>
        <v>000000</v>
      </c>
      <c r="M153" t="str">
        <f>LOOKUP(J153,Lookups!$A$27:$A$42,Lookups!$B$27:$B$42)</f>
        <v>z</v>
      </c>
      <c r="N153">
        <f t="shared" si="36"/>
        <v>0</v>
      </c>
      <c r="O153">
        <f t="shared" si="37"/>
        <v>0</v>
      </c>
      <c r="P153">
        <f t="shared" si="38"/>
        <v>0</v>
      </c>
    </row>
    <row r="154" spans="1:16" x14ac:dyDescent="0.35">
      <c r="A154" t="s">
        <v>470</v>
      </c>
      <c r="C154" t="str">
        <f t="shared" si="27"/>
        <v>3032</v>
      </c>
      <c r="D154" t="str">
        <f t="shared" si="28"/>
        <v>00033300</v>
      </c>
      <c r="E154" t="str">
        <f t="shared" si="29"/>
        <v>00000000</v>
      </c>
      <c r="F154" t="str">
        <f t="shared" si="30"/>
        <v>00000011</v>
      </c>
      <c r="G154" t="str">
        <f t="shared" si="31"/>
        <v>00110011</v>
      </c>
      <c r="H154" t="str">
        <f t="shared" si="32"/>
        <v>00000000</v>
      </c>
      <c r="I154" t="str">
        <f t="shared" si="33"/>
        <v>00000000000000110011001100000000</v>
      </c>
      <c r="J154" t="str">
        <f t="shared" si="26"/>
        <v>3</v>
      </c>
      <c r="K154" t="str">
        <f t="shared" si="34"/>
        <v>110011</v>
      </c>
      <c r="L154" t="str">
        <f t="shared" si="35"/>
        <v>000000</v>
      </c>
      <c r="M154" t="str">
        <f>LOOKUP(J154,Lookups!$A$27:$A$42,Lookups!$B$27:$B$42)</f>
        <v>r</v>
      </c>
      <c r="N154">
        <f t="shared" si="36"/>
        <v>51</v>
      </c>
      <c r="O154">
        <f t="shared" si="37"/>
        <v>0</v>
      </c>
      <c r="P154">
        <f t="shared" si="38"/>
        <v>3264</v>
      </c>
    </row>
    <row r="155" spans="1:16" x14ac:dyDescent="0.35">
      <c r="A155" t="s">
        <v>471</v>
      </c>
      <c r="C155" t="str">
        <f t="shared" si="27"/>
        <v>3033</v>
      </c>
      <c r="D155" t="str">
        <f t="shared" si="28"/>
        <v>000a3300</v>
      </c>
      <c r="E155" t="str">
        <f t="shared" si="29"/>
        <v>00000000</v>
      </c>
      <c r="F155" t="str">
        <f t="shared" si="30"/>
        <v>00001010</v>
      </c>
      <c r="G155" t="str">
        <f t="shared" si="31"/>
        <v>00110011</v>
      </c>
      <c r="H155" t="str">
        <f t="shared" si="32"/>
        <v>00000000</v>
      </c>
      <c r="I155" t="str">
        <f t="shared" si="33"/>
        <v>00000000000010100011001100000000</v>
      </c>
      <c r="J155" t="str">
        <f t="shared" si="26"/>
        <v>a</v>
      </c>
      <c r="K155" t="str">
        <f t="shared" si="34"/>
        <v>110011</v>
      </c>
      <c r="L155" t="str">
        <f t="shared" si="35"/>
        <v>000000</v>
      </c>
      <c r="M155" t="str">
        <f>LOOKUP(J155,Lookups!$A$27:$A$42,Lookups!$B$27:$B$42)</f>
        <v>u</v>
      </c>
      <c r="N155">
        <f t="shared" si="36"/>
        <v>51</v>
      </c>
      <c r="O155">
        <f t="shared" si="37"/>
        <v>0</v>
      </c>
      <c r="P155">
        <f t="shared" si="38"/>
        <v>3264</v>
      </c>
    </row>
    <row r="156" spans="1:16" x14ac:dyDescent="0.35">
      <c r="A156" t="s">
        <v>472</v>
      </c>
      <c r="C156" t="str">
        <f t="shared" si="27"/>
        <v>3034</v>
      </c>
      <c r="D156" t="str">
        <f t="shared" si="28"/>
        <v>20106a08</v>
      </c>
      <c r="E156" t="str">
        <f t="shared" si="29"/>
        <v>00100000</v>
      </c>
      <c r="F156" t="str">
        <f t="shared" si="30"/>
        <v>00010000</v>
      </c>
      <c r="G156" t="str">
        <f t="shared" si="31"/>
        <v>01101010</v>
      </c>
      <c r="H156" t="str">
        <f t="shared" si="32"/>
        <v>00001000</v>
      </c>
      <c r="I156" t="str">
        <f t="shared" si="33"/>
        <v>00100000000100000110101000001000</v>
      </c>
      <c r="J156" t="str">
        <f t="shared" si="26"/>
        <v>0</v>
      </c>
      <c r="K156" t="str">
        <f t="shared" si="34"/>
        <v>101010</v>
      </c>
      <c r="L156" t="str">
        <f t="shared" si="35"/>
        <v>000010</v>
      </c>
      <c r="M156" t="str">
        <f>LOOKUP(J156,Lookups!$A$27:$A$42,Lookups!$B$27:$B$42)</f>
        <v>z</v>
      </c>
      <c r="N156">
        <f t="shared" si="36"/>
        <v>42</v>
      </c>
      <c r="O156">
        <f t="shared" si="37"/>
        <v>2</v>
      </c>
      <c r="P156">
        <f t="shared" si="38"/>
        <v>2690</v>
      </c>
    </row>
    <row r="157" spans="1:16" x14ac:dyDescent="0.35">
      <c r="A157" t="s">
        <v>473</v>
      </c>
      <c r="C157" t="str">
        <f t="shared" si="27"/>
        <v>3035</v>
      </c>
      <c r="D157" t="str">
        <f t="shared" si="28"/>
        <v>721a2a10</v>
      </c>
      <c r="E157" t="str">
        <f t="shared" si="29"/>
        <v>01110010</v>
      </c>
      <c r="F157" t="str">
        <f t="shared" si="30"/>
        <v>00011010</v>
      </c>
      <c r="G157" t="str">
        <f t="shared" si="31"/>
        <v>00101010</v>
      </c>
      <c r="H157" t="str">
        <f t="shared" si="32"/>
        <v>00010000</v>
      </c>
      <c r="I157" t="str">
        <f t="shared" si="33"/>
        <v>01110010000110100010101000010000</v>
      </c>
      <c r="J157" t="str">
        <f t="shared" si="26"/>
        <v>a</v>
      </c>
      <c r="K157" t="str">
        <f t="shared" si="34"/>
        <v>101010</v>
      </c>
      <c r="L157" t="str">
        <f t="shared" si="35"/>
        <v>000100</v>
      </c>
      <c r="M157" t="str">
        <f>LOOKUP(J157,Lookups!$A$27:$A$42,Lookups!$B$27:$B$42)</f>
        <v>u</v>
      </c>
      <c r="N157">
        <f t="shared" si="36"/>
        <v>42</v>
      </c>
      <c r="O157">
        <f t="shared" si="37"/>
        <v>4</v>
      </c>
      <c r="P157">
        <f t="shared" si="38"/>
        <v>2692</v>
      </c>
    </row>
    <row r="158" spans="1:16" x14ac:dyDescent="0.35">
      <c r="A158" t="s">
        <v>474</v>
      </c>
      <c r="C158" t="str">
        <f t="shared" si="27"/>
        <v>3036</v>
      </c>
      <c r="D158" t="str">
        <f t="shared" si="28"/>
        <v>2608067e</v>
      </c>
      <c r="E158" t="str">
        <f t="shared" si="29"/>
        <v>00100110</v>
      </c>
      <c r="F158" t="str">
        <f t="shared" si="30"/>
        <v>00001000</v>
      </c>
      <c r="G158" t="str">
        <f t="shared" si="31"/>
        <v>00000110</v>
      </c>
      <c r="H158" t="str">
        <f t="shared" si="32"/>
        <v>01111110</v>
      </c>
      <c r="I158" t="str">
        <f t="shared" si="33"/>
        <v>00100110000010000000011001111110</v>
      </c>
      <c r="J158" t="str">
        <f t="shared" si="26"/>
        <v>8</v>
      </c>
      <c r="K158" t="str">
        <f t="shared" si="34"/>
        <v>000110</v>
      </c>
      <c r="L158" t="str">
        <f t="shared" si="35"/>
        <v>011111</v>
      </c>
      <c r="M158" t="str">
        <f>LOOKUP(J158,Lookups!$A$27:$A$42,Lookups!$B$27:$B$42)</f>
        <v>p</v>
      </c>
      <c r="N158">
        <f t="shared" si="36"/>
        <v>6</v>
      </c>
      <c r="O158">
        <f t="shared" si="37"/>
        <v>31</v>
      </c>
      <c r="P158">
        <f t="shared" si="38"/>
        <v>415</v>
      </c>
    </row>
    <row r="159" spans="1:16" x14ac:dyDescent="0.35">
      <c r="A159" t="s">
        <v>475</v>
      </c>
      <c r="C159" t="str">
        <f t="shared" si="27"/>
        <v>3037</v>
      </c>
      <c r="D159" t="str">
        <f t="shared" si="28"/>
        <v>00080000</v>
      </c>
      <c r="E159" t="str">
        <f t="shared" si="29"/>
        <v>00000000</v>
      </c>
      <c r="F159" t="str">
        <f t="shared" si="30"/>
        <v>00001000</v>
      </c>
      <c r="G159" t="str">
        <f t="shared" si="31"/>
        <v>00000000</v>
      </c>
      <c r="H159" t="str">
        <f t="shared" si="32"/>
        <v>00000000</v>
      </c>
      <c r="I159" t="str">
        <f t="shared" si="33"/>
        <v>00000000000010000000000000000000</v>
      </c>
      <c r="J159" t="str">
        <f t="shared" si="26"/>
        <v>8</v>
      </c>
      <c r="K159" t="str">
        <f t="shared" si="34"/>
        <v>000000</v>
      </c>
      <c r="L159" t="str">
        <f t="shared" si="35"/>
        <v>000000</v>
      </c>
      <c r="M159" t="str">
        <f>LOOKUP(J159,Lookups!$A$27:$A$42,Lookups!$B$27:$B$42)</f>
        <v>p</v>
      </c>
      <c r="N159">
        <f t="shared" si="36"/>
        <v>0</v>
      </c>
      <c r="O159">
        <f t="shared" si="37"/>
        <v>0</v>
      </c>
      <c r="P159">
        <f t="shared" si="38"/>
        <v>0</v>
      </c>
    </row>
    <row r="160" spans="1:16" x14ac:dyDescent="0.35">
      <c r="A160" t="s">
        <v>476</v>
      </c>
      <c r="C160" t="str">
        <f t="shared" si="27"/>
        <v>3038</v>
      </c>
      <c r="D160" t="str">
        <f t="shared" si="28"/>
        <v>00040000</v>
      </c>
      <c r="E160" t="str">
        <f t="shared" si="29"/>
        <v>00000000</v>
      </c>
      <c r="F160" t="str">
        <f t="shared" si="30"/>
        <v>00000100</v>
      </c>
      <c r="G160" t="str">
        <f t="shared" si="31"/>
        <v>00000000</v>
      </c>
      <c r="H160" t="str">
        <f t="shared" si="32"/>
        <v>00000000</v>
      </c>
      <c r="I160" t="str">
        <f t="shared" si="33"/>
        <v>00000000000001000000000000000000</v>
      </c>
      <c r="J160" t="str">
        <f t="shared" si="26"/>
        <v>4</v>
      </c>
      <c r="K160" t="str">
        <f t="shared" si="34"/>
        <v>000000</v>
      </c>
      <c r="L160" t="str">
        <f t="shared" si="35"/>
        <v>000000</v>
      </c>
      <c r="M160" t="str">
        <f>LOOKUP(J160,Lookups!$A$27:$A$42,Lookups!$B$27:$B$42)</f>
        <v>i</v>
      </c>
      <c r="N160">
        <f t="shared" si="36"/>
        <v>0</v>
      </c>
      <c r="O160">
        <f t="shared" si="37"/>
        <v>0</v>
      </c>
      <c r="P160">
        <f t="shared" si="38"/>
        <v>0</v>
      </c>
    </row>
    <row r="161" spans="1:16" x14ac:dyDescent="0.35">
      <c r="A161" t="s">
        <v>477</v>
      </c>
      <c r="C161" t="str">
        <f t="shared" si="27"/>
        <v>3039</v>
      </c>
      <c r="D161" t="str">
        <f t="shared" si="28"/>
        <v>00092efc</v>
      </c>
      <c r="E161" t="str">
        <f t="shared" si="29"/>
        <v>00000000</v>
      </c>
      <c r="F161" t="str">
        <f t="shared" si="30"/>
        <v>00001001</v>
      </c>
      <c r="G161" t="str">
        <f t="shared" si="31"/>
        <v>00101110</v>
      </c>
      <c r="H161" t="str">
        <f t="shared" si="32"/>
        <v>11111100</v>
      </c>
      <c r="I161" t="str">
        <f t="shared" si="33"/>
        <v>00000000000010010010111011111100</v>
      </c>
      <c r="J161" t="str">
        <f t="shared" si="26"/>
        <v>9</v>
      </c>
      <c r="K161" t="str">
        <f t="shared" si="34"/>
        <v>101110</v>
      </c>
      <c r="L161" t="str">
        <f t="shared" si="35"/>
        <v>111111</v>
      </c>
      <c r="M161" t="str">
        <f>LOOKUP(J161,Lookups!$A$27:$A$42,Lookups!$B$27:$B$42)</f>
        <v>e</v>
      </c>
      <c r="N161">
        <f t="shared" si="36"/>
        <v>46</v>
      </c>
      <c r="O161">
        <f t="shared" si="37"/>
        <v>63</v>
      </c>
      <c r="P161">
        <f t="shared" si="38"/>
        <v>3007</v>
      </c>
    </row>
    <row r="162" spans="1:16" x14ac:dyDescent="0.35">
      <c r="A162" t="s">
        <v>478</v>
      </c>
      <c r="C162" t="str">
        <f t="shared" si="27"/>
        <v>3040</v>
      </c>
      <c r="D162" t="str">
        <f t="shared" si="28"/>
        <v>000f2efc</v>
      </c>
      <c r="E162" t="str">
        <f t="shared" si="29"/>
        <v>00000000</v>
      </c>
      <c r="F162" t="str">
        <f t="shared" si="30"/>
        <v>00001111</v>
      </c>
      <c r="G162" t="str">
        <f t="shared" si="31"/>
        <v>00101110</v>
      </c>
      <c r="H162" t="str">
        <f t="shared" si="32"/>
        <v>11111100</v>
      </c>
      <c r="I162" t="str">
        <f t="shared" si="33"/>
        <v>00000000000011110010111011111100</v>
      </c>
      <c r="J162" t="str">
        <f t="shared" si="26"/>
        <v>f</v>
      </c>
      <c r="K162" t="str">
        <f t="shared" si="34"/>
        <v>101110</v>
      </c>
      <c r="L162" t="str">
        <f t="shared" si="35"/>
        <v>111111</v>
      </c>
      <c r="M162" t="str">
        <f>LOOKUP(J162,Lookups!$A$27:$A$42,Lookups!$B$27:$B$42)</f>
        <v>s</v>
      </c>
      <c r="N162">
        <f t="shared" si="36"/>
        <v>46</v>
      </c>
      <c r="O162">
        <f t="shared" si="37"/>
        <v>63</v>
      </c>
      <c r="P162">
        <f t="shared" si="38"/>
        <v>3007</v>
      </c>
    </row>
    <row r="163" spans="1:16" x14ac:dyDescent="0.35">
      <c r="A163" t="s">
        <v>479</v>
      </c>
      <c r="C163" t="str">
        <f t="shared" si="27"/>
        <v>3041</v>
      </c>
      <c r="D163" t="str">
        <f t="shared" si="28"/>
        <v>000b2f90</v>
      </c>
      <c r="E163" t="str">
        <f t="shared" si="29"/>
        <v>00000000</v>
      </c>
      <c r="F163" t="str">
        <f t="shared" si="30"/>
        <v>00001011</v>
      </c>
      <c r="G163" t="str">
        <f t="shared" si="31"/>
        <v>00101111</v>
      </c>
      <c r="H163" t="str">
        <f t="shared" si="32"/>
        <v>10010000</v>
      </c>
      <c r="I163" t="str">
        <f t="shared" si="33"/>
        <v>00000000000010110010111110010000</v>
      </c>
      <c r="J163" t="str">
        <f t="shared" si="26"/>
        <v>b</v>
      </c>
      <c r="K163" t="str">
        <f t="shared" si="34"/>
        <v>101111</v>
      </c>
      <c r="L163" t="str">
        <f t="shared" si="35"/>
        <v>100100</v>
      </c>
      <c r="M163" t="str">
        <f>LOOKUP(J163,Lookups!$A$27:$A$42,Lookups!$B$27:$B$42)</f>
        <v>t</v>
      </c>
      <c r="N163">
        <f t="shared" si="36"/>
        <v>47</v>
      </c>
      <c r="O163">
        <f t="shared" si="37"/>
        <v>36</v>
      </c>
      <c r="P163">
        <f t="shared" si="38"/>
        <v>3044</v>
      </c>
    </row>
    <row r="164" spans="1:16" x14ac:dyDescent="0.35">
      <c r="A164" t="s">
        <v>480</v>
      </c>
      <c r="C164" t="str">
        <f t="shared" si="27"/>
        <v>3042</v>
      </c>
      <c r="D164" t="str">
        <f t="shared" si="28"/>
        <v>000a2ec4</v>
      </c>
      <c r="E164" t="str">
        <f t="shared" si="29"/>
        <v>00000000</v>
      </c>
      <c r="F164" t="str">
        <f t="shared" si="30"/>
        <v>00001010</v>
      </c>
      <c r="G164" t="str">
        <f t="shared" si="31"/>
        <v>00101110</v>
      </c>
      <c r="H164" t="str">
        <f t="shared" si="32"/>
        <v>11000100</v>
      </c>
      <c r="I164" t="str">
        <f t="shared" si="33"/>
        <v>00000000000010100010111011000100</v>
      </c>
      <c r="J164" t="str">
        <f t="shared" si="26"/>
        <v>a</v>
      </c>
      <c r="K164" t="str">
        <f t="shared" si="34"/>
        <v>101110</v>
      </c>
      <c r="L164" t="str">
        <f t="shared" si="35"/>
        <v>110001</v>
      </c>
      <c r="M164" t="str">
        <f>LOOKUP(J164,Lookups!$A$27:$A$42,Lookups!$B$27:$B$42)</f>
        <v>u</v>
      </c>
      <c r="N164">
        <f t="shared" si="36"/>
        <v>46</v>
      </c>
      <c r="O164">
        <f t="shared" si="37"/>
        <v>49</v>
      </c>
      <c r="P164">
        <f t="shared" si="38"/>
        <v>2993</v>
      </c>
    </row>
    <row r="165" spans="1:16" x14ac:dyDescent="0.35">
      <c r="A165" t="s">
        <v>481</v>
      </c>
      <c r="C165" t="str">
        <f t="shared" si="27"/>
        <v>3043</v>
      </c>
      <c r="D165" t="str">
        <f t="shared" si="28"/>
        <v>00002d9c</v>
      </c>
      <c r="E165" t="str">
        <f t="shared" si="29"/>
        <v>00000000</v>
      </c>
      <c r="F165" t="str">
        <f t="shared" si="30"/>
        <v>00000000</v>
      </c>
      <c r="G165" t="str">
        <f t="shared" si="31"/>
        <v>00101101</v>
      </c>
      <c r="H165" t="str">
        <f t="shared" si="32"/>
        <v>10011100</v>
      </c>
      <c r="I165" t="str">
        <f t="shared" si="33"/>
        <v>00000000000000000010110110011100</v>
      </c>
      <c r="J165" t="str">
        <f t="shared" si="26"/>
        <v>0</v>
      </c>
      <c r="K165" t="str">
        <f t="shared" si="34"/>
        <v>101101</v>
      </c>
      <c r="L165" t="str">
        <f t="shared" si="35"/>
        <v>100111</v>
      </c>
      <c r="M165" t="str">
        <f>LOOKUP(J165,Lookups!$A$27:$A$42,Lookups!$B$27:$B$42)</f>
        <v>z</v>
      </c>
      <c r="N165">
        <f t="shared" si="36"/>
        <v>45</v>
      </c>
      <c r="O165">
        <f t="shared" si="37"/>
        <v>39</v>
      </c>
      <c r="P165">
        <f t="shared" si="38"/>
        <v>2919</v>
      </c>
    </row>
    <row r="166" spans="1:16" x14ac:dyDescent="0.35">
      <c r="A166" t="s">
        <v>482</v>
      </c>
      <c r="C166" t="str">
        <f t="shared" si="27"/>
        <v>3044</v>
      </c>
      <c r="D166" t="str">
        <f t="shared" si="28"/>
        <v>00081800</v>
      </c>
      <c r="E166" t="str">
        <f t="shared" si="29"/>
        <v>00000000</v>
      </c>
      <c r="F166" t="str">
        <f t="shared" si="30"/>
        <v>00001000</v>
      </c>
      <c r="G166" t="str">
        <f t="shared" si="31"/>
        <v>00011000</v>
      </c>
      <c r="H166" t="str">
        <f t="shared" si="32"/>
        <v>00000000</v>
      </c>
      <c r="I166" t="str">
        <f t="shared" si="33"/>
        <v>00000000000010000001100000000000</v>
      </c>
      <c r="J166" t="str">
        <f t="shared" si="26"/>
        <v>8</v>
      </c>
      <c r="K166" t="str">
        <f t="shared" si="34"/>
        <v>011000</v>
      </c>
      <c r="L166" t="str">
        <f t="shared" si="35"/>
        <v>000000</v>
      </c>
      <c r="M166" t="str">
        <f>LOOKUP(J166,Lookups!$A$27:$A$42,Lookups!$B$27:$B$42)</f>
        <v>p</v>
      </c>
      <c r="N166">
        <f t="shared" si="36"/>
        <v>24</v>
      </c>
      <c r="O166">
        <f t="shared" si="37"/>
        <v>0</v>
      </c>
      <c r="P166">
        <f t="shared" si="38"/>
        <v>1536</v>
      </c>
    </row>
    <row r="167" spans="1:16" x14ac:dyDescent="0.35">
      <c r="A167" t="s">
        <v>483</v>
      </c>
      <c r="C167" t="str">
        <f t="shared" si="27"/>
        <v>3045</v>
      </c>
      <c r="D167" t="str">
        <f t="shared" si="28"/>
        <v>00000030</v>
      </c>
      <c r="E167" t="str">
        <f t="shared" si="29"/>
        <v>00000000</v>
      </c>
      <c r="F167" t="str">
        <f t="shared" si="30"/>
        <v>00000000</v>
      </c>
      <c r="G167" t="str">
        <f t="shared" si="31"/>
        <v>00000000</v>
      </c>
      <c r="H167" t="str">
        <f t="shared" si="32"/>
        <v>00110000</v>
      </c>
      <c r="I167" t="str">
        <f t="shared" si="33"/>
        <v>00000000000000000000000000110000</v>
      </c>
      <c r="J167" t="str">
        <f t="shared" si="26"/>
        <v>0</v>
      </c>
      <c r="K167" t="str">
        <f t="shared" si="34"/>
        <v>000000</v>
      </c>
      <c r="L167" t="str">
        <f t="shared" si="35"/>
        <v>001100</v>
      </c>
      <c r="M167" t="str">
        <f>LOOKUP(J167,Lookups!$A$27:$A$42,Lookups!$B$27:$B$42)</f>
        <v>z</v>
      </c>
      <c r="N167">
        <f t="shared" si="36"/>
        <v>0</v>
      </c>
      <c r="O167">
        <f t="shared" si="37"/>
        <v>12</v>
      </c>
      <c r="P167">
        <f t="shared" si="38"/>
        <v>12</v>
      </c>
    </row>
    <row r="168" spans="1:16" x14ac:dyDescent="0.35">
      <c r="A168" t="s">
        <v>484</v>
      </c>
      <c r="C168" t="str">
        <f t="shared" si="27"/>
        <v>3046</v>
      </c>
      <c r="D168" t="str">
        <f t="shared" si="28"/>
        <v>000133b4</v>
      </c>
      <c r="E168" t="str">
        <f t="shared" si="29"/>
        <v>00000000</v>
      </c>
      <c r="F168" t="str">
        <f t="shared" si="30"/>
        <v>00000001</v>
      </c>
      <c r="G168" t="str">
        <f t="shared" si="31"/>
        <v>00110011</v>
      </c>
      <c r="H168" t="str">
        <f t="shared" si="32"/>
        <v>10110100</v>
      </c>
      <c r="I168" t="str">
        <f t="shared" si="33"/>
        <v>00000000000000010011001110110100</v>
      </c>
      <c r="J168" t="str">
        <f t="shared" si="26"/>
        <v>1</v>
      </c>
      <c r="K168" t="str">
        <f t="shared" si="34"/>
        <v>110011</v>
      </c>
      <c r="L168" t="str">
        <f t="shared" si="35"/>
        <v>101101</v>
      </c>
      <c r="M168" t="str">
        <f>LOOKUP(J168,Lookups!$A$27:$A$42,Lookups!$B$27:$B$42)</f>
        <v>b</v>
      </c>
      <c r="N168">
        <f t="shared" si="36"/>
        <v>51</v>
      </c>
      <c r="O168">
        <f t="shared" si="37"/>
        <v>45</v>
      </c>
      <c r="P168">
        <f t="shared" si="38"/>
        <v>3309</v>
      </c>
    </row>
    <row r="169" spans="1:16" x14ac:dyDescent="0.35">
      <c r="A169" t="s">
        <v>485</v>
      </c>
      <c r="C169" t="str">
        <f t="shared" si="27"/>
        <v>3047</v>
      </c>
      <c r="D169" t="str">
        <f t="shared" si="28"/>
        <v>000b2fa4</v>
      </c>
      <c r="E169" t="str">
        <f t="shared" si="29"/>
        <v>00000000</v>
      </c>
      <c r="F169" t="str">
        <f t="shared" si="30"/>
        <v>00001011</v>
      </c>
      <c r="G169" t="str">
        <f t="shared" si="31"/>
        <v>00101111</v>
      </c>
      <c r="H169" t="str">
        <f t="shared" si="32"/>
        <v>10100100</v>
      </c>
      <c r="I169" t="str">
        <f t="shared" si="33"/>
        <v>00000000000010110010111110100100</v>
      </c>
      <c r="J169" t="str">
        <f t="shared" si="26"/>
        <v>b</v>
      </c>
      <c r="K169" t="str">
        <f t="shared" si="34"/>
        <v>101111</v>
      </c>
      <c r="L169" t="str">
        <f t="shared" si="35"/>
        <v>101001</v>
      </c>
      <c r="M169" t="str">
        <f>LOOKUP(J169,Lookups!$A$27:$A$42,Lookups!$B$27:$B$42)</f>
        <v>t</v>
      </c>
      <c r="N169">
        <f t="shared" si="36"/>
        <v>47</v>
      </c>
      <c r="O169">
        <f t="shared" si="37"/>
        <v>41</v>
      </c>
      <c r="P169">
        <f t="shared" si="38"/>
        <v>3049</v>
      </c>
    </row>
    <row r="170" spans="1:16" x14ac:dyDescent="0.35">
      <c r="A170" t="s">
        <v>486</v>
      </c>
      <c r="C170" t="str">
        <f t="shared" si="27"/>
        <v>3048</v>
      </c>
      <c r="D170" t="str">
        <f t="shared" si="28"/>
        <v>000a2fc0</v>
      </c>
      <c r="E170" t="str">
        <f t="shared" si="29"/>
        <v>00000000</v>
      </c>
      <c r="F170" t="str">
        <f t="shared" si="30"/>
        <v>00001010</v>
      </c>
      <c r="G170" t="str">
        <f t="shared" si="31"/>
        <v>00101111</v>
      </c>
      <c r="H170" t="str">
        <f t="shared" si="32"/>
        <v>11000000</v>
      </c>
      <c r="I170" t="str">
        <f t="shared" si="33"/>
        <v>00000000000010100010111111000000</v>
      </c>
      <c r="J170" t="str">
        <f t="shared" si="26"/>
        <v>a</v>
      </c>
      <c r="K170" t="str">
        <f t="shared" si="34"/>
        <v>101111</v>
      </c>
      <c r="L170" t="str">
        <f t="shared" si="35"/>
        <v>110000</v>
      </c>
      <c r="M170" t="str">
        <f>LOOKUP(J170,Lookups!$A$27:$A$42,Lookups!$B$27:$B$42)</f>
        <v>u</v>
      </c>
      <c r="N170">
        <f t="shared" si="36"/>
        <v>47</v>
      </c>
      <c r="O170">
        <f t="shared" si="37"/>
        <v>48</v>
      </c>
      <c r="P170">
        <f t="shared" si="38"/>
        <v>3056</v>
      </c>
    </row>
    <row r="171" spans="1:16" x14ac:dyDescent="0.35">
      <c r="A171" t="s">
        <v>487</v>
      </c>
      <c r="C171" t="str">
        <f t="shared" si="27"/>
        <v>3049</v>
      </c>
      <c r="D171" t="str">
        <f t="shared" si="28"/>
        <v>00092df8</v>
      </c>
      <c r="E171" t="str">
        <f t="shared" si="29"/>
        <v>00000000</v>
      </c>
      <c r="F171" t="str">
        <f t="shared" si="30"/>
        <v>00001001</v>
      </c>
      <c r="G171" t="str">
        <f t="shared" si="31"/>
        <v>00101101</v>
      </c>
      <c r="H171" t="str">
        <f t="shared" si="32"/>
        <v>11111000</v>
      </c>
      <c r="I171" t="str">
        <f t="shared" si="33"/>
        <v>00000000000010010010110111111000</v>
      </c>
      <c r="J171" t="str">
        <f t="shared" si="26"/>
        <v>9</v>
      </c>
      <c r="K171" t="str">
        <f t="shared" si="34"/>
        <v>101101</v>
      </c>
      <c r="L171" t="str">
        <f t="shared" si="35"/>
        <v>111110</v>
      </c>
      <c r="M171" t="str">
        <f>LOOKUP(J171,Lookups!$A$27:$A$42,Lookups!$B$27:$B$42)</f>
        <v>e</v>
      </c>
      <c r="N171">
        <f t="shared" si="36"/>
        <v>45</v>
      </c>
      <c r="O171">
        <f t="shared" si="37"/>
        <v>62</v>
      </c>
      <c r="P171">
        <f t="shared" si="38"/>
        <v>2942</v>
      </c>
    </row>
    <row r="172" spans="1:16" x14ac:dyDescent="0.35">
      <c r="A172" t="s">
        <v>488</v>
      </c>
      <c r="C172" t="str">
        <f t="shared" si="27"/>
        <v>3050</v>
      </c>
      <c r="D172" t="str">
        <f t="shared" si="28"/>
        <v>000c33b4</v>
      </c>
      <c r="E172" t="str">
        <f t="shared" si="29"/>
        <v>00000000</v>
      </c>
      <c r="F172" t="str">
        <f t="shared" si="30"/>
        <v>00001100</v>
      </c>
      <c r="G172" t="str">
        <f t="shared" si="31"/>
        <v>00110011</v>
      </c>
      <c r="H172" t="str">
        <f t="shared" si="32"/>
        <v>10110100</v>
      </c>
      <c r="I172" t="str">
        <f t="shared" si="33"/>
        <v>00000000000011000011001110110100</v>
      </c>
      <c r="J172" t="str">
        <f t="shared" si="26"/>
        <v>c</v>
      </c>
      <c r="K172" t="str">
        <f t="shared" si="34"/>
        <v>110011</v>
      </c>
      <c r="L172" t="str">
        <f t="shared" si="35"/>
        <v>101101</v>
      </c>
      <c r="M172" t="str">
        <f>LOOKUP(J172,Lookups!$A$27:$A$42,Lookups!$B$27:$B$42)</f>
        <v>h</v>
      </c>
      <c r="N172">
        <f t="shared" si="36"/>
        <v>51</v>
      </c>
      <c r="O172">
        <f t="shared" si="37"/>
        <v>45</v>
      </c>
      <c r="P172">
        <f t="shared" si="38"/>
        <v>3309</v>
      </c>
    </row>
    <row r="173" spans="1:16" x14ac:dyDescent="0.35">
      <c r="A173" t="s">
        <v>489</v>
      </c>
      <c r="C173" t="str">
        <f t="shared" si="27"/>
        <v>3051</v>
      </c>
      <c r="D173" t="str">
        <f t="shared" si="28"/>
        <v>000f2f94</v>
      </c>
      <c r="E173" t="str">
        <f t="shared" si="29"/>
        <v>00000000</v>
      </c>
      <c r="F173" t="str">
        <f t="shared" si="30"/>
        <v>00001111</v>
      </c>
      <c r="G173" t="str">
        <f t="shared" si="31"/>
        <v>00101111</v>
      </c>
      <c r="H173" t="str">
        <f t="shared" si="32"/>
        <v>10010100</v>
      </c>
      <c r="I173" t="str">
        <f t="shared" si="33"/>
        <v>00000000000011110010111110010100</v>
      </c>
      <c r="J173" t="str">
        <f t="shared" si="26"/>
        <v>f</v>
      </c>
      <c r="K173" t="str">
        <f t="shared" si="34"/>
        <v>101111</v>
      </c>
      <c r="L173" t="str">
        <f t="shared" si="35"/>
        <v>100101</v>
      </c>
      <c r="M173" t="str">
        <f>LOOKUP(J173,Lookups!$A$27:$A$42,Lookups!$B$27:$B$42)</f>
        <v>s</v>
      </c>
      <c r="N173">
        <f t="shared" si="36"/>
        <v>47</v>
      </c>
      <c r="O173">
        <f t="shared" si="37"/>
        <v>37</v>
      </c>
      <c r="P173">
        <f t="shared" si="38"/>
        <v>3045</v>
      </c>
    </row>
    <row r="174" spans="1:16" x14ac:dyDescent="0.35">
      <c r="A174" t="s">
        <v>490</v>
      </c>
      <c r="C174" t="str">
        <f t="shared" si="27"/>
        <v>3052</v>
      </c>
      <c r="D174" t="str">
        <f t="shared" si="28"/>
        <v>000b2fb8</v>
      </c>
      <c r="E174" t="str">
        <f t="shared" si="29"/>
        <v>00000000</v>
      </c>
      <c r="F174" t="str">
        <f t="shared" si="30"/>
        <v>00001011</v>
      </c>
      <c r="G174" t="str">
        <f t="shared" si="31"/>
        <v>00101111</v>
      </c>
      <c r="H174" t="str">
        <f t="shared" si="32"/>
        <v>10111000</v>
      </c>
      <c r="I174" t="str">
        <f t="shared" si="33"/>
        <v>00000000000010110010111110111000</v>
      </c>
      <c r="J174" t="str">
        <f t="shared" si="26"/>
        <v>b</v>
      </c>
      <c r="K174" t="str">
        <f t="shared" si="34"/>
        <v>101111</v>
      </c>
      <c r="L174" t="str">
        <f t="shared" si="35"/>
        <v>101110</v>
      </c>
      <c r="M174" t="str">
        <f>LOOKUP(J174,Lookups!$A$27:$A$42,Lookups!$B$27:$B$42)</f>
        <v>t</v>
      </c>
      <c r="N174">
        <f t="shared" si="36"/>
        <v>47</v>
      </c>
      <c r="O174">
        <f t="shared" si="37"/>
        <v>46</v>
      </c>
      <c r="P174">
        <f t="shared" si="38"/>
        <v>3054</v>
      </c>
    </row>
    <row r="175" spans="1:16" x14ac:dyDescent="0.35">
      <c r="A175" t="s">
        <v>491</v>
      </c>
      <c r="C175" t="str">
        <f t="shared" si="27"/>
        <v>3053</v>
      </c>
      <c r="D175" t="str">
        <f t="shared" si="28"/>
        <v>000a2fc0</v>
      </c>
      <c r="E175" t="str">
        <f t="shared" si="29"/>
        <v>00000000</v>
      </c>
      <c r="F175" t="str">
        <f t="shared" si="30"/>
        <v>00001010</v>
      </c>
      <c r="G175" t="str">
        <f t="shared" si="31"/>
        <v>00101111</v>
      </c>
      <c r="H175" t="str">
        <f t="shared" si="32"/>
        <v>11000000</v>
      </c>
      <c r="I175" t="str">
        <f t="shared" si="33"/>
        <v>00000000000010100010111111000000</v>
      </c>
      <c r="J175" t="str">
        <f t="shared" si="26"/>
        <v>a</v>
      </c>
      <c r="K175" t="str">
        <f t="shared" si="34"/>
        <v>101111</v>
      </c>
      <c r="L175" t="str">
        <f t="shared" si="35"/>
        <v>110000</v>
      </c>
      <c r="M175" t="str">
        <f>LOOKUP(J175,Lookups!$A$27:$A$42,Lookups!$B$27:$B$42)</f>
        <v>u</v>
      </c>
      <c r="N175">
        <f t="shared" si="36"/>
        <v>47</v>
      </c>
      <c r="O175">
        <f t="shared" si="37"/>
        <v>48</v>
      </c>
      <c r="P175">
        <f t="shared" si="38"/>
        <v>3056</v>
      </c>
    </row>
    <row r="176" spans="1:16" x14ac:dyDescent="0.35">
      <c r="A176" t="s">
        <v>492</v>
      </c>
      <c r="C176" t="str">
        <f t="shared" si="27"/>
        <v>3054</v>
      </c>
      <c r="D176" t="str">
        <f t="shared" si="28"/>
        <v>000e2ea4</v>
      </c>
      <c r="E176" t="str">
        <f t="shared" si="29"/>
        <v>00000000</v>
      </c>
      <c r="F176" t="str">
        <f t="shared" si="30"/>
        <v>00001110</v>
      </c>
      <c r="G176" t="str">
        <f t="shared" si="31"/>
        <v>00101110</v>
      </c>
      <c r="H176" t="str">
        <f t="shared" si="32"/>
        <v>10100100</v>
      </c>
      <c r="I176" t="str">
        <f t="shared" si="33"/>
        <v>00000000000011100010111010100100</v>
      </c>
      <c r="J176" t="str">
        <f t="shared" si="26"/>
        <v>e</v>
      </c>
      <c r="K176" t="str">
        <f t="shared" si="34"/>
        <v>101110</v>
      </c>
      <c r="L176" t="str">
        <f t="shared" si="35"/>
        <v>101001</v>
      </c>
      <c r="M176" t="str">
        <f>LOOKUP(J176,Lookups!$A$27:$A$42,Lookups!$B$27:$B$42)</f>
        <v>a</v>
      </c>
      <c r="N176">
        <f t="shared" si="36"/>
        <v>46</v>
      </c>
      <c r="O176">
        <f t="shared" si="37"/>
        <v>41</v>
      </c>
      <c r="P176">
        <f t="shared" si="38"/>
        <v>2985</v>
      </c>
    </row>
    <row r="177" spans="1:16" x14ac:dyDescent="0.35">
      <c r="A177" t="s">
        <v>493</v>
      </c>
      <c r="C177" t="str">
        <f t="shared" si="27"/>
        <v>3055</v>
      </c>
      <c r="D177" t="str">
        <f t="shared" si="28"/>
        <v>000d33b4</v>
      </c>
      <c r="E177" t="str">
        <f t="shared" si="29"/>
        <v>00000000</v>
      </c>
      <c r="F177" t="str">
        <f t="shared" si="30"/>
        <v>00001101</v>
      </c>
      <c r="G177" t="str">
        <f t="shared" si="31"/>
        <v>00110011</v>
      </c>
      <c r="H177" t="str">
        <f t="shared" si="32"/>
        <v>10110100</v>
      </c>
      <c r="I177" t="str">
        <f t="shared" si="33"/>
        <v>00000000000011010011001110110100</v>
      </c>
      <c r="J177" t="str">
        <f t="shared" si="26"/>
        <v>d</v>
      </c>
      <c r="K177" t="str">
        <f t="shared" si="34"/>
        <v>110011</v>
      </c>
      <c r="L177" t="str">
        <f t="shared" si="35"/>
        <v>101101</v>
      </c>
      <c r="M177" t="str">
        <f>LOOKUP(J177,Lookups!$A$27:$A$42,Lookups!$B$27:$B$42)</f>
        <v>c</v>
      </c>
      <c r="N177">
        <f t="shared" si="36"/>
        <v>51</v>
      </c>
      <c r="O177">
        <f t="shared" si="37"/>
        <v>45</v>
      </c>
      <c r="P177">
        <f t="shared" si="38"/>
        <v>3309</v>
      </c>
    </row>
    <row r="178" spans="1:16" x14ac:dyDescent="0.35">
      <c r="A178" t="s">
        <v>494</v>
      </c>
      <c r="C178" t="str">
        <f t="shared" si="27"/>
        <v>3056</v>
      </c>
      <c r="D178" t="str">
        <f t="shared" si="28"/>
        <v>00080c00</v>
      </c>
      <c r="E178" t="str">
        <f t="shared" si="29"/>
        <v>00000000</v>
      </c>
      <c r="F178" t="str">
        <f t="shared" si="30"/>
        <v>00001000</v>
      </c>
      <c r="G178" t="str">
        <f t="shared" si="31"/>
        <v>00001100</v>
      </c>
      <c r="H178" t="str">
        <f t="shared" si="32"/>
        <v>00000000</v>
      </c>
      <c r="I178" t="str">
        <f t="shared" si="33"/>
        <v>00000000000010000000110000000000</v>
      </c>
      <c r="J178" t="str">
        <f t="shared" si="26"/>
        <v>8</v>
      </c>
      <c r="K178" t="str">
        <f t="shared" si="34"/>
        <v>001100</v>
      </c>
      <c r="L178" t="str">
        <f t="shared" si="35"/>
        <v>000000</v>
      </c>
      <c r="M178" t="str">
        <f>LOOKUP(J178,Lookups!$A$27:$A$42,Lookups!$B$27:$B$42)</f>
        <v>p</v>
      </c>
      <c r="N178">
        <f t="shared" si="36"/>
        <v>12</v>
      </c>
      <c r="O178">
        <f t="shared" si="37"/>
        <v>0</v>
      </c>
      <c r="P178">
        <f t="shared" si="38"/>
        <v>768</v>
      </c>
    </row>
    <row r="179" spans="1:16" x14ac:dyDescent="0.35">
      <c r="A179" t="s">
        <v>495</v>
      </c>
      <c r="C179" t="str">
        <f t="shared" si="27"/>
        <v>3057</v>
      </c>
      <c r="D179" t="str">
        <f t="shared" si="28"/>
        <v>00000028</v>
      </c>
      <c r="E179" t="str">
        <f t="shared" si="29"/>
        <v>00000000</v>
      </c>
      <c r="F179" t="str">
        <f t="shared" si="30"/>
        <v>00000000</v>
      </c>
      <c r="G179" t="str">
        <f t="shared" si="31"/>
        <v>00000000</v>
      </c>
      <c r="H179" t="str">
        <f t="shared" si="32"/>
        <v>00101000</v>
      </c>
      <c r="I179" t="str">
        <f t="shared" si="33"/>
        <v>00000000000000000000000000101000</v>
      </c>
      <c r="J179" t="str">
        <f t="shared" si="26"/>
        <v>0</v>
      </c>
      <c r="K179" t="str">
        <f t="shared" si="34"/>
        <v>000000</v>
      </c>
      <c r="L179" t="str">
        <f t="shared" si="35"/>
        <v>001010</v>
      </c>
      <c r="M179" t="str">
        <f>LOOKUP(J179,Lookups!$A$27:$A$42,Lookups!$B$27:$B$42)</f>
        <v>z</v>
      </c>
      <c r="N179">
        <f t="shared" si="36"/>
        <v>0</v>
      </c>
      <c r="O179">
        <f t="shared" si="37"/>
        <v>10</v>
      </c>
      <c r="P179">
        <f t="shared" si="38"/>
        <v>10</v>
      </c>
    </row>
    <row r="180" spans="1:16" x14ac:dyDescent="0.35">
      <c r="A180" t="s">
        <v>496</v>
      </c>
      <c r="C180" t="str">
        <f t="shared" si="27"/>
        <v>3058</v>
      </c>
      <c r="D180" t="str">
        <f t="shared" si="28"/>
        <v>00081800</v>
      </c>
      <c r="E180" t="str">
        <f t="shared" si="29"/>
        <v>00000000</v>
      </c>
      <c r="F180" t="str">
        <f t="shared" si="30"/>
        <v>00001000</v>
      </c>
      <c r="G180" t="str">
        <f t="shared" si="31"/>
        <v>00011000</v>
      </c>
      <c r="H180" t="str">
        <f t="shared" si="32"/>
        <v>00000000</v>
      </c>
      <c r="I180" t="str">
        <f t="shared" si="33"/>
        <v>00000000000010000001100000000000</v>
      </c>
      <c r="J180" t="str">
        <f t="shared" si="26"/>
        <v>8</v>
      </c>
      <c r="K180" t="str">
        <f t="shared" si="34"/>
        <v>011000</v>
      </c>
      <c r="L180" t="str">
        <f t="shared" si="35"/>
        <v>000000</v>
      </c>
      <c r="M180" t="str">
        <f>LOOKUP(J180,Lookups!$A$27:$A$42,Lookups!$B$27:$B$42)</f>
        <v>p</v>
      </c>
      <c r="N180">
        <f t="shared" si="36"/>
        <v>24</v>
      </c>
      <c r="O180">
        <f t="shared" si="37"/>
        <v>0</v>
      </c>
      <c r="P180">
        <f t="shared" si="38"/>
        <v>1536</v>
      </c>
    </row>
    <row r="181" spans="1:16" x14ac:dyDescent="0.35">
      <c r="A181" t="s">
        <v>497</v>
      </c>
      <c r="C181" t="str">
        <f t="shared" si="27"/>
        <v>3059</v>
      </c>
      <c r="D181" t="str">
        <f t="shared" si="28"/>
        <v>00012f5c</v>
      </c>
      <c r="E181" t="str">
        <f t="shared" si="29"/>
        <v>00000000</v>
      </c>
      <c r="F181" t="str">
        <f t="shared" si="30"/>
        <v>00000001</v>
      </c>
      <c r="G181" t="str">
        <f t="shared" si="31"/>
        <v>00101111</v>
      </c>
      <c r="H181" t="str">
        <f t="shared" si="32"/>
        <v>01011100</v>
      </c>
      <c r="I181" t="str">
        <f t="shared" si="33"/>
        <v>00000000000000010010111101011100</v>
      </c>
      <c r="J181" t="str">
        <f t="shared" si="26"/>
        <v>1</v>
      </c>
      <c r="K181" t="str">
        <f t="shared" si="34"/>
        <v>101111</v>
      </c>
      <c r="L181" t="str">
        <f t="shared" si="35"/>
        <v>010111</v>
      </c>
      <c r="M181" t="str">
        <f>LOOKUP(J181,Lookups!$A$27:$A$42,Lookups!$B$27:$B$42)</f>
        <v>b</v>
      </c>
      <c r="N181">
        <f t="shared" si="36"/>
        <v>47</v>
      </c>
      <c r="O181">
        <f t="shared" si="37"/>
        <v>23</v>
      </c>
      <c r="P181">
        <f t="shared" si="38"/>
        <v>3031</v>
      </c>
    </row>
    <row r="182" spans="1:16" x14ac:dyDescent="0.35">
      <c r="A182" t="s">
        <v>498</v>
      </c>
      <c r="C182" t="str">
        <f t="shared" si="27"/>
        <v>3060</v>
      </c>
      <c r="D182" t="str">
        <f t="shared" si="28"/>
        <v>000e2e8c</v>
      </c>
      <c r="E182" t="str">
        <f t="shared" si="29"/>
        <v>00000000</v>
      </c>
      <c r="F182" t="str">
        <f t="shared" si="30"/>
        <v>00001110</v>
      </c>
      <c r="G182" t="str">
        <f t="shared" si="31"/>
        <v>00101110</v>
      </c>
      <c r="H182" t="str">
        <f t="shared" si="32"/>
        <v>10001100</v>
      </c>
      <c r="I182" t="str">
        <f t="shared" si="33"/>
        <v>00000000000011100010111010001100</v>
      </c>
      <c r="J182" t="str">
        <f t="shared" si="26"/>
        <v>e</v>
      </c>
      <c r="K182" t="str">
        <f t="shared" si="34"/>
        <v>101110</v>
      </c>
      <c r="L182" t="str">
        <f t="shared" si="35"/>
        <v>100011</v>
      </c>
      <c r="M182" t="str">
        <f>LOOKUP(J182,Lookups!$A$27:$A$42,Lookups!$B$27:$B$42)</f>
        <v>a</v>
      </c>
      <c r="N182">
        <f t="shared" si="36"/>
        <v>46</v>
      </c>
      <c r="O182">
        <f t="shared" si="37"/>
        <v>35</v>
      </c>
      <c r="P182">
        <f t="shared" si="38"/>
        <v>2979</v>
      </c>
    </row>
    <row r="183" spans="1:16" x14ac:dyDescent="0.35">
      <c r="A183" t="s">
        <v>499</v>
      </c>
      <c r="C183" t="str">
        <f t="shared" si="27"/>
        <v>3061</v>
      </c>
      <c r="D183" t="str">
        <f t="shared" si="28"/>
        <v>000d2f5c</v>
      </c>
      <c r="E183" t="str">
        <f t="shared" si="29"/>
        <v>00000000</v>
      </c>
      <c r="F183" t="str">
        <f t="shared" si="30"/>
        <v>00001101</v>
      </c>
      <c r="G183" t="str">
        <f t="shared" si="31"/>
        <v>00101111</v>
      </c>
      <c r="H183" t="str">
        <f t="shared" si="32"/>
        <v>01011100</v>
      </c>
      <c r="I183" t="str">
        <f t="shared" si="33"/>
        <v>00000000000011010010111101011100</v>
      </c>
      <c r="J183" t="str">
        <f t="shared" si="26"/>
        <v>d</v>
      </c>
      <c r="K183" t="str">
        <f t="shared" si="34"/>
        <v>101111</v>
      </c>
      <c r="L183" t="str">
        <f t="shared" si="35"/>
        <v>010111</v>
      </c>
      <c r="M183" t="str">
        <f>LOOKUP(J183,Lookups!$A$27:$A$42,Lookups!$B$27:$B$42)</f>
        <v>c</v>
      </c>
      <c r="N183">
        <f t="shared" si="36"/>
        <v>47</v>
      </c>
      <c r="O183">
        <f t="shared" si="37"/>
        <v>23</v>
      </c>
      <c r="P183">
        <f t="shared" si="38"/>
        <v>3031</v>
      </c>
    </row>
    <row r="184" spans="1:16" x14ac:dyDescent="0.35">
      <c r="A184" t="s">
        <v>500</v>
      </c>
      <c r="C184" t="str">
        <f t="shared" si="27"/>
        <v>3062</v>
      </c>
      <c r="D184" t="str">
        <f t="shared" si="28"/>
        <v>00032e28</v>
      </c>
      <c r="E184" t="str">
        <f t="shared" si="29"/>
        <v>00000000</v>
      </c>
      <c r="F184" t="str">
        <f t="shared" si="30"/>
        <v>00000011</v>
      </c>
      <c r="G184" t="str">
        <f t="shared" si="31"/>
        <v>00101110</v>
      </c>
      <c r="H184" t="str">
        <f t="shared" si="32"/>
        <v>00101000</v>
      </c>
      <c r="I184" t="str">
        <f t="shared" si="33"/>
        <v>00000000000000110010111000101000</v>
      </c>
      <c r="J184" t="str">
        <f t="shared" si="26"/>
        <v>3</v>
      </c>
      <c r="K184" t="str">
        <f t="shared" si="34"/>
        <v>101110</v>
      </c>
      <c r="L184" t="str">
        <f t="shared" si="35"/>
        <v>001010</v>
      </c>
      <c r="M184" t="str">
        <f>LOOKUP(J184,Lookups!$A$27:$A$42,Lookups!$B$27:$B$42)</f>
        <v>r</v>
      </c>
      <c r="N184">
        <f t="shared" si="36"/>
        <v>46</v>
      </c>
      <c r="O184">
        <f t="shared" si="37"/>
        <v>10</v>
      </c>
      <c r="P184">
        <f t="shared" si="38"/>
        <v>2954</v>
      </c>
    </row>
    <row r="185" spans="1:16" x14ac:dyDescent="0.35">
      <c r="A185" t="s">
        <v>501</v>
      </c>
      <c r="C185" t="str">
        <f t="shared" si="27"/>
        <v>3063</v>
      </c>
      <c r="D185" t="str">
        <f t="shared" si="28"/>
        <v>000a2e68</v>
      </c>
      <c r="E185" t="str">
        <f t="shared" si="29"/>
        <v>00000000</v>
      </c>
      <c r="F185" t="str">
        <f t="shared" si="30"/>
        <v>00001010</v>
      </c>
      <c r="G185" t="str">
        <f t="shared" si="31"/>
        <v>00101110</v>
      </c>
      <c r="H185" t="str">
        <f t="shared" si="32"/>
        <v>01101000</v>
      </c>
      <c r="I185" t="str">
        <f t="shared" si="33"/>
        <v>00000000000010100010111001101000</v>
      </c>
      <c r="J185" t="str">
        <f t="shared" si="26"/>
        <v>a</v>
      </c>
      <c r="K185" t="str">
        <f t="shared" si="34"/>
        <v>101110</v>
      </c>
      <c r="L185" t="str">
        <f t="shared" si="35"/>
        <v>011010</v>
      </c>
      <c r="M185" t="str">
        <f>LOOKUP(J185,Lookups!$A$27:$A$42,Lookups!$B$27:$B$42)</f>
        <v>u</v>
      </c>
      <c r="N185">
        <f t="shared" si="36"/>
        <v>46</v>
      </c>
      <c r="O185">
        <f t="shared" si="37"/>
        <v>26</v>
      </c>
      <c r="P185">
        <f t="shared" si="38"/>
        <v>2970</v>
      </c>
    </row>
    <row r="186" spans="1:16" x14ac:dyDescent="0.35">
      <c r="A186" t="s">
        <v>502</v>
      </c>
      <c r="C186" t="str">
        <f t="shared" si="27"/>
        <v>3064</v>
      </c>
      <c r="D186" t="str">
        <f t="shared" si="28"/>
        <v>000b2f4c</v>
      </c>
      <c r="E186" t="str">
        <f t="shared" si="29"/>
        <v>00000000</v>
      </c>
      <c r="F186" t="str">
        <f t="shared" si="30"/>
        <v>00001011</v>
      </c>
      <c r="G186" t="str">
        <f t="shared" si="31"/>
        <v>00101111</v>
      </c>
      <c r="H186" t="str">
        <f t="shared" si="32"/>
        <v>01001100</v>
      </c>
      <c r="I186" t="str">
        <f t="shared" si="33"/>
        <v>00000000000010110010111101001100</v>
      </c>
      <c r="J186" t="str">
        <f t="shared" si="26"/>
        <v>b</v>
      </c>
      <c r="K186" t="str">
        <f t="shared" si="34"/>
        <v>101111</v>
      </c>
      <c r="L186" t="str">
        <f t="shared" si="35"/>
        <v>010011</v>
      </c>
      <c r="M186" t="str">
        <f>LOOKUP(J186,Lookups!$A$27:$A$42,Lookups!$B$27:$B$42)</f>
        <v>t</v>
      </c>
      <c r="N186">
        <f t="shared" si="36"/>
        <v>47</v>
      </c>
      <c r="O186">
        <f t="shared" si="37"/>
        <v>19</v>
      </c>
      <c r="P186">
        <f t="shared" si="38"/>
        <v>3027</v>
      </c>
    </row>
    <row r="187" spans="1:16" x14ac:dyDescent="0.35">
      <c r="A187" t="s">
        <v>503</v>
      </c>
      <c r="C187" t="str">
        <f t="shared" si="27"/>
        <v>3065</v>
      </c>
      <c r="D187" t="str">
        <f t="shared" si="28"/>
        <v>000e3274</v>
      </c>
      <c r="E187" t="str">
        <f t="shared" si="29"/>
        <v>00000000</v>
      </c>
      <c r="F187" t="str">
        <f t="shared" si="30"/>
        <v>00001110</v>
      </c>
      <c r="G187" t="str">
        <f t="shared" si="31"/>
        <v>00110010</v>
      </c>
      <c r="H187" t="str">
        <f t="shared" si="32"/>
        <v>01110100</v>
      </c>
      <c r="I187" t="str">
        <f t="shared" si="33"/>
        <v>00000000000011100011001001110100</v>
      </c>
      <c r="J187" t="str">
        <f t="shared" si="26"/>
        <v>e</v>
      </c>
      <c r="K187" t="str">
        <f t="shared" si="34"/>
        <v>110010</v>
      </c>
      <c r="L187" t="str">
        <f t="shared" si="35"/>
        <v>011101</v>
      </c>
      <c r="M187" t="str">
        <f>LOOKUP(J187,Lookups!$A$27:$A$42,Lookups!$B$27:$B$42)</f>
        <v>a</v>
      </c>
      <c r="N187">
        <f t="shared" si="36"/>
        <v>50</v>
      </c>
      <c r="O187">
        <f t="shared" si="37"/>
        <v>29</v>
      </c>
      <c r="P187">
        <f t="shared" si="38"/>
        <v>3229</v>
      </c>
    </row>
    <row r="188" spans="1:16" x14ac:dyDescent="0.35">
      <c r="A188" t="s">
        <v>504</v>
      </c>
      <c r="C188" t="str">
        <f t="shared" si="27"/>
        <v>3066</v>
      </c>
      <c r="D188" t="str">
        <f t="shared" si="28"/>
        <v>000c3274</v>
      </c>
      <c r="E188" t="str">
        <f t="shared" si="29"/>
        <v>00000000</v>
      </c>
      <c r="F188" t="str">
        <f t="shared" si="30"/>
        <v>00001100</v>
      </c>
      <c r="G188" t="str">
        <f t="shared" si="31"/>
        <v>00110010</v>
      </c>
      <c r="H188" t="str">
        <f t="shared" si="32"/>
        <v>01110100</v>
      </c>
      <c r="I188" t="str">
        <f t="shared" si="33"/>
        <v>00000000000011000011001001110100</v>
      </c>
      <c r="J188" t="str">
        <f t="shared" si="26"/>
        <v>c</v>
      </c>
      <c r="K188" t="str">
        <f t="shared" si="34"/>
        <v>110010</v>
      </c>
      <c r="L188" t="str">
        <f t="shared" si="35"/>
        <v>011101</v>
      </c>
      <c r="M188" t="str">
        <f>LOOKUP(J188,Lookups!$A$27:$A$42,Lookups!$B$27:$B$42)</f>
        <v>h</v>
      </c>
      <c r="N188">
        <f t="shared" si="36"/>
        <v>50</v>
      </c>
      <c r="O188">
        <f t="shared" si="37"/>
        <v>29</v>
      </c>
      <c r="P188">
        <f t="shared" si="38"/>
        <v>3229</v>
      </c>
    </row>
    <row r="189" spans="1:16" x14ac:dyDescent="0.35">
      <c r="A189" t="s">
        <v>505</v>
      </c>
      <c r="C189" t="str">
        <f t="shared" si="27"/>
        <v>3067</v>
      </c>
      <c r="D189" t="str">
        <f t="shared" si="28"/>
        <v>00092df8</v>
      </c>
      <c r="E189" t="str">
        <f t="shared" si="29"/>
        <v>00000000</v>
      </c>
      <c r="F189" t="str">
        <f t="shared" si="30"/>
        <v>00001001</v>
      </c>
      <c r="G189" t="str">
        <f t="shared" si="31"/>
        <v>00101101</v>
      </c>
      <c r="H189" t="str">
        <f t="shared" si="32"/>
        <v>11111000</v>
      </c>
      <c r="I189" t="str">
        <f t="shared" si="33"/>
        <v>00000000000010010010110111111000</v>
      </c>
      <c r="J189" t="str">
        <f t="shared" si="26"/>
        <v>9</v>
      </c>
      <c r="K189" t="str">
        <f t="shared" si="34"/>
        <v>101101</v>
      </c>
      <c r="L189" t="str">
        <f t="shared" si="35"/>
        <v>111110</v>
      </c>
      <c r="M189" t="str">
        <f>LOOKUP(J189,Lookups!$A$27:$A$42,Lookups!$B$27:$B$42)</f>
        <v>e</v>
      </c>
      <c r="N189">
        <f t="shared" si="36"/>
        <v>45</v>
      </c>
      <c r="O189">
        <f t="shared" si="37"/>
        <v>62</v>
      </c>
      <c r="P189">
        <f t="shared" si="38"/>
        <v>2942</v>
      </c>
    </row>
    <row r="190" spans="1:16" x14ac:dyDescent="0.35">
      <c r="A190" t="s">
        <v>506</v>
      </c>
      <c r="C190" t="str">
        <f t="shared" si="27"/>
        <v>3068</v>
      </c>
      <c r="D190" t="str">
        <f t="shared" si="28"/>
        <v>000f2ea4</v>
      </c>
      <c r="E190" t="str">
        <f t="shared" si="29"/>
        <v>00000000</v>
      </c>
      <c r="F190" t="str">
        <f t="shared" si="30"/>
        <v>00001111</v>
      </c>
      <c r="G190" t="str">
        <f t="shared" si="31"/>
        <v>00101110</v>
      </c>
      <c r="H190" t="str">
        <f t="shared" si="32"/>
        <v>10100100</v>
      </c>
      <c r="I190" t="str">
        <f t="shared" si="33"/>
        <v>00000000000011110010111010100100</v>
      </c>
      <c r="J190" t="str">
        <f t="shared" si="26"/>
        <v>f</v>
      </c>
      <c r="K190" t="str">
        <f t="shared" si="34"/>
        <v>101110</v>
      </c>
      <c r="L190" t="str">
        <f t="shared" si="35"/>
        <v>101001</v>
      </c>
      <c r="M190" t="str">
        <f>LOOKUP(J190,Lookups!$A$27:$A$42,Lookups!$B$27:$B$42)</f>
        <v>s</v>
      </c>
      <c r="N190">
        <f t="shared" si="36"/>
        <v>46</v>
      </c>
      <c r="O190">
        <f t="shared" si="37"/>
        <v>41</v>
      </c>
      <c r="P190">
        <f t="shared" si="38"/>
        <v>2985</v>
      </c>
    </row>
    <row r="191" spans="1:16" x14ac:dyDescent="0.35">
      <c r="A191" t="s">
        <v>507</v>
      </c>
      <c r="C191" t="str">
        <f t="shared" si="27"/>
        <v>3069</v>
      </c>
      <c r="D191" t="str">
        <f t="shared" si="28"/>
        <v>000b3004</v>
      </c>
      <c r="E191" t="str">
        <f t="shared" si="29"/>
        <v>00000000</v>
      </c>
      <c r="F191" t="str">
        <f t="shared" si="30"/>
        <v>00001011</v>
      </c>
      <c r="G191" t="str">
        <f t="shared" si="31"/>
        <v>00110000</v>
      </c>
      <c r="H191" t="str">
        <f t="shared" si="32"/>
        <v>00000100</v>
      </c>
      <c r="I191" t="str">
        <f t="shared" si="33"/>
        <v>00000000000010110011000000000100</v>
      </c>
      <c r="J191" t="str">
        <f t="shared" si="26"/>
        <v>b</v>
      </c>
      <c r="K191" t="str">
        <f t="shared" si="34"/>
        <v>110000</v>
      </c>
      <c r="L191" t="str">
        <f t="shared" si="35"/>
        <v>000001</v>
      </c>
      <c r="M191" t="str">
        <f>LOOKUP(J191,Lookups!$A$27:$A$42,Lookups!$B$27:$B$42)</f>
        <v>t</v>
      </c>
      <c r="N191">
        <f t="shared" si="36"/>
        <v>48</v>
      </c>
      <c r="O191">
        <f t="shared" si="37"/>
        <v>1</v>
      </c>
      <c r="P191">
        <f t="shared" si="38"/>
        <v>3073</v>
      </c>
    </row>
    <row r="192" spans="1:16" x14ac:dyDescent="0.35">
      <c r="A192" t="s">
        <v>508</v>
      </c>
      <c r="C192" t="str">
        <f t="shared" si="27"/>
        <v>3070</v>
      </c>
      <c r="D192" t="str">
        <f t="shared" si="28"/>
        <v>00080c00</v>
      </c>
      <c r="E192" t="str">
        <f t="shared" si="29"/>
        <v>00000000</v>
      </c>
      <c r="F192" t="str">
        <f t="shared" si="30"/>
        <v>00001000</v>
      </c>
      <c r="G192" t="str">
        <f t="shared" si="31"/>
        <v>00001100</v>
      </c>
      <c r="H192" t="str">
        <f t="shared" si="32"/>
        <v>00000000</v>
      </c>
      <c r="I192" t="str">
        <f t="shared" si="33"/>
        <v>00000000000010000000110000000000</v>
      </c>
      <c r="J192" t="str">
        <f t="shared" si="26"/>
        <v>8</v>
      </c>
      <c r="K192" t="str">
        <f t="shared" si="34"/>
        <v>001100</v>
      </c>
      <c r="L192" t="str">
        <f t="shared" si="35"/>
        <v>000000</v>
      </c>
      <c r="M192" t="str">
        <f>LOOKUP(J192,Lookups!$A$27:$A$42,Lookups!$B$27:$B$42)</f>
        <v>p</v>
      </c>
      <c r="N192">
        <f t="shared" si="36"/>
        <v>12</v>
      </c>
      <c r="O192">
        <f t="shared" si="37"/>
        <v>0</v>
      </c>
      <c r="P192">
        <f t="shared" si="38"/>
        <v>768</v>
      </c>
    </row>
    <row r="193" spans="1:16" x14ac:dyDescent="0.35">
      <c r="A193" t="s">
        <v>509</v>
      </c>
      <c r="C193" t="str">
        <f t="shared" si="27"/>
        <v>3071</v>
      </c>
      <c r="D193" t="str">
        <f t="shared" si="28"/>
        <v>000133b4</v>
      </c>
      <c r="E193" t="str">
        <f t="shared" si="29"/>
        <v>00000000</v>
      </c>
      <c r="F193" t="str">
        <f t="shared" si="30"/>
        <v>00000001</v>
      </c>
      <c r="G193" t="str">
        <f t="shared" si="31"/>
        <v>00110011</v>
      </c>
      <c r="H193" t="str">
        <f t="shared" si="32"/>
        <v>10110100</v>
      </c>
      <c r="I193" t="str">
        <f t="shared" si="33"/>
        <v>00000000000000010011001110110100</v>
      </c>
      <c r="J193" t="str">
        <f t="shared" si="26"/>
        <v>1</v>
      </c>
      <c r="K193" t="str">
        <f t="shared" si="34"/>
        <v>110011</v>
      </c>
      <c r="L193" t="str">
        <f t="shared" si="35"/>
        <v>101101</v>
      </c>
      <c r="M193" t="str">
        <f>LOOKUP(J193,Lookups!$A$27:$A$42,Lookups!$B$27:$B$42)</f>
        <v>b</v>
      </c>
      <c r="N193">
        <f t="shared" si="36"/>
        <v>51</v>
      </c>
      <c r="O193">
        <f t="shared" si="37"/>
        <v>45</v>
      </c>
      <c r="P193">
        <f t="shared" si="38"/>
        <v>3309</v>
      </c>
    </row>
    <row r="194" spans="1:16" x14ac:dyDescent="0.35">
      <c r="A194" t="s">
        <v>510</v>
      </c>
      <c r="C194" t="str">
        <f t="shared" si="27"/>
        <v>3072</v>
      </c>
      <c r="D194" t="str">
        <f t="shared" si="28"/>
        <v>000a3074</v>
      </c>
      <c r="E194" t="str">
        <f t="shared" si="29"/>
        <v>00000000</v>
      </c>
      <c r="F194" t="str">
        <f t="shared" si="30"/>
        <v>00001010</v>
      </c>
      <c r="G194" t="str">
        <f t="shared" si="31"/>
        <v>00110000</v>
      </c>
      <c r="H194" t="str">
        <f t="shared" si="32"/>
        <v>01110100</v>
      </c>
      <c r="I194" t="str">
        <f t="shared" si="33"/>
        <v>00000000000010100011000001110100</v>
      </c>
      <c r="J194" t="str">
        <f t="shared" ref="J194:J257" si="39">MID(D194,4,1)</f>
        <v>a</v>
      </c>
      <c r="K194" t="str">
        <f t="shared" si="34"/>
        <v>110000</v>
      </c>
      <c r="L194" t="str">
        <f t="shared" si="35"/>
        <v>011101</v>
      </c>
      <c r="M194" t="str">
        <f>LOOKUP(J194,Lookups!$A$27:$A$42,Lookups!$B$27:$B$42)</f>
        <v>u</v>
      </c>
      <c r="N194">
        <f t="shared" si="36"/>
        <v>48</v>
      </c>
      <c r="O194">
        <f t="shared" si="37"/>
        <v>29</v>
      </c>
      <c r="P194">
        <f t="shared" si="38"/>
        <v>3101</v>
      </c>
    </row>
    <row r="195" spans="1:16" x14ac:dyDescent="0.35">
      <c r="A195" t="s">
        <v>511</v>
      </c>
      <c r="C195" t="str">
        <f t="shared" ref="C195:C258" si="40">MID(A195,1,4)</f>
        <v>3073</v>
      </c>
      <c r="D195" t="str">
        <f t="shared" ref="D195:D258" si="41">MID(A195,8,20)</f>
        <v>000e2efc</v>
      </c>
      <c r="E195" t="str">
        <f t="shared" ref="E195:E258" si="42">HEX2BIN(MID(D195,1,2),8)</f>
        <v>00000000</v>
      </c>
      <c r="F195" t="str">
        <f t="shared" ref="F195:F258" si="43">HEX2BIN(MID(D195,3,2),8)</f>
        <v>00001110</v>
      </c>
      <c r="G195" t="str">
        <f t="shared" ref="G195:G258" si="44">HEX2BIN(MID(D195,5,2),8)</f>
        <v>00101110</v>
      </c>
      <c r="H195" t="str">
        <f t="shared" ref="H195:H258" si="45">HEX2BIN(MID(D195,7,2),8)</f>
        <v>11111100</v>
      </c>
      <c r="I195" t="str">
        <f t="shared" ref="I195:I258" si="46">CONCATENATE(E195,F195,G195,H195)</f>
        <v>00000000000011100010111011111100</v>
      </c>
      <c r="J195" t="str">
        <f t="shared" si="39"/>
        <v>e</v>
      </c>
      <c r="K195" t="str">
        <f t="shared" ref="K195:K258" si="47">MID(G195,3,6)</f>
        <v>101110</v>
      </c>
      <c r="L195" t="str">
        <f t="shared" ref="L195:L258" si="48">MID(H195,1,6)</f>
        <v>111111</v>
      </c>
      <c r="M195" t="str">
        <f>LOOKUP(J195,Lookups!$A$27:$A$42,Lookups!$B$27:$B$42)</f>
        <v>a</v>
      </c>
      <c r="N195">
        <f t="shared" ref="N195:N258" si="49">BIN2DEC(K195)</f>
        <v>46</v>
      </c>
      <c r="O195">
        <f t="shared" ref="O195:O258" si="50">BIN2DEC(L195)</f>
        <v>63</v>
      </c>
      <c r="P195">
        <f t="shared" ref="P195:P258" si="51">N195*64+O195</f>
        <v>3007</v>
      </c>
    </row>
    <row r="196" spans="1:16" x14ac:dyDescent="0.35">
      <c r="A196" t="s">
        <v>512</v>
      </c>
      <c r="C196" t="str">
        <f t="shared" si="40"/>
        <v>3074</v>
      </c>
      <c r="D196" t="str">
        <f t="shared" si="41"/>
        <v>000b3010</v>
      </c>
      <c r="E196" t="str">
        <f t="shared" si="42"/>
        <v>00000000</v>
      </c>
      <c r="F196" t="str">
        <f t="shared" si="43"/>
        <v>00001011</v>
      </c>
      <c r="G196" t="str">
        <f t="shared" si="44"/>
        <v>00110000</v>
      </c>
      <c r="H196" t="str">
        <f t="shared" si="45"/>
        <v>00010000</v>
      </c>
      <c r="I196" t="str">
        <f t="shared" si="46"/>
        <v>00000000000010110011000000010000</v>
      </c>
      <c r="J196" t="str">
        <f t="shared" si="39"/>
        <v>b</v>
      </c>
      <c r="K196" t="str">
        <f t="shared" si="47"/>
        <v>110000</v>
      </c>
      <c r="L196" t="str">
        <f t="shared" si="48"/>
        <v>000100</v>
      </c>
      <c r="M196" t="str">
        <f>LOOKUP(J196,Lookups!$A$27:$A$42,Lookups!$B$27:$B$42)</f>
        <v>t</v>
      </c>
      <c r="N196">
        <f t="shared" si="49"/>
        <v>48</v>
      </c>
      <c r="O196">
        <f t="shared" si="50"/>
        <v>4</v>
      </c>
      <c r="P196">
        <f t="shared" si="51"/>
        <v>3076</v>
      </c>
    </row>
    <row r="197" spans="1:16" x14ac:dyDescent="0.35">
      <c r="A197" t="s">
        <v>513</v>
      </c>
      <c r="C197" t="str">
        <f t="shared" si="40"/>
        <v>3075</v>
      </c>
      <c r="D197" t="str">
        <f t="shared" si="41"/>
        <v>000a2ff8</v>
      </c>
      <c r="E197" t="str">
        <f t="shared" si="42"/>
        <v>00000000</v>
      </c>
      <c r="F197" t="str">
        <f t="shared" si="43"/>
        <v>00001010</v>
      </c>
      <c r="G197" t="str">
        <f t="shared" si="44"/>
        <v>00101111</v>
      </c>
      <c r="H197" t="str">
        <f t="shared" si="45"/>
        <v>11111000</v>
      </c>
      <c r="I197" t="str">
        <f t="shared" si="46"/>
        <v>00000000000010100010111111111000</v>
      </c>
      <c r="J197" t="str">
        <f t="shared" si="39"/>
        <v>a</v>
      </c>
      <c r="K197" t="str">
        <f t="shared" si="47"/>
        <v>101111</v>
      </c>
      <c r="L197" t="str">
        <f t="shared" si="48"/>
        <v>111110</v>
      </c>
      <c r="M197" t="str">
        <f>LOOKUP(J197,Lookups!$A$27:$A$42,Lookups!$B$27:$B$42)</f>
        <v>u</v>
      </c>
      <c r="N197">
        <f t="shared" si="49"/>
        <v>47</v>
      </c>
      <c r="O197">
        <f t="shared" si="50"/>
        <v>62</v>
      </c>
      <c r="P197">
        <f t="shared" si="51"/>
        <v>3070</v>
      </c>
    </row>
    <row r="198" spans="1:16" x14ac:dyDescent="0.35">
      <c r="A198" t="s">
        <v>514</v>
      </c>
      <c r="C198" t="str">
        <f t="shared" si="40"/>
        <v>3076</v>
      </c>
      <c r="D198" t="str">
        <f t="shared" si="41"/>
        <v>000e2e8c</v>
      </c>
      <c r="E198" t="str">
        <f t="shared" si="42"/>
        <v>00000000</v>
      </c>
      <c r="F198" t="str">
        <f t="shared" si="43"/>
        <v>00001110</v>
      </c>
      <c r="G198" t="str">
        <f t="shared" si="44"/>
        <v>00101110</v>
      </c>
      <c r="H198" t="str">
        <f t="shared" si="45"/>
        <v>10001100</v>
      </c>
      <c r="I198" t="str">
        <f t="shared" si="46"/>
        <v>00000000000011100010111010001100</v>
      </c>
      <c r="J198" t="str">
        <f t="shared" si="39"/>
        <v>e</v>
      </c>
      <c r="K198" t="str">
        <f t="shared" si="47"/>
        <v>101110</v>
      </c>
      <c r="L198" t="str">
        <f t="shared" si="48"/>
        <v>100011</v>
      </c>
      <c r="M198" t="str">
        <f>LOOKUP(J198,Lookups!$A$27:$A$42,Lookups!$B$27:$B$42)</f>
        <v>a</v>
      </c>
      <c r="N198">
        <f t="shared" si="49"/>
        <v>46</v>
      </c>
      <c r="O198">
        <f t="shared" si="50"/>
        <v>35</v>
      </c>
      <c r="P198">
        <f t="shared" si="51"/>
        <v>2979</v>
      </c>
    </row>
    <row r="199" spans="1:16" x14ac:dyDescent="0.35">
      <c r="A199" t="s">
        <v>515</v>
      </c>
      <c r="C199" t="str">
        <f t="shared" si="40"/>
        <v>3077</v>
      </c>
      <c r="D199" t="str">
        <f t="shared" si="41"/>
        <v>000b303c</v>
      </c>
      <c r="E199" t="str">
        <f t="shared" si="42"/>
        <v>00000000</v>
      </c>
      <c r="F199" t="str">
        <f t="shared" si="43"/>
        <v>00001011</v>
      </c>
      <c r="G199" t="str">
        <f t="shared" si="44"/>
        <v>00110000</v>
      </c>
      <c r="H199" t="str">
        <f t="shared" si="45"/>
        <v>00111100</v>
      </c>
      <c r="I199" t="str">
        <f t="shared" si="46"/>
        <v>00000000000010110011000000111100</v>
      </c>
      <c r="J199" t="str">
        <f t="shared" si="39"/>
        <v>b</v>
      </c>
      <c r="K199" t="str">
        <f t="shared" si="47"/>
        <v>110000</v>
      </c>
      <c r="L199" t="str">
        <f t="shared" si="48"/>
        <v>001111</v>
      </c>
      <c r="M199" t="str">
        <f>LOOKUP(J199,Lookups!$A$27:$A$42,Lookups!$B$27:$B$42)</f>
        <v>t</v>
      </c>
      <c r="N199">
        <f t="shared" si="49"/>
        <v>48</v>
      </c>
      <c r="O199">
        <f t="shared" si="50"/>
        <v>15</v>
      </c>
      <c r="P199">
        <f t="shared" si="51"/>
        <v>3087</v>
      </c>
    </row>
    <row r="200" spans="1:16" x14ac:dyDescent="0.35">
      <c r="A200" t="s">
        <v>516</v>
      </c>
      <c r="C200" t="str">
        <f t="shared" si="40"/>
        <v>3078</v>
      </c>
      <c r="D200" t="str">
        <f t="shared" si="41"/>
        <v>000332f0</v>
      </c>
      <c r="E200" t="str">
        <f t="shared" si="42"/>
        <v>00000000</v>
      </c>
      <c r="F200" t="str">
        <f t="shared" si="43"/>
        <v>00000011</v>
      </c>
      <c r="G200" t="str">
        <f t="shared" si="44"/>
        <v>00110010</v>
      </c>
      <c r="H200" t="str">
        <f t="shared" si="45"/>
        <v>11110000</v>
      </c>
      <c r="I200" t="str">
        <f t="shared" si="46"/>
        <v>00000000000000110011001011110000</v>
      </c>
      <c r="J200" t="str">
        <f t="shared" si="39"/>
        <v>3</v>
      </c>
      <c r="K200" t="str">
        <f t="shared" si="47"/>
        <v>110010</v>
      </c>
      <c r="L200" t="str">
        <f t="shared" si="48"/>
        <v>111100</v>
      </c>
      <c r="M200" t="str">
        <f>LOOKUP(J200,Lookups!$A$27:$A$42,Lookups!$B$27:$B$42)</f>
        <v>r</v>
      </c>
      <c r="N200">
        <f t="shared" si="49"/>
        <v>50</v>
      </c>
      <c r="O200">
        <f t="shared" si="50"/>
        <v>60</v>
      </c>
      <c r="P200">
        <f t="shared" si="51"/>
        <v>3260</v>
      </c>
    </row>
    <row r="201" spans="1:16" x14ac:dyDescent="0.35">
      <c r="A201" t="s">
        <v>517</v>
      </c>
      <c r="C201" t="str">
        <f t="shared" si="40"/>
        <v>3079</v>
      </c>
      <c r="D201" t="str">
        <f t="shared" si="41"/>
        <v>000a32d8</v>
      </c>
      <c r="E201" t="str">
        <f t="shared" si="42"/>
        <v>00000000</v>
      </c>
      <c r="F201" t="str">
        <f t="shared" si="43"/>
        <v>00001010</v>
      </c>
      <c r="G201" t="str">
        <f t="shared" si="44"/>
        <v>00110010</v>
      </c>
      <c r="H201" t="str">
        <f t="shared" si="45"/>
        <v>11011000</v>
      </c>
      <c r="I201" t="str">
        <f t="shared" si="46"/>
        <v>00000000000010100011001011011000</v>
      </c>
      <c r="J201" t="str">
        <f t="shared" si="39"/>
        <v>a</v>
      </c>
      <c r="K201" t="str">
        <f t="shared" si="47"/>
        <v>110010</v>
      </c>
      <c r="L201" t="str">
        <f t="shared" si="48"/>
        <v>110110</v>
      </c>
      <c r="M201" t="str">
        <f>LOOKUP(J201,Lookups!$A$27:$A$42,Lookups!$B$27:$B$42)</f>
        <v>u</v>
      </c>
      <c r="N201">
        <f t="shared" si="49"/>
        <v>50</v>
      </c>
      <c r="O201">
        <f t="shared" si="50"/>
        <v>54</v>
      </c>
      <c r="P201">
        <f t="shared" si="51"/>
        <v>3254</v>
      </c>
    </row>
    <row r="202" spans="1:16" x14ac:dyDescent="0.35">
      <c r="A202" t="s">
        <v>518</v>
      </c>
      <c r="C202" t="str">
        <f t="shared" si="40"/>
        <v>3080</v>
      </c>
      <c r="D202" t="str">
        <f t="shared" si="41"/>
        <v>00092f94</v>
      </c>
      <c r="E202" t="str">
        <f t="shared" si="42"/>
        <v>00000000</v>
      </c>
      <c r="F202" t="str">
        <f t="shared" si="43"/>
        <v>00001001</v>
      </c>
      <c r="G202" t="str">
        <f t="shared" si="44"/>
        <v>00101111</v>
      </c>
      <c r="H202" t="str">
        <f t="shared" si="45"/>
        <v>10010100</v>
      </c>
      <c r="I202" t="str">
        <f t="shared" si="46"/>
        <v>00000000000010010010111110010100</v>
      </c>
      <c r="J202" t="str">
        <f t="shared" si="39"/>
        <v>9</v>
      </c>
      <c r="K202" t="str">
        <f t="shared" si="47"/>
        <v>101111</v>
      </c>
      <c r="L202" t="str">
        <f t="shared" si="48"/>
        <v>100101</v>
      </c>
      <c r="M202" t="str">
        <f>LOOKUP(J202,Lookups!$A$27:$A$42,Lookups!$B$27:$B$42)</f>
        <v>e</v>
      </c>
      <c r="N202">
        <f t="shared" si="49"/>
        <v>47</v>
      </c>
      <c r="O202">
        <f t="shared" si="50"/>
        <v>37</v>
      </c>
      <c r="P202">
        <f t="shared" si="51"/>
        <v>3045</v>
      </c>
    </row>
    <row r="203" spans="1:16" x14ac:dyDescent="0.35">
      <c r="A203" t="s">
        <v>519</v>
      </c>
      <c r="C203" t="str">
        <f t="shared" si="40"/>
        <v>3081</v>
      </c>
      <c r="D203" t="str">
        <f t="shared" si="41"/>
        <v>000f2f94</v>
      </c>
      <c r="E203" t="str">
        <f t="shared" si="42"/>
        <v>00000000</v>
      </c>
      <c r="F203" t="str">
        <f t="shared" si="43"/>
        <v>00001111</v>
      </c>
      <c r="G203" t="str">
        <f t="shared" si="44"/>
        <v>00101111</v>
      </c>
      <c r="H203" t="str">
        <f t="shared" si="45"/>
        <v>10010100</v>
      </c>
      <c r="I203" t="str">
        <f t="shared" si="46"/>
        <v>00000000000011110010111110010100</v>
      </c>
      <c r="J203" t="str">
        <f t="shared" si="39"/>
        <v>f</v>
      </c>
      <c r="K203" t="str">
        <f t="shared" si="47"/>
        <v>101111</v>
      </c>
      <c r="L203" t="str">
        <f t="shared" si="48"/>
        <v>100101</v>
      </c>
      <c r="M203" t="str">
        <f>LOOKUP(J203,Lookups!$A$27:$A$42,Lookups!$B$27:$B$42)</f>
        <v>s</v>
      </c>
      <c r="N203">
        <f t="shared" si="49"/>
        <v>47</v>
      </c>
      <c r="O203">
        <f t="shared" si="50"/>
        <v>37</v>
      </c>
      <c r="P203">
        <f t="shared" si="51"/>
        <v>3045</v>
      </c>
    </row>
    <row r="204" spans="1:16" x14ac:dyDescent="0.35">
      <c r="A204" t="s">
        <v>520</v>
      </c>
      <c r="C204" t="str">
        <f t="shared" si="40"/>
        <v>3082</v>
      </c>
      <c r="D204" t="str">
        <f t="shared" si="41"/>
        <v>000b2ff8</v>
      </c>
      <c r="E204" t="str">
        <f t="shared" si="42"/>
        <v>00000000</v>
      </c>
      <c r="F204" t="str">
        <f t="shared" si="43"/>
        <v>00001011</v>
      </c>
      <c r="G204" t="str">
        <f t="shared" si="44"/>
        <v>00101111</v>
      </c>
      <c r="H204" t="str">
        <f t="shared" si="45"/>
        <v>11111000</v>
      </c>
      <c r="I204" t="str">
        <f t="shared" si="46"/>
        <v>00000000000010110010111111111000</v>
      </c>
      <c r="J204" t="str">
        <f t="shared" si="39"/>
        <v>b</v>
      </c>
      <c r="K204" t="str">
        <f t="shared" si="47"/>
        <v>101111</v>
      </c>
      <c r="L204" t="str">
        <f t="shared" si="48"/>
        <v>111110</v>
      </c>
      <c r="M204" t="str">
        <f>LOOKUP(J204,Lookups!$A$27:$A$42,Lookups!$B$27:$B$42)</f>
        <v>t</v>
      </c>
      <c r="N204">
        <f t="shared" si="49"/>
        <v>47</v>
      </c>
      <c r="O204">
        <f t="shared" si="50"/>
        <v>62</v>
      </c>
      <c r="P204">
        <f t="shared" si="51"/>
        <v>3070</v>
      </c>
    </row>
    <row r="205" spans="1:16" x14ac:dyDescent="0.35">
      <c r="A205" t="s">
        <v>521</v>
      </c>
      <c r="C205" t="str">
        <f t="shared" si="40"/>
        <v>3083</v>
      </c>
      <c r="D205" t="str">
        <f t="shared" si="41"/>
        <v>00081000</v>
      </c>
      <c r="E205" t="str">
        <f t="shared" si="42"/>
        <v>00000000</v>
      </c>
      <c r="F205" t="str">
        <f t="shared" si="43"/>
        <v>00001000</v>
      </c>
      <c r="G205" t="str">
        <f t="shared" si="44"/>
        <v>00010000</v>
      </c>
      <c r="H205" t="str">
        <f t="shared" si="45"/>
        <v>00000000</v>
      </c>
      <c r="I205" t="str">
        <f t="shared" si="46"/>
        <v>00000000000010000001000000000000</v>
      </c>
      <c r="J205" t="str">
        <f t="shared" si="39"/>
        <v>8</v>
      </c>
      <c r="K205" t="str">
        <f t="shared" si="47"/>
        <v>010000</v>
      </c>
      <c r="L205" t="str">
        <f t="shared" si="48"/>
        <v>000000</v>
      </c>
      <c r="M205" t="str">
        <f>LOOKUP(J205,Lookups!$A$27:$A$42,Lookups!$B$27:$B$42)</f>
        <v>p</v>
      </c>
      <c r="N205">
        <f t="shared" si="49"/>
        <v>16</v>
      </c>
      <c r="O205">
        <f t="shared" si="50"/>
        <v>0</v>
      </c>
      <c r="P205">
        <f t="shared" si="51"/>
        <v>1024</v>
      </c>
    </row>
    <row r="206" spans="1:16" x14ac:dyDescent="0.35">
      <c r="A206" t="s">
        <v>522</v>
      </c>
      <c r="C206" t="str">
        <f t="shared" si="40"/>
        <v>3084</v>
      </c>
      <c r="D206" t="str">
        <f t="shared" si="41"/>
        <v>00000014</v>
      </c>
      <c r="E206" t="str">
        <f t="shared" si="42"/>
        <v>00000000</v>
      </c>
      <c r="F206" t="str">
        <f t="shared" si="43"/>
        <v>00000000</v>
      </c>
      <c r="G206" t="str">
        <f t="shared" si="44"/>
        <v>00000000</v>
      </c>
      <c r="H206" t="str">
        <f t="shared" si="45"/>
        <v>00010100</v>
      </c>
      <c r="I206" t="str">
        <f t="shared" si="46"/>
        <v>00000000000000000000000000010100</v>
      </c>
      <c r="J206" t="str">
        <f t="shared" si="39"/>
        <v>0</v>
      </c>
      <c r="K206" t="str">
        <f t="shared" si="47"/>
        <v>000000</v>
      </c>
      <c r="L206" t="str">
        <f t="shared" si="48"/>
        <v>000101</v>
      </c>
      <c r="M206" t="str">
        <f>LOOKUP(J206,Lookups!$A$27:$A$42,Lookups!$B$27:$B$42)</f>
        <v>z</v>
      </c>
      <c r="N206">
        <f t="shared" si="49"/>
        <v>0</v>
      </c>
      <c r="O206">
        <f t="shared" si="50"/>
        <v>5</v>
      </c>
      <c r="P206">
        <f t="shared" si="51"/>
        <v>5</v>
      </c>
    </row>
    <row r="207" spans="1:16" x14ac:dyDescent="0.35">
      <c r="A207" t="s">
        <v>523</v>
      </c>
      <c r="C207" t="str">
        <f t="shared" si="40"/>
        <v>3085</v>
      </c>
      <c r="D207" t="str">
        <f t="shared" si="41"/>
        <v>00081800</v>
      </c>
      <c r="E207" t="str">
        <f t="shared" si="42"/>
        <v>00000000</v>
      </c>
      <c r="F207" t="str">
        <f t="shared" si="43"/>
        <v>00001000</v>
      </c>
      <c r="G207" t="str">
        <f t="shared" si="44"/>
        <v>00011000</v>
      </c>
      <c r="H207" t="str">
        <f t="shared" si="45"/>
        <v>00000000</v>
      </c>
      <c r="I207" t="str">
        <f t="shared" si="46"/>
        <v>00000000000010000001100000000000</v>
      </c>
      <c r="J207" t="str">
        <f t="shared" si="39"/>
        <v>8</v>
      </c>
      <c r="K207" t="str">
        <f t="shared" si="47"/>
        <v>011000</v>
      </c>
      <c r="L207" t="str">
        <f t="shared" si="48"/>
        <v>000000</v>
      </c>
      <c r="M207" t="str">
        <f>LOOKUP(J207,Lookups!$A$27:$A$42,Lookups!$B$27:$B$42)</f>
        <v>p</v>
      </c>
      <c r="N207">
        <f t="shared" si="49"/>
        <v>24</v>
      </c>
      <c r="O207">
        <f t="shared" si="50"/>
        <v>0</v>
      </c>
      <c r="P207">
        <f t="shared" si="51"/>
        <v>1536</v>
      </c>
    </row>
    <row r="208" spans="1:16" x14ac:dyDescent="0.35">
      <c r="A208" t="s">
        <v>524</v>
      </c>
      <c r="C208" t="str">
        <f t="shared" si="40"/>
        <v>3086</v>
      </c>
      <c r="D208" t="str">
        <f t="shared" si="41"/>
        <v>000a2fc4</v>
      </c>
      <c r="E208" t="str">
        <f t="shared" si="42"/>
        <v>00000000</v>
      </c>
      <c r="F208" t="str">
        <f t="shared" si="43"/>
        <v>00001010</v>
      </c>
      <c r="G208" t="str">
        <f t="shared" si="44"/>
        <v>00101111</v>
      </c>
      <c r="H208" t="str">
        <f t="shared" si="45"/>
        <v>11000100</v>
      </c>
      <c r="I208" t="str">
        <f t="shared" si="46"/>
        <v>00000000000010100010111111000100</v>
      </c>
      <c r="J208" t="str">
        <f t="shared" si="39"/>
        <v>a</v>
      </c>
      <c r="K208" t="str">
        <f t="shared" si="47"/>
        <v>101111</v>
      </c>
      <c r="L208" t="str">
        <f t="shared" si="48"/>
        <v>110001</v>
      </c>
      <c r="M208" t="str">
        <f>LOOKUP(J208,Lookups!$A$27:$A$42,Lookups!$B$27:$B$42)</f>
        <v>u</v>
      </c>
      <c r="N208">
        <f t="shared" si="49"/>
        <v>47</v>
      </c>
      <c r="O208">
        <f t="shared" si="50"/>
        <v>49</v>
      </c>
      <c r="P208">
        <f t="shared" si="51"/>
        <v>3057</v>
      </c>
    </row>
    <row r="209" spans="1:16" x14ac:dyDescent="0.35">
      <c r="A209" t="s">
        <v>525</v>
      </c>
      <c r="C209" t="str">
        <f t="shared" si="40"/>
        <v>3087</v>
      </c>
      <c r="D209" t="str">
        <f t="shared" si="41"/>
        <v>000e3030</v>
      </c>
      <c r="E209" t="str">
        <f t="shared" si="42"/>
        <v>00000000</v>
      </c>
      <c r="F209" t="str">
        <f t="shared" si="43"/>
        <v>00001110</v>
      </c>
      <c r="G209" t="str">
        <f t="shared" si="44"/>
        <v>00110000</v>
      </c>
      <c r="H209" t="str">
        <f t="shared" si="45"/>
        <v>00110000</v>
      </c>
      <c r="I209" t="str">
        <f t="shared" si="46"/>
        <v>00000000000011100011000000110000</v>
      </c>
      <c r="J209" t="str">
        <f t="shared" si="39"/>
        <v>e</v>
      </c>
      <c r="K209" t="str">
        <f t="shared" si="47"/>
        <v>110000</v>
      </c>
      <c r="L209" t="str">
        <f t="shared" si="48"/>
        <v>001100</v>
      </c>
      <c r="M209" t="str">
        <f>LOOKUP(J209,Lookups!$A$27:$A$42,Lookups!$B$27:$B$42)</f>
        <v>a</v>
      </c>
      <c r="N209">
        <f t="shared" si="49"/>
        <v>48</v>
      </c>
      <c r="O209">
        <f t="shared" si="50"/>
        <v>12</v>
      </c>
      <c r="P209">
        <f t="shared" si="51"/>
        <v>3084</v>
      </c>
    </row>
    <row r="210" spans="1:16" x14ac:dyDescent="0.35">
      <c r="A210" t="s">
        <v>526</v>
      </c>
      <c r="C210" t="str">
        <f t="shared" si="40"/>
        <v>3088</v>
      </c>
      <c r="D210" t="str">
        <f t="shared" si="41"/>
        <v>000b304c</v>
      </c>
      <c r="E210" t="str">
        <f t="shared" si="42"/>
        <v>00000000</v>
      </c>
      <c r="F210" t="str">
        <f t="shared" si="43"/>
        <v>00001011</v>
      </c>
      <c r="G210" t="str">
        <f t="shared" si="44"/>
        <v>00110000</v>
      </c>
      <c r="H210" t="str">
        <f t="shared" si="45"/>
        <v>01001100</v>
      </c>
      <c r="I210" t="str">
        <f t="shared" si="46"/>
        <v>00000000000010110011000001001100</v>
      </c>
      <c r="J210" t="str">
        <f t="shared" si="39"/>
        <v>b</v>
      </c>
      <c r="K210" t="str">
        <f t="shared" si="47"/>
        <v>110000</v>
      </c>
      <c r="L210" t="str">
        <f t="shared" si="48"/>
        <v>010011</v>
      </c>
      <c r="M210" t="str">
        <f>LOOKUP(J210,Lookups!$A$27:$A$42,Lookups!$B$27:$B$42)</f>
        <v>t</v>
      </c>
      <c r="N210">
        <f t="shared" si="49"/>
        <v>48</v>
      </c>
      <c r="O210">
        <f t="shared" si="50"/>
        <v>19</v>
      </c>
      <c r="P210">
        <f t="shared" si="51"/>
        <v>3091</v>
      </c>
    </row>
    <row r="211" spans="1:16" x14ac:dyDescent="0.35">
      <c r="A211" t="s">
        <v>527</v>
      </c>
      <c r="C211" t="str">
        <f t="shared" si="40"/>
        <v>3089</v>
      </c>
      <c r="D211" t="str">
        <f t="shared" si="41"/>
        <v>000a302c</v>
      </c>
      <c r="E211" t="str">
        <f t="shared" si="42"/>
        <v>00000000</v>
      </c>
      <c r="F211" t="str">
        <f t="shared" si="43"/>
        <v>00001010</v>
      </c>
      <c r="G211" t="str">
        <f t="shared" si="44"/>
        <v>00110000</v>
      </c>
      <c r="H211" t="str">
        <f t="shared" si="45"/>
        <v>00101100</v>
      </c>
      <c r="I211" t="str">
        <f t="shared" si="46"/>
        <v>00000000000010100011000000101100</v>
      </c>
      <c r="J211" t="str">
        <f t="shared" si="39"/>
        <v>a</v>
      </c>
      <c r="K211" t="str">
        <f t="shared" si="47"/>
        <v>110000</v>
      </c>
      <c r="L211" t="str">
        <f t="shared" si="48"/>
        <v>001011</v>
      </c>
      <c r="M211" t="str">
        <f>LOOKUP(J211,Lookups!$A$27:$A$42,Lookups!$B$27:$B$42)</f>
        <v>u</v>
      </c>
      <c r="N211">
        <f t="shared" si="49"/>
        <v>48</v>
      </c>
      <c r="O211">
        <f t="shared" si="50"/>
        <v>11</v>
      </c>
      <c r="P211">
        <f t="shared" si="51"/>
        <v>3083</v>
      </c>
    </row>
    <row r="212" spans="1:16" x14ac:dyDescent="0.35">
      <c r="A212" t="s">
        <v>528</v>
      </c>
      <c r="C212" t="str">
        <f t="shared" si="40"/>
        <v>3090</v>
      </c>
      <c r="D212" t="str">
        <f t="shared" si="41"/>
        <v>211b589a</v>
      </c>
      <c r="E212" t="str">
        <f t="shared" si="42"/>
        <v>00100001</v>
      </c>
      <c r="F212" t="str">
        <f t="shared" si="43"/>
        <v>00011011</v>
      </c>
      <c r="G212" t="str">
        <f t="shared" si="44"/>
        <v>01011000</v>
      </c>
      <c r="H212" t="str">
        <f t="shared" si="45"/>
        <v>10011010</v>
      </c>
      <c r="I212" t="str">
        <f t="shared" si="46"/>
        <v>00100001000110110101100010011010</v>
      </c>
      <c r="J212" t="str">
        <f t="shared" si="39"/>
        <v>b</v>
      </c>
      <c r="K212" t="str">
        <f t="shared" si="47"/>
        <v>011000</v>
      </c>
      <c r="L212" t="str">
        <f t="shared" si="48"/>
        <v>100110</v>
      </c>
      <c r="M212" t="str">
        <f>LOOKUP(J212,Lookups!$A$27:$A$42,Lookups!$B$27:$B$42)</f>
        <v>t</v>
      </c>
      <c r="N212">
        <f t="shared" si="49"/>
        <v>24</v>
      </c>
      <c r="O212">
        <f t="shared" si="50"/>
        <v>38</v>
      </c>
      <c r="P212">
        <f t="shared" si="51"/>
        <v>1574</v>
      </c>
    </row>
    <row r="213" spans="1:16" x14ac:dyDescent="0.35">
      <c r="A213" t="s">
        <v>529</v>
      </c>
      <c r="C213" t="str">
        <f t="shared" si="40"/>
        <v>3091</v>
      </c>
      <c r="D213" t="str">
        <f t="shared" si="41"/>
        <v>000e2efc</v>
      </c>
      <c r="E213" t="str">
        <f t="shared" si="42"/>
        <v>00000000</v>
      </c>
      <c r="F213" t="str">
        <f t="shared" si="43"/>
        <v>00001110</v>
      </c>
      <c r="G213" t="str">
        <f t="shared" si="44"/>
        <v>00101110</v>
      </c>
      <c r="H213" t="str">
        <f t="shared" si="45"/>
        <v>11111100</v>
      </c>
      <c r="I213" t="str">
        <f t="shared" si="46"/>
        <v>00000000000011100010111011111100</v>
      </c>
      <c r="J213" t="str">
        <f t="shared" si="39"/>
        <v>e</v>
      </c>
      <c r="K213" t="str">
        <f t="shared" si="47"/>
        <v>101110</v>
      </c>
      <c r="L213" t="str">
        <f t="shared" si="48"/>
        <v>111111</v>
      </c>
      <c r="M213" t="str">
        <f>LOOKUP(J213,Lookups!$A$27:$A$42,Lookups!$B$27:$B$42)</f>
        <v>a</v>
      </c>
      <c r="N213">
        <f t="shared" si="49"/>
        <v>46</v>
      </c>
      <c r="O213">
        <f t="shared" si="50"/>
        <v>63</v>
      </c>
      <c r="P213">
        <f t="shared" si="51"/>
        <v>3007</v>
      </c>
    </row>
    <row r="214" spans="1:16" x14ac:dyDescent="0.35">
      <c r="A214" t="s">
        <v>530</v>
      </c>
      <c r="C214" t="str">
        <f t="shared" si="40"/>
        <v>3092</v>
      </c>
      <c r="D214" t="str">
        <f t="shared" si="41"/>
        <v>000b302c</v>
      </c>
      <c r="E214" t="str">
        <f t="shared" si="42"/>
        <v>00000000</v>
      </c>
      <c r="F214" t="str">
        <f t="shared" si="43"/>
        <v>00001011</v>
      </c>
      <c r="G214" t="str">
        <f t="shared" si="44"/>
        <v>00110000</v>
      </c>
      <c r="H214" t="str">
        <f t="shared" si="45"/>
        <v>00101100</v>
      </c>
      <c r="I214" t="str">
        <f t="shared" si="46"/>
        <v>00000000000010110011000000101100</v>
      </c>
      <c r="J214" t="str">
        <f t="shared" si="39"/>
        <v>b</v>
      </c>
      <c r="K214" t="str">
        <f t="shared" si="47"/>
        <v>110000</v>
      </c>
      <c r="L214" t="str">
        <f t="shared" si="48"/>
        <v>001011</v>
      </c>
      <c r="M214" t="str">
        <f>LOOKUP(J214,Lookups!$A$27:$A$42,Lookups!$B$27:$B$42)</f>
        <v>t</v>
      </c>
      <c r="N214">
        <f t="shared" si="49"/>
        <v>48</v>
      </c>
      <c r="O214">
        <f t="shared" si="50"/>
        <v>11</v>
      </c>
      <c r="P214">
        <f t="shared" si="51"/>
        <v>3083</v>
      </c>
    </row>
    <row r="215" spans="1:16" x14ac:dyDescent="0.35">
      <c r="A215" t="s">
        <v>531</v>
      </c>
      <c r="C215" t="str">
        <f t="shared" si="40"/>
        <v>3093</v>
      </c>
      <c r="D215" t="str">
        <f t="shared" si="41"/>
        <v>00013274</v>
      </c>
      <c r="E215" t="str">
        <f t="shared" si="42"/>
        <v>00000000</v>
      </c>
      <c r="F215" t="str">
        <f t="shared" si="43"/>
        <v>00000001</v>
      </c>
      <c r="G215" t="str">
        <f t="shared" si="44"/>
        <v>00110010</v>
      </c>
      <c r="H215" t="str">
        <f t="shared" si="45"/>
        <v>01110100</v>
      </c>
      <c r="I215" t="str">
        <f t="shared" si="46"/>
        <v>00000000000000010011001001110100</v>
      </c>
      <c r="J215" t="str">
        <f t="shared" si="39"/>
        <v>1</v>
      </c>
      <c r="K215" t="str">
        <f t="shared" si="47"/>
        <v>110010</v>
      </c>
      <c r="L215" t="str">
        <f t="shared" si="48"/>
        <v>011101</v>
      </c>
      <c r="M215" t="str">
        <f>LOOKUP(J215,Lookups!$A$27:$A$42,Lookups!$B$27:$B$42)</f>
        <v>b</v>
      </c>
      <c r="N215">
        <f t="shared" si="49"/>
        <v>50</v>
      </c>
      <c r="O215">
        <f t="shared" si="50"/>
        <v>29</v>
      </c>
      <c r="P215">
        <f t="shared" si="51"/>
        <v>3229</v>
      </c>
    </row>
    <row r="216" spans="1:16" x14ac:dyDescent="0.35">
      <c r="A216" t="s">
        <v>532</v>
      </c>
      <c r="C216" t="str">
        <f t="shared" si="40"/>
        <v>3094</v>
      </c>
      <c r="D216" t="str">
        <f t="shared" si="41"/>
        <v>000b3060</v>
      </c>
      <c r="E216" t="str">
        <f t="shared" si="42"/>
        <v>00000000</v>
      </c>
      <c r="F216" t="str">
        <f t="shared" si="43"/>
        <v>00001011</v>
      </c>
      <c r="G216" t="str">
        <f t="shared" si="44"/>
        <v>00110000</v>
      </c>
      <c r="H216" t="str">
        <f t="shared" si="45"/>
        <v>01100000</v>
      </c>
      <c r="I216" t="str">
        <f t="shared" si="46"/>
        <v>00000000000010110011000001100000</v>
      </c>
      <c r="J216" t="str">
        <f t="shared" si="39"/>
        <v>b</v>
      </c>
      <c r="K216" t="str">
        <f t="shared" si="47"/>
        <v>110000</v>
      </c>
      <c r="L216" t="str">
        <f t="shared" si="48"/>
        <v>011000</v>
      </c>
      <c r="M216" t="str">
        <f>LOOKUP(J216,Lookups!$A$27:$A$42,Lookups!$B$27:$B$42)</f>
        <v>t</v>
      </c>
      <c r="N216">
        <f t="shared" si="49"/>
        <v>48</v>
      </c>
      <c r="O216">
        <f t="shared" si="50"/>
        <v>24</v>
      </c>
      <c r="P216">
        <f t="shared" si="51"/>
        <v>3096</v>
      </c>
    </row>
    <row r="217" spans="1:16" x14ac:dyDescent="0.35">
      <c r="A217" t="s">
        <v>533</v>
      </c>
      <c r="C217" t="str">
        <f t="shared" si="40"/>
        <v>3095</v>
      </c>
      <c r="D217" t="str">
        <f t="shared" si="41"/>
        <v>000a302c</v>
      </c>
      <c r="E217" t="str">
        <f t="shared" si="42"/>
        <v>00000000</v>
      </c>
      <c r="F217" t="str">
        <f t="shared" si="43"/>
        <v>00001010</v>
      </c>
      <c r="G217" t="str">
        <f t="shared" si="44"/>
        <v>00110000</v>
      </c>
      <c r="H217" t="str">
        <f t="shared" si="45"/>
        <v>00101100</v>
      </c>
      <c r="I217" t="str">
        <f t="shared" si="46"/>
        <v>00000000000010100011000000101100</v>
      </c>
      <c r="J217" t="str">
        <f t="shared" si="39"/>
        <v>a</v>
      </c>
      <c r="K217" t="str">
        <f t="shared" si="47"/>
        <v>110000</v>
      </c>
      <c r="L217" t="str">
        <f t="shared" si="48"/>
        <v>001011</v>
      </c>
      <c r="M217" t="str">
        <f>LOOKUP(J217,Lookups!$A$27:$A$42,Lookups!$B$27:$B$42)</f>
        <v>u</v>
      </c>
      <c r="N217">
        <f t="shared" si="49"/>
        <v>48</v>
      </c>
      <c r="O217">
        <f t="shared" si="50"/>
        <v>11</v>
      </c>
      <c r="P217">
        <f t="shared" si="51"/>
        <v>3083</v>
      </c>
    </row>
    <row r="218" spans="1:16" x14ac:dyDescent="0.35">
      <c r="A218" t="s">
        <v>534</v>
      </c>
      <c r="C218" t="str">
        <f t="shared" si="40"/>
        <v>3096</v>
      </c>
      <c r="D218" t="str">
        <f t="shared" si="41"/>
        <v>000e2fc4</v>
      </c>
      <c r="E218" t="str">
        <f t="shared" si="42"/>
        <v>00000000</v>
      </c>
      <c r="F218" t="str">
        <f t="shared" si="43"/>
        <v>00001110</v>
      </c>
      <c r="G218" t="str">
        <f t="shared" si="44"/>
        <v>00101111</v>
      </c>
      <c r="H218" t="str">
        <f t="shared" si="45"/>
        <v>11000100</v>
      </c>
      <c r="I218" t="str">
        <f t="shared" si="46"/>
        <v>00000000000011100010111111000100</v>
      </c>
      <c r="J218" t="str">
        <f t="shared" si="39"/>
        <v>e</v>
      </c>
      <c r="K218" t="str">
        <f t="shared" si="47"/>
        <v>101111</v>
      </c>
      <c r="L218" t="str">
        <f t="shared" si="48"/>
        <v>110001</v>
      </c>
      <c r="M218" t="str">
        <f>LOOKUP(J218,Lookups!$A$27:$A$42,Lookups!$B$27:$B$42)</f>
        <v>a</v>
      </c>
      <c r="N218">
        <f t="shared" si="49"/>
        <v>47</v>
      </c>
      <c r="O218">
        <f t="shared" si="50"/>
        <v>49</v>
      </c>
      <c r="P218">
        <f t="shared" si="51"/>
        <v>3057</v>
      </c>
    </row>
    <row r="219" spans="1:16" x14ac:dyDescent="0.35">
      <c r="A219" t="s">
        <v>535</v>
      </c>
      <c r="C219" t="str">
        <f t="shared" si="40"/>
        <v>3097</v>
      </c>
      <c r="D219" t="str">
        <f t="shared" si="41"/>
        <v>000a2fe8</v>
      </c>
      <c r="E219" t="str">
        <f t="shared" si="42"/>
        <v>00000000</v>
      </c>
      <c r="F219" t="str">
        <f t="shared" si="43"/>
        <v>00001010</v>
      </c>
      <c r="G219" t="str">
        <f t="shared" si="44"/>
        <v>00101111</v>
      </c>
      <c r="H219" t="str">
        <f t="shared" si="45"/>
        <v>11101000</v>
      </c>
      <c r="I219" t="str">
        <f t="shared" si="46"/>
        <v>00000000000010100010111111101000</v>
      </c>
      <c r="J219" t="str">
        <f t="shared" si="39"/>
        <v>a</v>
      </c>
      <c r="K219" t="str">
        <f t="shared" si="47"/>
        <v>101111</v>
      </c>
      <c r="L219" t="str">
        <f t="shared" si="48"/>
        <v>111010</v>
      </c>
      <c r="M219" t="str">
        <f>LOOKUP(J219,Lookups!$A$27:$A$42,Lookups!$B$27:$B$42)</f>
        <v>u</v>
      </c>
      <c r="N219">
        <f t="shared" si="49"/>
        <v>47</v>
      </c>
      <c r="O219">
        <f t="shared" si="50"/>
        <v>58</v>
      </c>
      <c r="P219">
        <f t="shared" si="51"/>
        <v>3066</v>
      </c>
    </row>
    <row r="220" spans="1:16" x14ac:dyDescent="0.35">
      <c r="A220" t="s">
        <v>536</v>
      </c>
      <c r="C220" t="str">
        <f t="shared" si="40"/>
        <v>3098</v>
      </c>
      <c r="D220" t="str">
        <f t="shared" si="41"/>
        <v>000e2fc4</v>
      </c>
      <c r="E220" t="str">
        <f t="shared" si="42"/>
        <v>00000000</v>
      </c>
      <c r="F220" t="str">
        <f t="shared" si="43"/>
        <v>00001110</v>
      </c>
      <c r="G220" t="str">
        <f t="shared" si="44"/>
        <v>00101111</v>
      </c>
      <c r="H220" t="str">
        <f t="shared" si="45"/>
        <v>11000100</v>
      </c>
      <c r="I220" t="str">
        <f t="shared" si="46"/>
        <v>00000000000011100010111111000100</v>
      </c>
      <c r="J220" t="str">
        <f t="shared" si="39"/>
        <v>e</v>
      </c>
      <c r="K220" t="str">
        <f t="shared" si="47"/>
        <v>101111</v>
      </c>
      <c r="L220" t="str">
        <f t="shared" si="48"/>
        <v>110001</v>
      </c>
      <c r="M220" t="str">
        <f>LOOKUP(J220,Lookups!$A$27:$A$42,Lookups!$B$27:$B$42)</f>
        <v>a</v>
      </c>
      <c r="N220">
        <f t="shared" si="49"/>
        <v>47</v>
      </c>
      <c r="O220">
        <f t="shared" si="50"/>
        <v>49</v>
      </c>
      <c r="P220">
        <f t="shared" si="51"/>
        <v>3057</v>
      </c>
    </row>
    <row r="221" spans="1:16" x14ac:dyDescent="0.35">
      <c r="A221" t="s">
        <v>537</v>
      </c>
      <c r="C221" t="str">
        <f t="shared" si="40"/>
        <v>3099</v>
      </c>
      <c r="D221" t="str">
        <f t="shared" si="41"/>
        <v>000d3274</v>
      </c>
      <c r="E221" t="str">
        <f t="shared" si="42"/>
        <v>00000000</v>
      </c>
      <c r="F221" t="str">
        <f t="shared" si="43"/>
        <v>00001101</v>
      </c>
      <c r="G221" t="str">
        <f t="shared" si="44"/>
        <v>00110010</v>
      </c>
      <c r="H221" t="str">
        <f t="shared" si="45"/>
        <v>01110100</v>
      </c>
      <c r="I221" t="str">
        <f t="shared" si="46"/>
        <v>00000000000011010011001001110100</v>
      </c>
      <c r="J221" t="str">
        <f t="shared" si="39"/>
        <v>d</v>
      </c>
      <c r="K221" t="str">
        <f t="shared" si="47"/>
        <v>110010</v>
      </c>
      <c r="L221" t="str">
        <f t="shared" si="48"/>
        <v>011101</v>
      </c>
      <c r="M221" t="str">
        <f>LOOKUP(J221,Lookups!$A$27:$A$42,Lookups!$B$27:$B$42)</f>
        <v>c</v>
      </c>
      <c r="N221">
        <f t="shared" si="49"/>
        <v>50</v>
      </c>
      <c r="O221">
        <f t="shared" si="50"/>
        <v>29</v>
      </c>
      <c r="P221">
        <f t="shared" si="51"/>
        <v>3229</v>
      </c>
    </row>
    <row r="222" spans="1:16" x14ac:dyDescent="0.35">
      <c r="A222" t="s">
        <v>538</v>
      </c>
      <c r="C222" t="str">
        <f t="shared" si="40"/>
        <v>3100</v>
      </c>
      <c r="D222" t="str">
        <f t="shared" si="41"/>
        <v>000a2ff8</v>
      </c>
      <c r="E222" t="str">
        <f t="shared" si="42"/>
        <v>00000000</v>
      </c>
      <c r="F222" t="str">
        <f t="shared" si="43"/>
        <v>00001010</v>
      </c>
      <c r="G222" t="str">
        <f t="shared" si="44"/>
        <v>00101111</v>
      </c>
      <c r="H222" t="str">
        <f t="shared" si="45"/>
        <v>11111000</v>
      </c>
      <c r="I222" t="str">
        <f t="shared" si="46"/>
        <v>00000000000010100010111111111000</v>
      </c>
      <c r="J222" t="str">
        <f t="shared" si="39"/>
        <v>a</v>
      </c>
      <c r="K222" t="str">
        <f t="shared" si="47"/>
        <v>101111</v>
      </c>
      <c r="L222" t="str">
        <f t="shared" si="48"/>
        <v>111110</v>
      </c>
      <c r="M222" t="str">
        <f>LOOKUP(J222,Lookups!$A$27:$A$42,Lookups!$B$27:$B$42)</f>
        <v>u</v>
      </c>
      <c r="N222">
        <f t="shared" si="49"/>
        <v>47</v>
      </c>
      <c r="O222">
        <f t="shared" si="50"/>
        <v>62</v>
      </c>
      <c r="P222">
        <f t="shared" si="51"/>
        <v>3070</v>
      </c>
    </row>
    <row r="223" spans="1:16" x14ac:dyDescent="0.35">
      <c r="A223" t="s">
        <v>539</v>
      </c>
      <c r="C223" t="str">
        <f t="shared" si="40"/>
        <v>3101</v>
      </c>
      <c r="D223" t="str">
        <f t="shared" si="41"/>
        <v>00092df8</v>
      </c>
      <c r="E223" t="str">
        <f t="shared" si="42"/>
        <v>00000000</v>
      </c>
      <c r="F223" t="str">
        <f t="shared" si="43"/>
        <v>00001001</v>
      </c>
      <c r="G223" t="str">
        <f t="shared" si="44"/>
        <v>00101101</v>
      </c>
      <c r="H223" t="str">
        <f t="shared" si="45"/>
        <v>11111000</v>
      </c>
      <c r="I223" t="str">
        <f t="shared" si="46"/>
        <v>00000000000010010010110111111000</v>
      </c>
      <c r="J223" t="str">
        <f t="shared" si="39"/>
        <v>9</v>
      </c>
      <c r="K223" t="str">
        <f t="shared" si="47"/>
        <v>101101</v>
      </c>
      <c r="L223" t="str">
        <f t="shared" si="48"/>
        <v>111110</v>
      </c>
      <c r="M223" t="str">
        <f>LOOKUP(J223,Lookups!$A$27:$A$42,Lookups!$B$27:$B$42)</f>
        <v>e</v>
      </c>
      <c r="N223">
        <f t="shared" si="49"/>
        <v>45</v>
      </c>
      <c r="O223">
        <f t="shared" si="50"/>
        <v>62</v>
      </c>
      <c r="P223">
        <f t="shared" si="51"/>
        <v>2942</v>
      </c>
    </row>
    <row r="224" spans="1:16" x14ac:dyDescent="0.35">
      <c r="A224" t="s">
        <v>540</v>
      </c>
      <c r="C224" t="str">
        <f t="shared" si="40"/>
        <v>3102</v>
      </c>
      <c r="D224" t="str">
        <f t="shared" si="41"/>
        <v>000c33b4</v>
      </c>
      <c r="E224" t="str">
        <f t="shared" si="42"/>
        <v>00000000</v>
      </c>
      <c r="F224" t="str">
        <f t="shared" si="43"/>
        <v>00001100</v>
      </c>
      <c r="G224" t="str">
        <f t="shared" si="44"/>
        <v>00110011</v>
      </c>
      <c r="H224" t="str">
        <f t="shared" si="45"/>
        <v>10110100</v>
      </c>
      <c r="I224" t="str">
        <f t="shared" si="46"/>
        <v>00000000000011000011001110110100</v>
      </c>
      <c r="J224" t="str">
        <f t="shared" si="39"/>
        <v>c</v>
      </c>
      <c r="K224" t="str">
        <f t="shared" si="47"/>
        <v>110011</v>
      </c>
      <c r="L224" t="str">
        <f t="shared" si="48"/>
        <v>101101</v>
      </c>
      <c r="M224" t="str">
        <f>LOOKUP(J224,Lookups!$A$27:$A$42,Lookups!$B$27:$B$42)</f>
        <v>h</v>
      </c>
      <c r="N224">
        <f t="shared" si="49"/>
        <v>51</v>
      </c>
      <c r="O224">
        <f t="shared" si="50"/>
        <v>45</v>
      </c>
      <c r="P224">
        <f t="shared" si="51"/>
        <v>3309</v>
      </c>
    </row>
    <row r="225" spans="1:16" x14ac:dyDescent="0.35">
      <c r="A225" t="s">
        <v>541</v>
      </c>
      <c r="C225" t="str">
        <f t="shared" si="40"/>
        <v>3103</v>
      </c>
      <c r="D225" t="str">
        <f t="shared" si="41"/>
        <v>000f2ea4</v>
      </c>
      <c r="E225" t="str">
        <f t="shared" si="42"/>
        <v>00000000</v>
      </c>
      <c r="F225" t="str">
        <f t="shared" si="43"/>
        <v>00001111</v>
      </c>
      <c r="G225" t="str">
        <f t="shared" si="44"/>
        <v>00101110</v>
      </c>
      <c r="H225" t="str">
        <f t="shared" si="45"/>
        <v>10100100</v>
      </c>
      <c r="I225" t="str">
        <f t="shared" si="46"/>
        <v>00000000000011110010111010100100</v>
      </c>
      <c r="J225" t="str">
        <f t="shared" si="39"/>
        <v>f</v>
      </c>
      <c r="K225" t="str">
        <f t="shared" si="47"/>
        <v>101110</v>
      </c>
      <c r="L225" t="str">
        <f t="shared" si="48"/>
        <v>101001</v>
      </c>
      <c r="M225" t="str">
        <f>LOOKUP(J225,Lookups!$A$27:$A$42,Lookups!$B$27:$B$42)</f>
        <v>s</v>
      </c>
      <c r="N225">
        <f t="shared" si="49"/>
        <v>46</v>
      </c>
      <c r="O225">
        <f t="shared" si="50"/>
        <v>41</v>
      </c>
      <c r="P225">
        <f t="shared" si="51"/>
        <v>2985</v>
      </c>
    </row>
    <row r="226" spans="1:16" x14ac:dyDescent="0.35">
      <c r="A226" t="s">
        <v>542</v>
      </c>
      <c r="C226" t="str">
        <f t="shared" si="40"/>
        <v>3104</v>
      </c>
      <c r="D226" t="str">
        <f t="shared" si="41"/>
        <v>000b30a0</v>
      </c>
      <c r="E226" t="str">
        <f t="shared" si="42"/>
        <v>00000000</v>
      </c>
      <c r="F226" t="str">
        <f t="shared" si="43"/>
        <v>00001011</v>
      </c>
      <c r="G226" t="str">
        <f t="shared" si="44"/>
        <v>00110000</v>
      </c>
      <c r="H226" t="str">
        <f t="shared" si="45"/>
        <v>10100000</v>
      </c>
      <c r="I226" t="str">
        <f t="shared" si="46"/>
        <v>00000000000010110011000010100000</v>
      </c>
      <c r="J226" t="str">
        <f t="shared" si="39"/>
        <v>b</v>
      </c>
      <c r="K226" t="str">
        <f t="shared" si="47"/>
        <v>110000</v>
      </c>
      <c r="L226" t="str">
        <f t="shared" si="48"/>
        <v>101000</v>
      </c>
      <c r="M226" t="str">
        <f>LOOKUP(J226,Lookups!$A$27:$A$42,Lookups!$B$27:$B$42)</f>
        <v>t</v>
      </c>
      <c r="N226">
        <f t="shared" si="49"/>
        <v>48</v>
      </c>
      <c r="O226">
        <f t="shared" si="50"/>
        <v>40</v>
      </c>
      <c r="P226">
        <f t="shared" si="51"/>
        <v>3112</v>
      </c>
    </row>
    <row r="227" spans="1:16" x14ac:dyDescent="0.35">
      <c r="A227" t="s">
        <v>543</v>
      </c>
      <c r="C227" t="str">
        <f t="shared" si="40"/>
        <v>3105</v>
      </c>
      <c r="D227" t="str">
        <f t="shared" si="41"/>
        <v>00033300</v>
      </c>
      <c r="E227" t="str">
        <f t="shared" si="42"/>
        <v>00000000</v>
      </c>
      <c r="F227" t="str">
        <f t="shared" si="43"/>
        <v>00000011</v>
      </c>
      <c r="G227" t="str">
        <f t="shared" si="44"/>
        <v>00110011</v>
      </c>
      <c r="H227" t="str">
        <f t="shared" si="45"/>
        <v>00000000</v>
      </c>
      <c r="I227" t="str">
        <f t="shared" si="46"/>
        <v>00000000000000110011001100000000</v>
      </c>
      <c r="J227" t="str">
        <f t="shared" si="39"/>
        <v>3</v>
      </c>
      <c r="K227" t="str">
        <f t="shared" si="47"/>
        <v>110011</v>
      </c>
      <c r="L227" t="str">
        <f t="shared" si="48"/>
        <v>000000</v>
      </c>
      <c r="M227" t="str">
        <f>LOOKUP(J227,Lookups!$A$27:$A$42,Lookups!$B$27:$B$42)</f>
        <v>r</v>
      </c>
      <c r="N227">
        <f t="shared" si="49"/>
        <v>51</v>
      </c>
      <c r="O227">
        <f t="shared" si="50"/>
        <v>0</v>
      </c>
      <c r="P227">
        <f t="shared" si="51"/>
        <v>3264</v>
      </c>
    </row>
    <row r="228" spans="1:16" x14ac:dyDescent="0.35">
      <c r="A228" t="s">
        <v>544</v>
      </c>
      <c r="C228" t="str">
        <f t="shared" si="40"/>
        <v>3106</v>
      </c>
      <c r="D228" t="str">
        <f t="shared" si="41"/>
        <v>000a3300</v>
      </c>
      <c r="E228" t="str">
        <f t="shared" si="42"/>
        <v>00000000</v>
      </c>
      <c r="F228" t="str">
        <f t="shared" si="43"/>
        <v>00001010</v>
      </c>
      <c r="G228" t="str">
        <f t="shared" si="44"/>
        <v>00110011</v>
      </c>
      <c r="H228" t="str">
        <f t="shared" si="45"/>
        <v>00000000</v>
      </c>
      <c r="I228" t="str">
        <f t="shared" si="46"/>
        <v>00000000000010100011001100000000</v>
      </c>
      <c r="J228" t="str">
        <f t="shared" si="39"/>
        <v>a</v>
      </c>
      <c r="K228" t="str">
        <f t="shared" si="47"/>
        <v>110011</v>
      </c>
      <c r="L228" t="str">
        <f t="shared" si="48"/>
        <v>000000</v>
      </c>
      <c r="M228" t="str">
        <f>LOOKUP(J228,Lookups!$A$27:$A$42,Lookups!$B$27:$B$42)</f>
        <v>u</v>
      </c>
      <c r="N228">
        <f t="shared" si="49"/>
        <v>51</v>
      </c>
      <c r="O228">
        <f t="shared" si="50"/>
        <v>0</v>
      </c>
      <c r="P228">
        <f t="shared" si="51"/>
        <v>3264</v>
      </c>
    </row>
    <row r="229" spans="1:16" x14ac:dyDescent="0.35">
      <c r="A229" t="s">
        <v>545</v>
      </c>
      <c r="C229" t="str">
        <f t="shared" si="40"/>
        <v>3107</v>
      </c>
      <c r="D229" t="str">
        <f t="shared" si="41"/>
        <v>20300a52</v>
      </c>
      <c r="E229" t="str">
        <f t="shared" si="42"/>
        <v>00100000</v>
      </c>
      <c r="F229" t="str">
        <f t="shared" si="43"/>
        <v>00110000</v>
      </c>
      <c r="G229" t="str">
        <f t="shared" si="44"/>
        <v>00001010</v>
      </c>
      <c r="H229" t="str">
        <f t="shared" si="45"/>
        <v>01010010</v>
      </c>
      <c r="I229" t="str">
        <f t="shared" si="46"/>
        <v>00100000001100000000101001010010</v>
      </c>
      <c r="J229" t="str">
        <f t="shared" si="39"/>
        <v>0</v>
      </c>
      <c r="K229" t="str">
        <f t="shared" si="47"/>
        <v>001010</v>
      </c>
      <c r="L229" t="str">
        <f t="shared" si="48"/>
        <v>010100</v>
      </c>
      <c r="M229" t="str">
        <f>LOOKUP(J229,Lookups!$A$27:$A$42,Lookups!$B$27:$B$42)</f>
        <v>z</v>
      </c>
      <c r="N229">
        <f t="shared" si="49"/>
        <v>10</v>
      </c>
      <c r="O229">
        <f t="shared" si="50"/>
        <v>20</v>
      </c>
      <c r="P229">
        <f t="shared" si="51"/>
        <v>660</v>
      </c>
    </row>
    <row r="230" spans="1:16" x14ac:dyDescent="0.35">
      <c r="A230" t="s">
        <v>546</v>
      </c>
      <c r="C230" t="str">
        <f t="shared" si="40"/>
        <v>3108</v>
      </c>
      <c r="D230" t="str">
        <f t="shared" si="41"/>
        <v>7a5a7e7e</v>
      </c>
      <c r="E230" t="str">
        <f t="shared" si="42"/>
        <v>01111010</v>
      </c>
      <c r="F230" t="str">
        <f t="shared" si="43"/>
        <v>01011010</v>
      </c>
      <c r="G230" t="str">
        <f t="shared" si="44"/>
        <v>01111110</v>
      </c>
      <c r="H230" t="str">
        <f t="shared" si="45"/>
        <v>01111110</v>
      </c>
      <c r="I230" t="str">
        <f t="shared" si="46"/>
        <v>01111010010110100111111001111110</v>
      </c>
      <c r="J230" t="str">
        <f t="shared" si="39"/>
        <v>a</v>
      </c>
      <c r="K230" t="str">
        <f t="shared" si="47"/>
        <v>111110</v>
      </c>
      <c r="L230" t="str">
        <f t="shared" si="48"/>
        <v>011111</v>
      </c>
      <c r="M230" t="str">
        <f>LOOKUP(J230,Lookups!$A$27:$A$42,Lookups!$B$27:$B$42)</f>
        <v>u</v>
      </c>
      <c r="N230">
        <f t="shared" si="49"/>
        <v>62</v>
      </c>
      <c r="O230">
        <f t="shared" si="50"/>
        <v>31</v>
      </c>
      <c r="P230">
        <f t="shared" si="51"/>
        <v>3999</v>
      </c>
    </row>
    <row r="231" spans="1:16" x14ac:dyDescent="0.35">
      <c r="A231" t="s">
        <v>547</v>
      </c>
      <c r="C231" t="str">
        <f t="shared" si="40"/>
        <v>3109</v>
      </c>
      <c r="D231" t="str">
        <f t="shared" si="41"/>
        <v>000d33b4</v>
      </c>
      <c r="E231" t="str">
        <f t="shared" si="42"/>
        <v>00000000</v>
      </c>
      <c r="F231" t="str">
        <f t="shared" si="43"/>
        <v>00001101</v>
      </c>
      <c r="G231" t="str">
        <f t="shared" si="44"/>
        <v>00110011</v>
      </c>
      <c r="H231" t="str">
        <f t="shared" si="45"/>
        <v>10110100</v>
      </c>
      <c r="I231" t="str">
        <f t="shared" si="46"/>
        <v>00000000000011010011001110110100</v>
      </c>
      <c r="J231" t="str">
        <f t="shared" si="39"/>
        <v>d</v>
      </c>
      <c r="K231" t="str">
        <f t="shared" si="47"/>
        <v>110011</v>
      </c>
      <c r="L231" t="str">
        <f t="shared" si="48"/>
        <v>101101</v>
      </c>
      <c r="M231" t="str">
        <f>LOOKUP(J231,Lookups!$A$27:$A$42,Lookups!$B$27:$B$42)</f>
        <v>c</v>
      </c>
      <c r="N231">
        <f t="shared" si="49"/>
        <v>51</v>
      </c>
      <c r="O231">
        <f t="shared" si="50"/>
        <v>45</v>
      </c>
      <c r="P231">
        <f t="shared" si="51"/>
        <v>3309</v>
      </c>
    </row>
    <row r="232" spans="1:16" x14ac:dyDescent="0.35">
      <c r="A232" t="s">
        <v>548</v>
      </c>
      <c r="C232" t="str">
        <f t="shared" si="40"/>
        <v>3110</v>
      </c>
      <c r="D232" t="str">
        <f t="shared" si="41"/>
        <v>000d33b4</v>
      </c>
      <c r="E232" t="str">
        <f t="shared" si="42"/>
        <v>00000000</v>
      </c>
      <c r="F232" t="str">
        <f t="shared" si="43"/>
        <v>00001101</v>
      </c>
      <c r="G232" t="str">
        <f t="shared" si="44"/>
        <v>00110011</v>
      </c>
      <c r="H232" t="str">
        <f t="shared" si="45"/>
        <v>10110100</v>
      </c>
      <c r="I232" t="str">
        <f t="shared" si="46"/>
        <v>00000000000011010011001110110100</v>
      </c>
      <c r="J232" t="str">
        <f t="shared" si="39"/>
        <v>d</v>
      </c>
      <c r="K232" t="str">
        <f t="shared" si="47"/>
        <v>110011</v>
      </c>
      <c r="L232" t="str">
        <f t="shared" si="48"/>
        <v>101101</v>
      </c>
      <c r="M232" t="str">
        <f>LOOKUP(J232,Lookups!$A$27:$A$42,Lookups!$B$27:$B$42)</f>
        <v>c</v>
      </c>
      <c r="N232">
        <f t="shared" si="49"/>
        <v>51</v>
      </c>
      <c r="O232">
        <f t="shared" si="50"/>
        <v>45</v>
      </c>
      <c r="P232">
        <f t="shared" si="51"/>
        <v>3309</v>
      </c>
    </row>
    <row r="233" spans="1:16" x14ac:dyDescent="0.35">
      <c r="A233" t="s">
        <v>549</v>
      </c>
      <c r="C233" t="str">
        <f t="shared" si="40"/>
        <v>3111</v>
      </c>
      <c r="D233" t="str">
        <f t="shared" si="41"/>
        <v>000a3130</v>
      </c>
      <c r="E233" t="str">
        <f t="shared" si="42"/>
        <v>00000000</v>
      </c>
      <c r="F233" t="str">
        <f t="shared" si="43"/>
        <v>00001010</v>
      </c>
      <c r="G233" t="str">
        <f t="shared" si="44"/>
        <v>00110001</v>
      </c>
      <c r="H233" t="str">
        <f t="shared" si="45"/>
        <v>00110000</v>
      </c>
      <c r="I233" t="str">
        <f t="shared" si="46"/>
        <v>00000000000010100011000100110000</v>
      </c>
      <c r="J233" t="str">
        <f t="shared" si="39"/>
        <v>a</v>
      </c>
      <c r="K233" t="str">
        <f t="shared" si="47"/>
        <v>110001</v>
      </c>
      <c r="L233" t="str">
        <f t="shared" si="48"/>
        <v>001100</v>
      </c>
      <c r="M233" t="str">
        <f>LOOKUP(J233,Lookups!$A$27:$A$42,Lookups!$B$27:$B$42)</f>
        <v>u</v>
      </c>
      <c r="N233">
        <f t="shared" si="49"/>
        <v>49</v>
      </c>
      <c r="O233">
        <f t="shared" si="50"/>
        <v>12</v>
      </c>
      <c r="P233">
        <f t="shared" si="51"/>
        <v>3148</v>
      </c>
    </row>
    <row r="234" spans="1:16" x14ac:dyDescent="0.35">
      <c r="A234" t="s">
        <v>550</v>
      </c>
      <c r="C234" t="str">
        <f t="shared" si="40"/>
        <v>3112</v>
      </c>
      <c r="D234" t="str">
        <f t="shared" si="41"/>
        <v>000e2e8c</v>
      </c>
      <c r="E234" t="str">
        <f t="shared" si="42"/>
        <v>00000000</v>
      </c>
      <c r="F234" t="str">
        <f t="shared" si="43"/>
        <v>00001110</v>
      </c>
      <c r="G234" t="str">
        <f t="shared" si="44"/>
        <v>00101110</v>
      </c>
      <c r="H234" t="str">
        <f t="shared" si="45"/>
        <v>10001100</v>
      </c>
      <c r="I234" t="str">
        <f t="shared" si="46"/>
        <v>00000000000011100010111010001100</v>
      </c>
      <c r="J234" t="str">
        <f t="shared" si="39"/>
        <v>e</v>
      </c>
      <c r="K234" t="str">
        <f t="shared" si="47"/>
        <v>101110</v>
      </c>
      <c r="L234" t="str">
        <f t="shared" si="48"/>
        <v>100011</v>
      </c>
      <c r="M234" t="str">
        <f>LOOKUP(J234,Lookups!$A$27:$A$42,Lookups!$B$27:$B$42)</f>
        <v>a</v>
      </c>
      <c r="N234">
        <f t="shared" si="49"/>
        <v>46</v>
      </c>
      <c r="O234">
        <f t="shared" si="50"/>
        <v>35</v>
      </c>
      <c r="P234">
        <f t="shared" si="51"/>
        <v>2979</v>
      </c>
    </row>
    <row r="235" spans="1:16" x14ac:dyDescent="0.35">
      <c r="A235" t="s">
        <v>551</v>
      </c>
      <c r="C235" t="str">
        <f t="shared" si="40"/>
        <v>3113</v>
      </c>
      <c r="D235" t="str">
        <f t="shared" si="41"/>
        <v>000b30d4</v>
      </c>
      <c r="E235" t="str">
        <f t="shared" si="42"/>
        <v>00000000</v>
      </c>
      <c r="F235" t="str">
        <f t="shared" si="43"/>
        <v>00001011</v>
      </c>
      <c r="G235" t="str">
        <f t="shared" si="44"/>
        <v>00110000</v>
      </c>
      <c r="H235" t="str">
        <f t="shared" si="45"/>
        <v>11010100</v>
      </c>
      <c r="I235" t="str">
        <f t="shared" si="46"/>
        <v>00000000000010110011000011010100</v>
      </c>
      <c r="J235" t="str">
        <f t="shared" si="39"/>
        <v>b</v>
      </c>
      <c r="K235" t="str">
        <f t="shared" si="47"/>
        <v>110000</v>
      </c>
      <c r="L235" t="str">
        <f t="shared" si="48"/>
        <v>110101</v>
      </c>
      <c r="M235" t="str">
        <f>LOOKUP(J235,Lookups!$A$27:$A$42,Lookups!$B$27:$B$42)</f>
        <v>t</v>
      </c>
      <c r="N235">
        <f t="shared" si="49"/>
        <v>48</v>
      </c>
      <c r="O235">
        <f t="shared" si="50"/>
        <v>53</v>
      </c>
      <c r="P235">
        <f t="shared" si="51"/>
        <v>3125</v>
      </c>
    </row>
    <row r="236" spans="1:16" x14ac:dyDescent="0.35">
      <c r="A236" t="s">
        <v>552</v>
      </c>
      <c r="C236" t="str">
        <f t="shared" si="40"/>
        <v>3114</v>
      </c>
      <c r="D236" t="str">
        <f t="shared" si="41"/>
        <v>00012e8c</v>
      </c>
      <c r="E236" t="str">
        <f t="shared" si="42"/>
        <v>00000000</v>
      </c>
      <c r="F236" t="str">
        <f t="shared" si="43"/>
        <v>00000001</v>
      </c>
      <c r="G236" t="str">
        <f t="shared" si="44"/>
        <v>00101110</v>
      </c>
      <c r="H236" t="str">
        <f t="shared" si="45"/>
        <v>10001100</v>
      </c>
      <c r="I236" t="str">
        <f t="shared" si="46"/>
        <v>00000000000000010010111010001100</v>
      </c>
      <c r="J236" t="str">
        <f t="shared" si="39"/>
        <v>1</v>
      </c>
      <c r="K236" t="str">
        <f t="shared" si="47"/>
        <v>101110</v>
      </c>
      <c r="L236" t="str">
        <f t="shared" si="48"/>
        <v>100011</v>
      </c>
      <c r="M236" t="str">
        <f>LOOKUP(J236,Lookups!$A$27:$A$42,Lookups!$B$27:$B$42)</f>
        <v>b</v>
      </c>
      <c r="N236">
        <f t="shared" si="49"/>
        <v>46</v>
      </c>
      <c r="O236">
        <f t="shared" si="50"/>
        <v>35</v>
      </c>
      <c r="P236">
        <f t="shared" si="51"/>
        <v>2979</v>
      </c>
    </row>
    <row r="237" spans="1:16" x14ac:dyDescent="0.35">
      <c r="A237" t="s">
        <v>553</v>
      </c>
      <c r="C237" t="str">
        <f t="shared" si="40"/>
        <v>3115</v>
      </c>
      <c r="D237" t="str">
        <f t="shared" si="41"/>
        <v>000f327c</v>
      </c>
      <c r="E237" t="str">
        <f t="shared" si="42"/>
        <v>00000000</v>
      </c>
      <c r="F237" t="str">
        <f t="shared" si="43"/>
        <v>00001111</v>
      </c>
      <c r="G237" t="str">
        <f t="shared" si="44"/>
        <v>00110010</v>
      </c>
      <c r="H237" t="str">
        <f t="shared" si="45"/>
        <v>01111100</v>
      </c>
      <c r="I237" t="str">
        <f t="shared" si="46"/>
        <v>00000000000011110011001001111100</v>
      </c>
      <c r="J237" t="str">
        <f t="shared" si="39"/>
        <v>f</v>
      </c>
      <c r="K237" t="str">
        <f t="shared" si="47"/>
        <v>110010</v>
      </c>
      <c r="L237" t="str">
        <f t="shared" si="48"/>
        <v>011111</v>
      </c>
      <c r="M237" t="str">
        <f>LOOKUP(J237,Lookups!$A$27:$A$42,Lookups!$B$27:$B$42)</f>
        <v>s</v>
      </c>
      <c r="N237">
        <f t="shared" si="49"/>
        <v>50</v>
      </c>
      <c r="O237">
        <f t="shared" si="50"/>
        <v>31</v>
      </c>
      <c r="P237">
        <f t="shared" si="51"/>
        <v>3231</v>
      </c>
    </row>
    <row r="238" spans="1:16" x14ac:dyDescent="0.35">
      <c r="A238" t="s">
        <v>554</v>
      </c>
      <c r="C238" t="str">
        <f t="shared" si="40"/>
        <v>3116</v>
      </c>
      <c r="D238" t="str">
        <f t="shared" si="41"/>
        <v>000b30d4</v>
      </c>
      <c r="E238" t="str">
        <f t="shared" si="42"/>
        <v>00000000</v>
      </c>
      <c r="F238" t="str">
        <f t="shared" si="43"/>
        <v>00001011</v>
      </c>
      <c r="G238" t="str">
        <f t="shared" si="44"/>
        <v>00110000</v>
      </c>
      <c r="H238" t="str">
        <f t="shared" si="45"/>
        <v>11010100</v>
      </c>
      <c r="I238" t="str">
        <f t="shared" si="46"/>
        <v>00000000000010110011000011010100</v>
      </c>
      <c r="J238" t="str">
        <f t="shared" si="39"/>
        <v>b</v>
      </c>
      <c r="K238" t="str">
        <f t="shared" si="47"/>
        <v>110000</v>
      </c>
      <c r="L238" t="str">
        <f t="shared" si="48"/>
        <v>110101</v>
      </c>
      <c r="M238" t="str">
        <f>LOOKUP(J238,Lookups!$A$27:$A$42,Lookups!$B$27:$B$42)</f>
        <v>t</v>
      </c>
      <c r="N238">
        <f t="shared" si="49"/>
        <v>48</v>
      </c>
      <c r="O238">
        <f t="shared" si="50"/>
        <v>53</v>
      </c>
      <c r="P238">
        <f t="shared" si="51"/>
        <v>3125</v>
      </c>
    </row>
    <row r="239" spans="1:16" x14ac:dyDescent="0.35">
      <c r="A239" t="s">
        <v>555</v>
      </c>
      <c r="C239" t="str">
        <f t="shared" si="40"/>
        <v>3117</v>
      </c>
      <c r="D239" t="str">
        <f t="shared" si="41"/>
        <v>00033300</v>
      </c>
      <c r="E239" t="str">
        <f t="shared" si="42"/>
        <v>00000000</v>
      </c>
      <c r="F239" t="str">
        <f t="shared" si="43"/>
        <v>00000011</v>
      </c>
      <c r="G239" t="str">
        <f t="shared" si="44"/>
        <v>00110011</v>
      </c>
      <c r="H239" t="str">
        <f t="shared" si="45"/>
        <v>00000000</v>
      </c>
      <c r="I239" t="str">
        <f t="shared" si="46"/>
        <v>00000000000000110011001100000000</v>
      </c>
      <c r="J239" t="str">
        <f t="shared" si="39"/>
        <v>3</v>
      </c>
      <c r="K239" t="str">
        <f t="shared" si="47"/>
        <v>110011</v>
      </c>
      <c r="L239" t="str">
        <f t="shared" si="48"/>
        <v>000000</v>
      </c>
      <c r="M239" t="str">
        <f>LOOKUP(J239,Lookups!$A$27:$A$42,Lookups!$B$27:$B$42)</f>
        <v>r</v>
      </c>
      <c r="N239">
        <f t="shared" si="49"/>
        <v>51</v>
      </c>
      <c r="O239">
        <f t="shared" si="50"/>
        <v>0</v>
      </c>
      <c r="P239">
        <f t="shared" si="51"/>
        <v>3264</v>
      </c>
    </row>
    <row r="240" spans="1:16" x14ac:dyDescent="0.35">
      <c r="A240" t="s">
        <v>556</v>
      </c>
      <c r="C240" t="str">
        <f t="shared" si="40"/>
        <v>3118</v>
      </c>
      <c r="D240" t="str">
        <f t="shared" si="41"/>
        <v>000a3300</v>
      </c>
      <c r="E240" t="str">
        <f t="shared" si="42"/>
        <v>00000000</v>
      </c>
      <c r="F240" t="str">
        <f t="shared" si="43"/>
        <v>00001010</v>
      </c>
      <c r="G240" t="str">
        <f t="shared" si="44"/>
        <v>00110011</v>
      </c>
      <c r="H240" t="str">
        <f t="shared" si="45"/>
        <v>00000000</v>
      </c>
      <c r="I240" t="str">
        <f t="shared" si="46"/>
        <v>00000000000010100011001100000000</v>
      </c>
      <c r="J240" t="str">
        <f t="shared" si="39"/>
        <v>a</v>
      </c>
      <c r="K240" t="str">
        <f t="shared" si="47"/>
        <v>110011</v>
      </c>
      <c r="L240" t="str">
        <f t="shared" si="48"/>
        <v>000000</v>
      </c>
      <c r="M240" t="str">
        <f>LOOKUP(J240,Lookups!$A$27:$A$42,Lookups!$B$27:$B$42)</f>
        <v>u</v>
      </c>
      <c r="N240">
        <f t="shared" si="49"/>
        <v>51</v>
      </c>
      <c r="O240">
        <f t="shared" si="50"/>
        <v>0</v>
      </c>
      <c r="P240">
        <f t="shared" si="51"/>
        <v>3264</v>
      </c>
    </row>
    <row r="241" spans="1:16" x14ac:dyDescent="0.35">
      <c r="A241" t="s">
        <v>557</v>
      </c>
      <c r="C241" t="str">
        <f t="shared" si="40"/>
        <v>3119</v>
      </c>
      <c r="D241" t="str">
        <f t="shared" si="41"/>
        <v>20300a0c</v>
      </c>
      <c r="E241" t="str">
        <f t="shared" si="42"/>
        <v>00100000</v>
      </c>
      <c r="F241" t="str">
        <f t="shared" si="43"/>
        <v>00110000</v>
      </c>
      <c r="G241" t="str">
        <f t="shared" si="44"/>
        <v>00001010</v>
      </c>
      <c r="H241" t="str">
        <f t="shared" si="45"/>
        <v>00001100</v>
      </c>
      <c r="I241" t="str">
        <f t="shared" si="46"/>
        <v>00100000001100000000101000001100</v>
      </c>
      <c r="J241" t="str">
        <f t="shared" si="39"/>
        <v>0</v>
      </c>
      <c r="K241" t="str">
        <f t="shared" si="47"/>
        <v>001010</v>
      </c>
      <c r="L241" t="str">
        <f t="shared" si="48"/>
        <v>000011</v>
      </c>
      <c r="M241" t="str">
        <f>LOOKUP(J241,Lookups!$A$27:$A$42,Lookups!$B$27:$B$42)</f>
        <v>z</v>
      </c>
      <c r="N241">
        <f t="shared" si="49"/>
        <v>10</v>
      </c>
      <c r="O241">
        <f t="shared" si="50"/>
        <v>3</v>
      </c>
      <c r="P241">
        <f t="shared" si="51"/>
        <v>643</v>
      </c>
    </row>
    <row r="242" spans="1:16" x14ac:dyDescent="0.35">
      <c r="A242" t="s">
        <v>558</v>
      </c>
      <c r="C242" t="str">
        <f t="shared" si="40"/>
        <v>3120</v>
      </c>
      <c r="D242" t="str">
        <f t="shared" si="41"/>
        <v>726a6c64</v>
      </c>
      <c r="E242" t="str">
        <f t="shared" si="42"/>
        <v>01110010</v>
      </c>
      <c r="F242" t="str">
        <f t="shared" si="43"/>
        <v>01101010</v>
      </c>
      <c r="G242" t="str">
        <f t="shared" si="44"/>
        <v>01101100</v>
      </c>
      <c r="H242" t="str">
        <f t="shared" si="45"/>
        <v>01100100</v>
      </c>
      <c r="I242" t="str">
        <f t="shared" si="46"/>
        <v>01110010011010100110110001100100</v>
      </c>
      <c r="J242" t="str">
        <f t="shared" si="39"/>
        <v>a</v>
      </c>
      <c r="K242" t="str">
        <f t="shared" si="47"/>
        <v>101100</v>
      </c>
      <c r="L242" t="str">
        <f t="shared" si="48"/>
        <v>011001</v>
      </c>
      <c r="M242" t="str">
        <f>LOOKUP(J242,Lookups!$A$27:$A$42,Lookups!$B$27:$B$42)</f>
        <v>u</v>
      </c>
      <c r="N242">
        <f t="shared" si="49"/>
        <v>44</v>
      </c>
      <c r="O242">
        <f t="shared" si="50"/>
        <v>25</v>
      </c>
      <c r="P242">
        <f t="shared" si="51"/>
        <v>2841</v>
      </c>
    </row>
    <row r="243" spans="1:16" x14ac:dyDescent="0.35">
      <c r="A243" t="s">
        <v>559</v>
      </c>
      <c r="C243" t="str">
        <f t="shared" si="40"/>
        <v>3121</v>
      </c>
      <c r="D243" t="str">
        <f t="shared" si="41"/>
        <v>726a6c7e</v>
      </c>
      <c r="E243" t="str">
        <f t="shared" si="42"/>
        <v>01110010</v>
      </c>
      <c r="F243" t="str">
        <f t="shared" si="43"/>
        <v>01101010</v>
      </c>
      <c r="G243" t="str">
        <f t="shared" si="44"/>
        <v>01101100</v>
      </c>
      <c r="H243" t="str">
        <f t="shared" si="45"/>
        <v>01111110</v>
      </c>
      <c r="I243" t="str">
        <f t="shared" si="46"/>
        <v>01110010011010100110110001111110</v>
      </c>
      <c r="J243" t="str">
        <f t="shared" si="39"/>
        <v>a</v>
      </c>
      <c r="K243" t="str">
        <f t="shared" si="47"/>
        <v>101100</v>
      </c>
      <c r="L243" t="str">
        <f t="shared" si="48"/>
        <v>011111</v>
      </c>
      <c r="M243" t="str">
        <f>LOOKUP(J243,Lookups!$A$27:$A$42,Lookups!$B$27:$B$42)</f>
        <v>u</v>
      </c>
      <c r="N243">
        <f t="shared" si="49"/>
        <v>44</v>
      </c>
      <c r="O243">
        <f t="shared" si="50"/>
        <v>31</v>
      </c>
      <c r="P243">
        <f t="shared" si="51"/>
        <v>2847</v>
      </c>
    </row>
    <row r="244" spans="1:16" x14ac:dyDescent="0.35">
      <c r="A244" t="s">
        <v>560</v>
      </c>
      <c r="C244" t="str">
        <f t="shared" si="40"/>
        <v>3122</v>
      </c>
      <c r="D244" t="str">
        <f t="shared" si="41"/>
        <v>00012e78</v>
      </c>
      <c r="E244" t="str">
        <f t="shared" si="42"/>
        <v>00000000</v>
      </c>
      <c r="F244" t="str">
        <f t="shared" si="43"/>
        <v>00000001</v>
      </c>
      <c r="G244" t="str">
        <f t="shared" si="44"/>
        <v>00101110</v>
      </c>
      <c r="H244" t="str">
        <f t="shared" si="45"/>
        <v>01111000</v>
      </c>
      <c r="I244" t="str">
        <f t="shared" si="46"/>
        <v>00000000000000010010111001111000</v>
      </c>
      <c r="J244" t="str">
        <f t="shared" si="39"/>
        <v>1</v>
      </c>
      <c r="K244" t="str">
        <f t="shared" si="47"/>
        <v>101110</v>
      </c>
      <c r="L244" t="str">
        <f t="shared" si="48"/>
        <v>011110</v>
      </c>
      <c r="M244" t="str">
        <f>LOOKUP(J244,Lookups!$A$27:$A$42,Lookups!$B$27:$B$42)</f>
        <v>b</v>
      </c>
      <c r="N244">
        <f t="shared" si="49"/>
        <v>46</v>
      </c>
      <c r="O244">
        <f t="shared" si="50"/>
        <v>30</v>
      </c>
      <c r="P244">
        <f t="shared" si="51"/>
        <v>2974</v>
      </c>
    </row>
    <row r="245" spans="1:16" x14ac:dyDescent="0.35">
      <c r="A245" t="s">
        <v>561</v>
      </c>
      <c r="C245" t="str">
        <f t="shared" si="40"/>
        <v>3123</v>
      </c>
      <c r="D245" t="str">
        <f t="shared" si="41"/>
        <v>000d2f8c</v>
      </c>
      <c r="E245" t="str">
        <f t="shared" si="42"/>
        <v>00000000</v>
      </c>
      <c r="F245" t="str">
        <f t="shared" si="43"/>
        <v>00001101</v>
      </c>
      <c r="G245" t="str">
        <f t="shared" si="44"/>
        <v>00101111</v>
      </c>
      <c r="H245" t="str">
        <f t="shared" si="45"/>
        <v>10001100</v>
      </c>
      <c r="I245" t="str">
        <f t="shared" si="46"/>
        <v>00000000000011010010111110001100</v>
      </c>
      <c r="J245" t="str">
        <f t="shared" si="39"/>
        <v>d</v>
      </c>
      <c r="K245" t="str">
        <f t="shared" si="47"/>
        <v>101111</v>
      </c>
      <c r="L245" t="str">
        <f t="shared" si="48"/>
        <v>100011</v>
      </c>
      <c r="M245" t="str">
        <f>LOOKUP(J245,Lookups!$A$27:$A$42,Lookups!$B$27:$B$42)</f>
        <v>c</v>
      </c>
      <c r="N245">
        <f t="shared" si="49"/>
        <v>47</v>
      </c>
      <c r="O245">
        <f t="shared" si="50"/>
        <v>35</v>
      </c>
      <c r="P245">
        <f t="shared" si="51"/>
        <v>3043</v>
      </c>
    </row>
    <row r="246" spans="1:16" x14ac:dyDescent="0.35">
      <c r="A246" t="s">
        <v>562</v>
      </c>
      <c r="C246" t="str">
        <f t="shared" si="40"/>
        <v>3124</v>
      </c>
      <c r="D246" t="str">
        <f t="shared" si="41"/>
        <v>000a30f4</v>
      </c>
      <c r="E246" t="str">
        <f t="shared" si="42"/>
        <v>00000000</v>
      </c>
      <c r="F246" t="str">
        <f t="shared" si="43"/>
        <v>00001010</v>
      </c>
      <c r="G246" t="str">
        <f t="shared" si="44"/>
        <v>00110000</v>
      </c>
      <c r="H246" t="str">
        <f t="shared" si="45"/>
        <v>11110100</v>
      </c>
      <c r="I246" t="str">
        <f t="shared" si="46"/>
        <v>00000000000010100011000011110100</v>
      </c>
      <c r="J246" t="str">
        <f t="shared" si="39"/>
        <v>a</v>
      </c>
      <c r="K246" t="str">
        <f t="shared" si="47"/>
        <v>110000</v>
      </c>
      <c r="L246" t="str">
        <f t="shared" si="48"/>
        <v>111101</v>
      </c>
      <c r="M246" t="str">
        <f>LOOKUP(J246,Lookups!$A$27:$A$42,Lookups!$B$27:$B$42)</f>
        <v>u</v>
      </c>
      <c r="N246">
        <f t="shared" si="49"/>
        <v>48</v>
      </c>
      <c r="O246">
        <f t="shared" si="50"/>
        <v>61</v>
      </c>
      <c r="P246">
        <f t="shared" si="51"/>
        <v>3133</v>
      </c>
    </row>
    <row r="247" spans="1:16" x14ac:dyDescent="0.35">
      <c r="A247" t="s">
        <v>563</v>
      </c>
      <c r="C247" t="str">
        <f t="shared" si="40"/>
        <v>3125</v>
      </c>
      <c r="D247" t="str">
        <f t="shared" si="41"/>
        <v>0001327c</v>
      </c>
      <c r="E247" t="str">
        <f t="shared" si="42"/>
        <v>00000000</v>
      </c>
      <c r="F247" t="str">
        <f t="shared" si="43"/>
        <v>00000001</v>
      </c>
      <c r="G247" t="str">
        <f t="shared" si="44"/>
        <v>00110010</v>
      </c>
      <c r="H247" t="str">
        <f t="shared" si="45"/>
        <v>01111100</v>
      </c>
      <c r="I247" t="str">
        <f t="shared" si="46"/>
        <v>00000000000000010011001001111100</v>
      </c>
      <c r="J247" t="str">
        <f t="shared" si="39"/>
        <v>1</v>
      </c>
      <c r="K247" t="str">
        <f t="shared" si="47"/>
        <v>110010</v>
      </c>
      <c r="L247" t="str">
        <f t="shared" si="48"/>
        <v>011111</v>
      </c>
      <c r="M247" t="str">
        <f>LOOKUP(J247,Lookups!$A$27:$A$42,Lookups!$B$27:$B$42)</f>
        <v>b</v>
      </c>
      <c r="N247">
        <f t="shared" si="49"/>
        <v>50</v>
      </c>
      <c r="O247">
        <f t="shared" si="50"/>
        <v>31</v>
      </c>
      <c r="P247">
        <f t="shared" si="51"/>
        <v>3231</v>
      </c>
    </row>
    <row r="248" spans="1:16" x14ac:dyDescent="0.35">
      <c r="A248" t="s">
        <v>564</v>
      </c>
      <c r="C248" t="str">
        <f t="shared" si="40"/>
        <v>3126</v>
      </c>
      <c r="D248" t="str">
        <f t="shared" si="41"/>
        <v>000f2efc</v>
      </c>
      <c r="E248" t="str">
        <f t="shared" si="42"/>
        <v>00000000</v>
      </c>
      <c r="F248" t="str">
        <f t="shared" si="43"/>
        <v>00001111</v>
      </c>
      <c r="G248" t="str">
        <f t="shared" si="44"/>
        <v>00101110</v>
      </c>
      <c r="H248" t="str">
        <f t="shared" si="45"/>
        <v>11111100</v>
      </c>
      <c r="I248" t="str">
        <f t="shared" si="46"/>
        <v>00000000000011110010111011111100</v>
      </c>
      <c r="J248" t="str">
        <f t="shared" si="39"/>
        <v>f</v>
      </c>
      <c r="K248" t="str">
        <f t="shared" si="47"/>
        <v>101110</v>
      </c>
      <c r="L248" t="str">
        <f t="shared" si="48"/>
        <v>111111</v>
      </c>
      <c r="M248" t="str">
        <f>LOOKUP(J248,Lookups!$A$27:$A$42,Lookups!$B$27:$B$42)</f>
        <v>s</v>
      </c>
      <c r="N248">
        <f t="shared" si="49"/>
        <v>46</v>
      </c>
      <c r="O248">
        <f t="shared" si="50"/>
        <v>63</v>
      </c>
      <c r="P248">
        <f t="shared" si="51"/>
        <v>3007</v>
      </c>
    </row>
    <row r="249" spans="1:16" x14ac:dyDescent="0.35">
      <c r="A249" t="s">
        <v>565</v>
      </c>
      <c r="C249" t="str">
        <f t="shared" si="40"/>
        <v>3127</v>
      </c>
      <c r="D249" t="str">
        <f t="shared" si="41"/>
        <v>000b3110</v>
      </c>
      <c r="E249" t="str">
        <f t="shared" si="42"/>
        <v>00000000</v>
      </c>
      <c r="F249" t="str">
        <f t="shared" si="43"/>
        <v>00001011</v>
      </c>
      <c r="G249" t="str">
        <f t="shared" si="44"/>
        <v>00110001</v>
      </c>
      <c r="H249" t="str">
        <f t="shared" si="45"/>
        <v>00010000</v>
      </c>
      <c r="I249" t="str">
        <f t="shared" si="46"/>
        <v>00000000000010110011000100010000</v>
      </c>
      <c r="J249" t="str">
        <f t="shared" si="39"/>
        <v>b</v>
      </c>
      <c r="K249" t="str">
        <f t="shared" si="47"/>
        <v>110001</v>
      </c>
      <c r="L249" t="str">
        <f t="shared" si="48"/>
        <v>000100</v>
      </c>
      <c r="M249" t="str">
        <f>LOOKUP(J249,Lookups!$A$27:$A$42,Lookups!$B$27:$B$42)</f>
        <v>t</v>
      </c>
      <c r="N249">
        <f t="shared" si="49"/>
        <v>49</v>
      </c>
      <c r="O249">
        <f t="shared" si="50"/>
        <v>4</v>
      </c>
      <c r="P249">
        <f t="shared" si="51"/>
        <v>3140</v>
      </c>
    </row>
    <row r="250" spans="1:16" x14ac:dyDescent="0.35">
      <c r="A250" t="s">
        <v>566</v>
      </c>
      <c r="C250" t="str">
        <f t="shared" si="40"/>
        <v>3128</v>
      </c>
      <c r="D250" t="str">
        <f t="shared" si="41"/>
        <v>00033300</v>
      </c>
      <c r="E250" t="str">
        <f t="shared" si="42"/>
        <v>00000000</v>
      </c>
      <c r="F250" t="str">
        <f t="shared" si="43"/>
        <v>00000011</v>
      </c>
      <c r="G250" t="str">
        <f t="shared" si="44"/>
        <v>00110011</v>
      </c>
      <c r="H250" t="str">
        <f t="shared" si="45"/>
        <v>00000000</v>
      </c>
      <c r="I250" t="str">
        <f t="shared" si="46"/>
        <v>00000000000000110011001100000000</v>
      </c>
      <c r="J250" t="str">
        <f t="shared" si="39"/>
        <v>3</v>
      </c>
      <c r="K250" t="str">
        <f t="shared" si="47"/>
        <v>110011</v>
      </c>
      <c r="L250" t="str">
        <f t="shared" si="48"/>
        <v>000000</v>
      </c>
      <c r="M250" t="str">
        <f>LOOKUP(J250,Lookups!$A$27:$A$42,Lookups!$B$27:$B$42)</f>
        <v>r</v>
      </c>
      <c r="N250">
        <f t="shared" si="49"/>
        <v>51</v>
      </c>
      <c r="O250">
        <f t="shared" si="50"/>
        <v>0</v>
      </c>
      <c r="P250">
        <f t="shared" si="51"/>
        <v>3264</v>
      </c>
    </row>
    <row r="251" spans="1:16" x14ac:dyDescent="0.35">
      <c r="A251" t="s">
        <v>567</v>
      </c>
      <c r="C251" t="str">
        <f t="shared" si="40"/>
        <v>3129</v>
      </c>
      <c r="D251" t="str">
        <f t="shared" si="41"/>
        <v>000a3300</v>
      </c>
      <c r="E251" t="str">
        <f t="shared" si="42"/>
        <v>00000000</v>
      </c>
      <c r="F251" t="str">
        <f t="shared" si="43"/>
        <v>00001010</v>
      </c>
      <c r="G251" t="str">
        <f t="shared" si="44"/>
        <v>00110011</v>
      </c>
      <c r="H251" t="str">
        <f t="shared" si="45"/>
        <v>00000000</v>
      </c>
      <c r="I251" t="str">
        <f t="shared" si="46"/>
        <v>00000000000010100011001100000000</v>
      </c>
      <c r="J251" t="str">
        <f t="shared" si="39"/>
        <v>a</v>
      </c>
      <c r="K251" t="str">
        <f t="shared" si="47"/>
        <v>110011</v>
      </c>
      <c r="L251" t="str">
        <f t="shared" si="48"/>
        <v>000000</v>
      </c>
      <c r="M251" t="str">
        <f>LOOKUP(J251,Lookups!$A$27:$A$42,Lookups!$B$27:$B$42)</f>
        <v>u</v>
      </c>
      <c r="N251">
        <f t="shared" si="49"/>
        <v>51</v>
      </c>
      <c r="O251">
        <f t="shared" si="50"/>
        <v>0</v>
      </c>
      <c r="P251">
        <f t="shared" si="51"/>
        <v>3264</v>
      </c>
    </row>
    <row r="252" spans="1:16" x14ac:dyDescent="0.35">
      <c r="A252" t="s">
        <v>568</v>
      </c>
      <c r="C252" t="str">
        <f t="shared" si="40"/>
        <v>3130</v>
      </c>
      <c r="D252" t="str">
        <f t="shared" si="41"/>
        <v>20302c06</v>
      </c>
      <c r="E252" t="str">
        <f t="shared" si="42"/>
        <v>00100000</v>
      </c>
      <c r="F252" t="str">
        <f t="shared" si="43"/>
        <v>00110000</v>
      </c>
      <c r="G252" t="str">
        <f t="shared" si="44"/>
        <v>00101100</v>
      </c>
      <c r="H252" t="str">
        <f t="shared" si="45"/>
        <v>00000110</v>
      </c>
      <c r="I252" t="str">
        <f t="shared" si="46"/>
        <v>00100000001100000010110000000110</v>
      </c>
      <c r="J252" t="str">
        <f t="shared" si="39"/>
        <v>0</v>
      </c>
      <c r="K252" t="str">
        <f t="shared" si="47"/>
        <v>101100</v>
      </c>
      <c r="L252" t="str">
        <f t="shared" si="48"/>
        <v>000001</v>
      </c>
      <c r="M252" t="str">
        <f>LOOKUP(J252,Lookups!$A$27:$A$42,Lookups!$B$27:$B$42)</f>
        <v>z</v>
      </c>
      <c r="N252">
        <f t="shared" si="49"/>
        <v>44</v>
      </c>
      <c r="O252">
        <f t="shared" si="50"/>
        <v>1</v>
      </c>
      <c r="P252">
        <f t="shared" si="51"/>
        <v>2817</v>
      </c>
    </row>
    <row r="253" spans="1:16" x14ac:dyDescent="0.35">
      <c r="A253" t="s">
        <v>569</v>
      </c>
      <c r="C253" t="str">
        <f t="shared" si="40"/>
        <v>3131</v>
      </c>
      <c r="D253" t="str">
        <f t="shared" si="41"/>
        <v>6a721a2a</v>
      </c>
      <c r="E253" t="str">
        <f t="shared" si="42"/>
        <v>01101010</v>
      </c>
      <c r="F253" t="str">
        <f t="shared" si="43"/>
        <v>01110010</v>
      </c>
      <c r="G253" t="str">
        <f t="shared" si="44"/>
        <v>00011010</v>
      </c>
      <c r="H253" t="str">
        <f t="shared" si="45"/>
        <v>00101010</v>
      </c>
      <c r="I253" t="str">
        <f t="shared" si="46"/>
        <v>01101010011100100001101000101010</v>
      </c>
      <c r="J253" t="str">
        <f t="shared" si="39"/>
        <v>2</v>
      </c>
      <c r="K253" t="str">
        <f t="shared" si="47"/>
        <v>011010</v>
      </c>
      <c r="L253" t="str">
        <f t="shared" si="48"/>
        <v>001010</v>
      </c>
      <c r="M253" t="str">
        <f>LOOKUP(J253,Lookups!$A$27:$A$42,Lookups!$B$27:$B$42)</f>
        <v>y</v>
      </c>
      <c r="N253">
        <f t="shared" si="49"/>
        <v>26</v>
      </c>
      <c r="O253">
        <f t="shared" si="50"/>
        <v>10</v>
      </c>
      <c r="P253">
        <f t="shared" si="51"/>
        <v>1674</v>
      </c>
    </row>
    <row r="254" spans="1:16" x14ac:dyDescent="0.35">
      <c r="A254" t="s">
        <v>570</v>
      </c>
      <c r="C254" t="str">
        <f t="shared" si="40"/>
        <v>3132</v>
      </c>
      <c r="D254" t="str">
        <f t="shared" si="41"/>
        <v>7a7e7e7e</v>
      </c>
      <c r="E254" t="str">
        <f t="shared" si="42"/>
        <v>01111010</v>
      </c>
      <c r="F254" t="str">
        <f t="shared" si="43"/>
        <v>01111110</v>
      </c>
      <c r="G254" t="str">
        <f t="shared" si="44"/>
        <v>01111110</v>
      </c>
      <c r="H254" t="str">
        <f t="shared" si="45"/>
        <v>01111110</v>
      </c>
      <c r="I254" t="str">
        <f t="shared" si="46"/>
        <v>01111010011111100111111001111110</v>
      </c>
      <c r="J254" t="str">
        <f t="shared" si="39"/>
        <v>e</v>
      </c>
      <c r="K254" t="str">
        <f t="shared" si="47"/>
        <v>111110</v>
      </c>
      <c r="L254" t="str">
        <f t="shared" si="48"/>
        <v>011111</v>
      </c>
      <c r="M254" t="str">
        <f>LOOKUP(J254,Lookups!$A$27:$A$42,Lookups!$B$27:$B$42)</f>
        <v>a</v>
      </c>
      <c r="N254">
        <f t="shared" si="49"/>
        <v>62</v>
      </c>
      <c r="O254">
        <f t="shared" si="50"/>
        <v>31</v>
      </c>
      <c r="P254">
        <f t="shared" si="51"/>
        <v>3999</v>
      </c>
    </row>
    <row r="255" spans="1:16" x14ac:dyDescent="0.35">
      <c r="A255" t="s">
        <v>571</v>
      </c>
      <c r="C255" t="str">
        <f t="shared" si="40"/>
        <v>3133</v>
      </c>
      <c r="D255" t="str">
        <f t="shared" si="41"/>
        <v>00012ea4</v>
      </c>
      <c r="E255" t="str">
        <f t="shared" si="42"/>
        <v>00000000</v>
      </c>
      <c r="F255" t="str">
        <f t="shared" si="43"/>
        <v>00000001</v>
      </c>
      <c r="G255" t="str">
        <f t="shared" si="44"/>
        <v>00101110</v>
      </c>
      <c r="H255" t="str">
        <f t="shared" si="45"/>
        <v>10100100</v>
      </c>
      <c r="I255" t="str">
        <f t="shared" si="46"/>
        <v>00000000000000010010111010100100</v>
      </c>
      <c r="J255" t="str">
        <f t="shared" si="39"/>
        <v>1</v>
      </c>
      <c r="K255" t="str">
        <f t="shared" si="47"/>
        <v>101110</v>
      </c>
      <c r="L255" t="str">
        <f t="shared" si="48"/>
        <v>101001</v>
      </c>
      <c r="M255" t="str">
        <f>LOOKUP(J255,Lookups!$A$27:$A$42,Lookups!$B$27:$B$42)</f>
        <v>b</v>
      </c>
      <c r="N255">
        <f t="shared" si="49"/>
        <v>46</v>
      </c>
      <c r="O255">
        <f t="shared" si="50"/>
        <v>41</v>
      </c>
      <c r="P255">
        <f t="shared" si="51"/>
        <v>2985</v>
      </c>
    </row>
    <row r="256" spans="1:16" x14ac:dyDescent="0.35">
      <c r="A256" t="s">
        <v>572</v>
      </c>
      <c r="C256" t="str">
        <f t="shared" si="40"/>
        <v>3134</v>
      </c>
      <c r="D256" t="str">
        <f t="shared" si="41"/>
        <v>000d33b4</v>
      </c>
      <c r="E256" t="str">
        <f t="shared" si="42"/>
        <v>00000000</v>
      </c>
      <c r="F256" t="str">
        <f t="shared" si="43"/>
        <v>00001101</v>
      </c>
      <c r="G256" t="str">
        <f t="shared" si="44"/>
        <v>00110011</v>
      </c>
      <c r="H256" t="str">
        <f t="shared" si="45"/>
        <v>10110100</v>
      </c>
      <c r="I256" t="str">
        <f t="shared" si="46"/>
        <v>00000000000011010011001110110100</v>
      </c>
      <c r="J256" t="str">
        <f t="shared" si="39"/>
        <v>d</v>
      </c>
      <c r="K256" t="str">
        <f t="shared" si="47"/>
        <v>110011</v>
      </c>
      <c r="L256" t="str">
        <f t="shared" si="48"/>
        <v>101101</v>
      </c>
      <c r="M256" t="str">
        <f>LOOKUP(J256,Lookups!$A$27:$A$42,Lookups!$B$27:$B$42)</f>
        <v>c</v>
      </c>
      <c r="N256">
        <f t="shared" si="49"/>
        <v>51</v>
      </c>
      <c r="O256">
        <f t="shared" si="50"/>
        <v>45</v>
      </c>
      <c r="P256">
        <f t="shared" si="51"/>
        <v>3309</v>
      </c>
    </row>
    <row r="257" spans="1:16" x14ac:dyDescent="0.35">
      <c r="A257" t="s">
        <v>573</v>
      </c>
      <c r="C257" t="str">
        <f t="shared" si="40"/>
        <v>3135</v>
      </c>
      <c r="D257" t="str">
        <f t="shared" si="41"/>
        <v>00013278</v>
      </c>
      <c r="E257" t="str">
        <f t="shared" si="42"/>
        <v>00000000</v>
      </c>
      <c r="F257" t="str">
        <f t="shared" si="43"/>
        <v>00000001</v>
      </c>
      <c r="G257" t="str">
        <f t="shared" si="44"/>
        <v>00110010</v>
      </c>
      <c r="H257" t="str">
        <f t="shared" si="45"/>
        <v>01111000</v>
      </c>
      <c r="I257" t="str">
        <f t="shared" si="46"/>
        <v>00000000000000010011001001111000</v>
      </c>
      <c r="J257" t="str">
        <f t="shared" si="39"/>
        <v>1</v>
      </c>
      <c r="K257" t="str">
        <f t="shared" si="47"/>
        <v>110010</v>
      </c>
      <c r="L257" t="str">
        <f t="shared" si="48"/>
        <v>011110</v>
      </c>
      <c r="M257" t="str">
        <f>LOOKUP(J257,Lookups!$A$27:$A$42,Lookups!$B$27:$B$42)</f>
        <v>b</v>
      </c>
      <c r="N257">
        <f t="shared" si="49"/>
        <v>50</v>
      </c>
      <c r="O257">
        <f t="shared" si="50"/>
        <v>30</v>
      </c>
      <c r="P257">
        <f t="shared" si="51"/>
        <v>3230</v>
      </c>
    </row>
    <row r="258" spans="1:16" x14ac:dyDescent="0.35">
      <c r="A258" t="s">
        <v>574</v>
      </c>
      <c r="C258" t="str">
        <f t="shared" si="40"/>
        <v>3136</v>
      </c>
      <c r="D258" t="str">
        <f t="shared" si="41"/>
        <v>000e2e8c</v>
      </c>
      <c r="E258" t="str">
        <f t="shared" si="42"/>
        <v>00000000</v>
      </c>
      <c r="F258" t="str">
        <f t="shared" si="43"/>
        <v>00001110</v>
      </c>
      <c r="G258" t="str">
        <f t="shared" si="44"/>
        <v>00101110</v>
      </c>
      <c r="H258" t="str">
        <f t="shared" si="45"/>
        <v>10001100</v>
      </c>
      <c r="I258" t="str">
        <f t="shared" si="46"/>
        <v>00000000000011100010111010001100</v>
      </c>
      <c r="J258" t="str">
        <f t="shared" ref="J258:J321" si="52">MID(D258,4,1)</f>
        <v>e</v>
      </c>
      <c r="K258" t="str">
        <f t="shared" si="47"/>
        <v>101110</v>
      </c>
      <c r="L258" t="str">
        <f t="shared" si="48"/>
        <v>100011</v>
      </c>
      <c r="M258" t="str">
        <f>LOOKUP(J258,Lookups!$A$27:$A$42,Lookups!$B$27:$B$42)</f>
        <v>a</v>
      </c>
      <c r="N258">
        <f t="shared" si="49"/>
        <v>46</v>
      </c>
      <c r="O258">
        <f t="shared" si="50"/>
        <v>35</v>
      </c>
      <c r="P258">
        <f t="shared" si="51"/>
        <v>2979</v>
      </c>
    </row>
    <row r="259" spans="1:16" x14ac:dyDescent="0.35">
      <c r="A259" t="s">
        <v>575</v>
      </c>
      <c r="C259" t="str">
        <f t="shared" ref="C259:C322" si="53">MID(A259,1,4)</f>
        <v>3137</v>
      </c>
      <c r="D259" t="str">
        <f t="shared" ref="D259:D322" si="54">MID(A259,8,20)</f>
        <v>000d3278</v>
      </c>
      <c r="E259" t="str">
        <f t="shared" ref="E259:E322" si="55">HEX2BIN(MID(D259,1,2),8)</f>
        <v>00000000</v>
      </c>
      <c r="F259" t="str">
        <f t="shared" ref="F259:F322" si="56">HEX2BIN(MID(D259,3,2),8)</f>
        <v>00001101</v>
      </c>
      <c r="G259" t="str">
        <f t="shared" ref="G259:G322" si="57">HEX2BIN(MID(D259,5,2),8)</f>
        <v>00110010</v>
      </c>
      <c r="H259" t="str">
        <f t="shared" ref="H259:H322" si="58">HEX2BIN(MID(D259,7,2),8)</f>
        <v>01111000</v>
      </c>
      <c r="I259" t="str">
        <f t="shared" ref="I259:I322" si="59">CONCATENATE(E259,F259,G259,H259)</f>
        <v>00000000000011010011001001111000</v>
      </c>
      <c r="J259" t="str">
        <f t="shared" si="52"/>
        <v>d</v>
      </c>
      <c r="K259" t="str">
        <f t="shared" ref="K259:K322" si="60">MID(G259,3,6)</f>
        <v>110010</v>
      </c>
      <c r="L259" t="str">
        <f t="shared" ref="L259:L322" si="61">MID(H259,1,6)</f>
        <v>011110</v>
      </c>
      <c r="M259" t="str">
        <f>LOOKUP(J259,Lookups!$A$27:$A$42,Lookups!$B$27:$B$42)</f>
        <v>c</v>
      </c>
      <c r="N259">
        <f t="shared" ref="N259:N322" si="62">BIN2DEC(K259)</f>
        <v>50</v>
      </c>
      <c r="O259">
        <f t="shared" ref="O259:O322" si="63">BIN2DEC(L259)</f>
        <v>30</v>
      </c>
      <c r="P259">
        <f t="shared" ref="P259:P322" si="64">N259*64+O259</f>
        <v>3230</v>
      </c>
    </row>
    <row r="260" spans="1:16" x14ac:dyDescent="0.35">
      <c r="A260" t="s">
        <v>576</v>
      </c>
      <c r="C260" t="str">
        <f t="shared" si="53"/>
        <v>3138</v>
      </c>
      <c r="D260" t="str">
        <f t="shared" si="54"/>
        <v>000a3130</v>
      </c>
      <c r="E260" t="str">
        <f t="shared" si="55"/>
        <v>00000000</v>
      </c>
      <c r="F260" t="str">
        <f t="shared" si="56"/>
        <v>00001010</v>
      </c>
      <c r="G260" t="str">
        <f t="shared" si="57"/>
        <v>00110001</v>
      </c>
      <c r="H260" t="str">
        <f t="shared" si="58"/>
        <v>00110000</v>
      </c>
      <c r="I260" t="str">
        <f t="shared" si="59"/>
        <v>00000000000010100011000100110000</v>
      </c>
      <c r="J260" t="str">
        <f t="shared" si="52"/>
        <v>a</v>
      </c>
      <c r="K260" t="str">
        <f t="shared" si="60"/>
        <v>110001</v>
      </c>
      <c r="L260" t="str">
        <f t="shared" si="61"/>
        <v>001100</v>
      </c>
      <c r="M260" t="str">
        <f>LOOKUP(J260,Lookups!$A$27:$A$42,Lookups!$B$27:$B$42)</f>
        <v>u</v>
      </c>
      <c r="N260">
        <f t="shared" si="62"/>
        <v>49</v>
      </c>
      <c r="O260">
        <f t="shared" si="63"/>
        <v>12</v>
      </c>
      <c r="P260">
        <f t="shared" si="64"/>
        <v>3148</v>
      </c>
    </row>
    <row r="261" spans="1:16" x14ac:dyDescent="0.35">
      <c r="A261" t="s">
        <v>577</v>
      </c>
      <c r="C261" t="str">
        <f t="shared" si="53"/>
        <v>3139</v>
      </c>
      <c r="D261" t="str">
        <f t="shared" si="54"/>
        <v>00000100</v>
      </c>
      <c r="E261" t="str">
        <f t="shared" si="55"/>
        <v>00000000</v>
      </c>
      <c r="F261" t="str">
        <f t="shared" si="56"/>
        <v>00000000</v>
      </c>
      <c r="G261" t="str">
        <f t="shared" si="57"/>
        <v>00000001</v>
      </c>
      <c r="H261" t="str">
        <f t="shared" si="58"/>
        <v>00000000</v>
      </c>
      <c r="I261" t="str">
        <f t="shared" si="59"/>
        <v>00000000000000000000000100000000</v>
      </c>
      <c r="J261" t="str">
        <f t="shared" si="52"/>
        <v>0</v>
      </c>
      <c r="K261" t="str">
        <f t="shared" si="60"/>
        <v>000001</v>
      </c>
      <c r="L261" t="str">
        <f t="shared" si="61"/>
        <v>000000</v>
      </c>
      <c r="M261" t="str">
        <f>LOOKUP(J261,Lookups!$A$27:$A$42,Lookups!$B$27:$B$42)</f>
        <v>z</v>
      </c>
      <c r="N261">
        <f t="shared" si="62"/>
        <v>1</v>
      </c>
      <c r="O261">
        <f t="shared" si="63"/>
        <v>0</v>
      </c>
      <c r="P261">
        <f t="shared" si="64"/>
        <v>64</v>
      </c>
    </row>
    <row r="262" spans="1:16" x14ac:dyDescent="0.35">
      <c r="A262" t="s">
        <v>578</v>
      </c>
      <c r="C262" t="str">
        <f t="shared" si="53"/>
        <v>3140</v>
      </c>
      <c r="D262" t="str">
        <f t="shared" si="54"/>
        <v>00033300</v>
      </c>
      <c r="E262" t="str">
        <f t="shared" si="55"/>
        <v>00000000</v>
      </c>
      <c r="F262" t="str">
        <f t="shared" si="56"/>
        <v>00000011</v>
      </c>
      <c r="G262" t="str">
        <f t="shared" si="57"/>
        <v>00110011</v>
      </c>
      <c r="H262" t="str">
        <f t="shared" si="58"/>
        <v>00000000</v>
      </c>
      <c r="I262" t="str">
        <f t="shared" si="59"/>
        <v>00000000000000110011001100000000</v>
      </c>
      <c r="J262" t="str">
        <f t="shared" si="52"/>
        <v>3</v>
      </c>
      <c r="K262" t="str">
        <f t="shared" si="60"/>
        <v>110011</v>
      </c>
      <c r="L262" t="str">
        <f t="shared" si="61"/>
        <v>000000</v>
      </c>
      <c r="M262" t="str">
        <f>LOOKUP(J262,Lookups!$A$27:$A$42,Lookups!$B$27:$B$42)</f>
        <v>r</v>
      </c>
      <c r="N262">
        <f t="shared" si="62"/>
        <v>51</v>
      </c>
      <c r="O262">
        <f t="shared" si="63"/>
        <v>0</v>
      </c>
      <c r="P262">
        <f t="shared" si="64"/>
        <v>3264</v>
      </c>
    </row>
    <row r="263" spans="1:16" x14ac:dyDescent="0.35">
      <c r="A263" t="s">
        <v>579</v>
      </c>
      <c r="C263" t="str">
        <f t="shared" si="53"/>
        <v>3141</v>
      </c>
      <c r="D263" t="str">
        <f t="shared" si="54"/>
        <v>000a3300</v>
      </c>
      <c r="E263" t="str">
        <f t="shared" si="55"/>
        <v>00000000</v>
      </c>
      <c r="F263" t="str">
        <f t="shared" si="56"/>
        <v>00001010</v>
      </c>
      <c r="G263" t="str">
        <f t="shared" si="57"/>
        <v>00110011</v>
      </c>
      <c r="H263" t="str">
        <f t="shared" si="58"/>
        <v>00000000</v>
      </c>
      <c r="I263" t="str">
        <f t="shared" si="59"/>
        <v>00000000000010100011001100000000</v>
      </c>
      <c r="J263" t="str">
        <f t="shared" si="52"/>
        <v>a</v>
      </c>
      <c r="K263" t="str">
        <f t="shared" si="60"/>
        <v>110011</v>
      </c>
      <c r="L263" t="str">
        <f t="shared" si="61"/>
        <v>000000</v>
      </c>
      <c r="M263" t="str">
        <f>LOOKUP(J263,Lookups!$A$27:$A$42,Lookups!$B$27:$B$42)</f>
        <v>u</v>
      </c>
      <c r="N263">
        <f t="shared" si="62"/>
        <v>51</v>
      </c>
      <c r="O263">
        <f t="shared" si="63"/>
        <v>0</v>
      </c>
      <c r="P263">
        <f t="shared" si="64"/>
        <v>3264</v>
      </c>
    </row>
    <row r="264" spans="1:16" x14ac:dyDescent="0.35">
      <c r="A264" t="s">
        <v>580</v>
      </c>
      <c r="C264" t="str">
        <f t="shared" si="53"/>
        <v>3142</v>
      </c>
      <c r="D264" t="str">
        <f t="shared" si="54"/>
        <v>20305a46</v>
      </c>
      <c r="E264" t="str">
        <f t="shared" si="55"/>
        <v>00100000</v>
      </c>
      <c r="F264" t="str">
        <f t="shared" si="56"/>
        <v>00110000</v>
      </c>
      <c r="G264" t="str">
        <f t="shared" si="57"/>
        <v>01011010</v>
      </c>
      <c r="H264" t="str">
        <f t="shared" si="58"/>
        <v>01000110</v>
      </c>
      <c r="I264" t="str">
        <f t="shared" si="59"/>
        <v>00100000001100000101101001000110</v>
      </c>
      <c r="J264" t="str">
        <f t="shared" si="52"/>
        <v>0</v>
      </c>
      <c r="K264" t="str">
        <f t="shared" si="60"/>
        <v>011010</v>
      </c>
      <c r="L264" t="str">
        <f t="shared" si="61"/>
        <v>010001</v>
      </c>
      <c r="M264" t="str">
        <f>LOOKUP(J264,Lookups!$A$27:$A$42,Lookups!$B$27:$B$42)</f>
        <v>z</v>
      </c>
      <c r="N264">
        <f t="shared" si="62"/>
        <v>26</v>
      </c>
      <c r="O264">
        <f t="shared" si="63"/>
        <v>17</v>
      </c>
      <c r="P264">
        <f t="shared" si="64"/>
        <v>1681</v>
      </c>
    </row>
    <row r="265" spans="1:16" x14ac:dyDescent="0.35">
      <c r="A265" t="s">
        <v>581</v>
      </c>
      <c r="C265" t="str">
        <f t="shared" si="53"/>
        <v>3143</v>
      </c>
      <c r="D265" t="str">
        <f t="shared" si="54"/>
        <v>5a720c06</v>
      </c>
      <c r="E265" t="str">
        <f t="shared" si="55"/>
        <v>01011010</v>
      </c>
      <c r="F265" t="str">
        <f t="shared" si="56"/>
        <v>01110010</v>
      </c>
      <c r="G265" t="str">
        <f t="shared" si="57"/>
        <v>00001100</v>
      </c>
      <c r="H265" t="str">
        <f t="shared" si="58"/>
        <v>00000110</v>
      </c>
      <c r="I265" t="str">
        <f t="shared" si="59"/>
        <v>01011010011100100000110000000110</v>
      </c>
      <c r="J265" t="str">
        <f t="shared" si="52"/>
        <v>2</v>
      </c>
      <c r="K265" t="str">
        <f t="shared" si="60"/>
        <v>001100</v>
      </c>
      <c r="L265" t="str">
        <f t="shared" si="61"/>
        <v>000001</v>
      </c>
      <c r="M265" t="str">
        <f>LOOKUP(J265,Lookups!$A$27:$A$42,Lookups!$B$27:$B$42)</f>
        <v>y</v>
      </c>
      <c r="N265">
        <f t="shared" si="62"/>
        <v>12</v>
      </c>
      <c r="O265">
        <f t="shared" si="63"/>
        <v>1</v>
      </c>
      <c r="P265">
        <f t="shared" si="64"/>
        <v>769</v>
      </c>
    </row>
    <row r="266" spans="1:16" x14ac:dyDescent="0.35">
      <c r="A266" t="s">
        <v>582</v>
      </c>
      <c r="C266" t="str">
        <f t="shared" si="53"/>
        <v>3144</v>
      </c>
      <c r="D266" t="str">
        <f t="shared" si="54"/>
        <v>0e067e7e</v>
      </c>
      <c r="E266" t="str">
        <f t="shared" si="55"/>
        <v>00001110</v>
      </c>
      <c r="F266" t="str">
        <f t="shared" si="56"/>
        <v>00000110</v>
      </c>
      <c r="G266" t="str">
        <f t="shared" si="57"/>
        <v>01111110</v>
      </c>
      <c r="H266" t="str">
        <f t="shared" si="58"/>
        <v>01111110</v>
      </c>
      <c r="I266" t="str">
        <f t="shared" si="59"/>
        <v>00001110000001100111111001111110</v>
      </c>
      <c r="J266" t="str">
        <f t="shared" si="52"/>
        <v>6</v>
      </c>
      <c r="K266" t="str">
        <f t="shared" si="60"/>
        <v>111110</v>
      </c>
      <c r="L266" t="str">
        <f t="shared" si="61"/>
        <v>011111</v>
      </c>
      <c r="M266" t="str">
        <f>LOOKUP(J266,Lookups!$A$27:$A$42,Lookups!$B$27:$B$42)</f>
        <v>n</v>
      </c>
      <c r="N266">
        <f t="shared" si="62"/>
        <v>62</v>
      </c>
      <c r="O266">
        <f t="shared" si="63"/>
        <v>31</v>
      </c>
      <c r="P266">
        <f t="shared" si="64"/>
        <v>3999</v>
      </c>
    </row>
    <row r="267" spans="1:16" x14ac:dyDescent="0.35">
      <c r="A267" t="s">
        <v>583</v>
      </c>
      <c r="C267" t="str">
        <f t="shared" si="53"/>
        <v>3145</v>
      </c>
      <c r="D267" t="str">
        <f t="shared" si="54"/>
        <v>000133b4</v>
      </c>
      <c r="E267" t="str">
        <f t="shared" si="55"/>
        <v>00000000</v>
      </c>
      <c r="F267" t="str">
        <f t="shared" si="56"/>
        <v>00000001</v>
      </c>
      <c r="G267" t="str">
        <f t="shared" si="57"/>
        <v>00110011</v>
      </c>
      <c r="H267" t="str">
        <f t="shared" si="58"/>
        <v>10110100</v>
      </c>
      <c r="I267" t="str">
        <f t="shared" si="59"/>
        <v>00000000000000010011001110110100</v>
      </c>
      <c r="J267" t="str">
        <f t="shared" si="52"/>
        <v>1</v>
      </c>
      <c r="K267" t="str">
        <f t="shared" si="60"/>
        <v>110011</v>
      </c>
      <c r="L267" t="str">
        <f t="shared" si="61"/>
        <v>101101</v>
      </c>
      <c r="M267" t="str">
        <f>LOOKUP(J267,Lookups!$A$27:$A$42,Lookups!$B$27:$B$42)</f>
        <v>b</v>
      </c>
      <c r="N267">
        <f t="shared" si="62"/>
        <v>51</v>
      </c>
      <c r="O267">
        <f t="shared" si="63"/>
        <v>45</v>
      </c>
      <c r="P267">
        <f t="shared" si="64"/>
        <v>3309</v>
      </c>
    </row>
    <row r="268" spans="1:16" x14ac:dyDescent="0.35">
      <c r="A268" t="s">
        <v>584</v>
      </c>
      <c r="C268" t="str">
        <f t="shared" si="53"/>
        <v>3146</v>
      </c>
      <c r="D268" t="str">
        <f t="shared" si="54"/>
        <v>000332b8</v>
      </c>
      <c r="E268" t="str">
        <f t="shared" si="55"/>
        <v>00000000</v>
      </c>
      <c r="F268" t="str">
        <f t="shared" si="56"/>
        <v>00000011</v>
      </c>
      <c r="G268" t="str">
        <f t="shared" si="57"/>
        <v>00110010</v>
      </c>
      <c r="H268" t="str">
        <f t="shared" si="58"/>
        <v>10111000</v>
      </c>
      <c r="I268" t="str">
        <f t="shared" si="59"/>
        <v>00000000000000110011001010111000</v>
      </c>
      <c r="J268" t="str">
        <f t="shared" si="52"/>
        <v>3</v>
      </c>
      <c r="K268" t="str">
        <f t="shared" si="60"/>
        <v>110010</v>
      </c>
      <c r="L268" t="str">
        <f t="shared" si="61"/>
        <v>101110</v>
      </c>
      <c r="M268" t="str">
        <f>LOOKUP(J268,Lookups!$A$27:$A$42,Lookups!$B$27:$B$42)</f>
        <v>r</v>
      </c>
      <c r="N268">
        <f t="shared" si="62"/>
        <v>50</v>
      </c>
      <c r="O268">
        <f t="shared" si="63"/>
        <v>46</v>
      </c>
      <c r="P268">
        <f t="shared" si="64"/>
        <v>3246</v>
      </c>
    </row>
    <row r="269" spans="1:16" x14ac:dyDescent="0.35">
      <c r="A269" t="s">
        <v>585</v>
      </c>
      <c r="C269" t="str">
        <f t="shared" si="53"/>
        <v>3147</v>
      </c>
      <c r="D269" t="str">
        <f t="shared" si="54"/>
        <v>000a3280</v>
      </c>
      <c r="E269" t="str">
        <f t="shared" si="55"/>
        <v>00000000</v>
      </c>
      <c r="F269" t="str">
        <f t="shared" si="56"/>
        <v>00001010</v>
      </c>
      <c r="G269" t="str">
        <f t="shared" si="57"/>
        <v>00110010</v>
      </c>
      <c r="H269" t="str">
        <f t="shared" si="58"/>
        <v>10000000</v>
      </c>
      <c r="I269" t="str">
        <f t="shared" si="59"/>
        <v>00000000000010100011001010000000</v>
      </c>
      <c r="J269" t="str">
        <f t="shared" si="52"/>
        <v>a</v>
      </c>
      <c r="K269" t="str">
        <f t="shared" si="60"/>
        <v>110010</v>
      </c>
      <c r="L269" t="str">
        <f t="shared" si="61"/>
        <v>100000</v>
      </c>
      <c r="M269" t="str">
        <f>LOOKUP(J269,Lookups!$A$27:$A$42,Lookups!$B$27:$B$42)</f>
        <v>u</v>
      </c>
      <c r="N269">
        <f t="shared" si="62"/>
        <v>50</v>
      </c>
      <c r="O269">
        <f t="shared" si="63"/>
        <v>32</v>
      </c>
      <c r="P269">
        <f t="shared" si="64"/>
        <v>3232</v>
      </c>
    </row>
    <row r="270" spans="1:16" x14ac:dyDescent="0.35">
      <c r="A270" t="s">
        <v>586</v>
      </c>
      <c r="C270" t="str">
        <f t="shared" si="53"/>
        <v>3148</v>
      </c>
      <c r="D270" t="str">
        <f t="shared" si="54"/>
        <v>00013274</v>
      </c>
      <c r="E270" t="str">
        <f t="shared" si="55"/>
        <v>00000000</v>
      </c>
      <c r="F270" t="str">
        <f t="shared" si="56"/>
        <v>00000001</v>
      </c>
      <c r="G270" t="str">
        <f t="shared" si="57"/>
        <v>00110010</v>
      </c>
      <c r="H270" t="str">
        <f t="shared" si="58"/>
        <v>01110100</v>
      </c>
      <c r="I270" t="str">
        <f t="shared" si="59"/>
        <v>00000000000000010011001001110100</v>
      </c>
      <c r="J270" t="str">
        <f t="shared" si="52"/>
        <v>1</v>
      </c>
      <c r="K270" t="str">
        <f t="shared" si="60"/>
        <v>110010</v>
      </c>
      <c r="L270" t="str">
        <f t="shared" si="61"/>
        <v>011101</v>
      </c>
      <c r="M270" t="str">
        <f>LOOKUP(J270,Lookups!$A$27:$A$42,Lookups!$B$27:$B$42)</f>
        <v>b</v>
      </c>
      <c r="N270">
        <f t="shared" si="62"/>
        <v>50</v>
      </c>
      <c r="O270">
        <f t="shared" si="63"/>
        <v>29</v>
      </c>
      <c r="P270">
        <f t="shared" si="64"/>
        <v>3229</v>
      </c>
    </row>
    <row r="271" spans="1:16" x14ac:dyDescent="0.35">
      <c r="A271" t="s">
        <v>587</v>
      </c>
      <c r="C271" t="str">
        <f t="shared" si="53"/>
        <v>3149</v>
      </c>
      <c r="D271" t="str">
        <f t="shared" si="54"/>
        <v>00092df8</v>
      </c>
      <c r="E271" t="str">
        <f t="shared" si="55"/>
        <v>00000000</v>
      </c>
      <c r="F271" t="str">
        <f t="shared" si="56"/>
        <v>00001001</v>
      </c>
      <c r="G271" t="str">
        <f t="shared" si="57"/>
        <v>00101101</v>
      </c>
      <c r="H271" t="str">
        <f t="shared" si="58"/>
        <v>11111000</v>
      </c>
      <c r="I271" t="str">
        <f t="shared" si="59"/>
        <v>00000000000010010010110111111000</v>
      </c>
      <c r="J271" t="str">
        <f t="shared" si="52"/>
        <v>9</v>
      </c>
      <c r="K271" t="str">
        <f t="shared" si="60"/>
        <v>101101</v>
      </c>
      <c r="L271" t="str">
        <f t="shared" si="61"/>
        <v>111110</v>
      </c>
      <c r="M271" t="str">
        <f>LOOKUP(J271,Lookups!$A$27:$A$42,Lookups!$B$27:$B$42)</f>
        <v>e</v>
      </c>
      <c r="N271">
        <f t="shared" si="62"/>
        <v>45</v>
      </c>
      <c r="O271">
        <f t="shared" si="63"/>
        <v>62</v>
      </c>
      <c r="P271">
        <f t="shared" si="64"/>
        <v>2942</v>
      </c>
    </row>
    <row r="272" spans="1:16" x14ac:dyDescent="0.35">
      <c r="A272" t="s">
        <v>588</v>
      </c>
      <c r="C272" t="str">
        <f t="shared" si="53"/>
        <v>3150</v>
      </c>
      <c r="D272" t="str">
        <f t="shared" si="54"/>
        <v>000c3274</v>
      </c>
      <c r="E272" t="str">
        <f t="shared" si="55"/>
        <v>00000000</v>
      </c>
      <c r="F272" t="str">
        <f t="shared" si="56"/>
        <v>00001100</v>
      </c>
      <c r="G272" t="str">
        <f t="shared" si="57"/>
        <v>00110010</v>
      </c>
      <c r="H272" t="str">
        <f t="shared" si="58"/>
        <v>01110100</v>
      </c>
      <c r="I272" t="str">
        <f t="shared" si="59"/>
        <v>00000000000011000011001001110100</v>
      </c>
      <c r="J272" t="str">
        <f t="shared" si="52"/>
        <v>c</v>
      </c>
      <c r="K272" t="str">
        <f t="shared" si="60"/>
        <v>110010</v>
      </c>
      <c r="L272" t="str">
        <f t="shared" si="61"/>
        <v>011101</v>
      </c>
      <c r="M272" t="str">
        <f>LOOKUP(J272,Lookups!$A$27:$A$42,Lookups!$B$27:$B$42)</f>
        <v>h</v>
      </c>
      <c r="N272">
        <f t="shared" si="62"/>
        <v>50</v>
      </c>
      <c r="O272">
        <f t="shared" si="63"/>
        <v>29</v>
      </c>
      <c r="P272">
        <f t="shared" si="64"/>
        <v>3229</v>
      </c>
    </row>
    <row r="273" spans="1:16" x14ac:dyDescent="0.35">
      <c r="A273" t="s">
        <v>589</v>
      </c>
      <c r="C273" t="str">
        <f t="shared" si="53"/>
        <v>3151</v>
      </c>
      <c r="D273" t="str">
        <f t="shared" si="54"/>
        <v>000f2ea4</v>
      </c>
      <c r="E273" t="str">
        <f t="shared" si="55"/>
        <v>00000000</v>
      </c>
      <c r="F273" t="str">
        <f t="shared" si="56"/>
        <v>00001111</v>
      </c>
      <c r="G273" t="str">
        <f t="shared" si="57"/>
        <v>00101110</v>
      </c>
      <c r="H273" t="str">
        <f t="shared" si="58"/>
        <v>10100100</v>
      </c>
      <c r="I273" t="str">
        <f t="shared" si="59"/>
        <v>00000000000011110010111010100100</v>
      </c>
      <c r="J273" t="str">
        <f t="shared" si="52"/>
        <v>f</v>
      </c>
      <c r="K273" t="str">
        <f t="shared" si="60"/>
        <v>101110</v>
      </c>
      <c r="L273" t="str">
        <f t="shared" si="61"/>
        <v>101001</v>
      </c>
      <c r="M273" t="str">
        <f>LOOKUP(J273,Lookups!$A$27:$A$42,Lookups!$B$27:$B$42)</f>
        <v>s</v>
      </c>
      <c r="N273">
        <f t="shared" si="62"/>
        <v>46</v>
      </c>
      <c r="O273">
        <f t="shared" si="63"/>
        <v>41</v>
      </c>
      <c r="P273">
        <f t="shared" si="64"/>
        <v>2985</v>
      </c>
    </row>
    <row r="274" spans="1:16" x14ac:dyDescent="0.35">
      <c r="A274" t="s">
        <v>590</v>
      </c>
      <c r="C274" t="str">
        <f t="shared" si="53"/>
        <v>3152</v>
      </c>
      <c r="D274" t="str">
        <f t="shared" si="54"/>
        <v>000b3204</v>
      </c>
      <c r="E274" t="str">
        <f t="shared" si="55"/>
        <v>00000000</v>
      </c>
      <c r="F274" t="str">
        <f t="shared" si="56"/>
        <v>00001011</v>
      </c>
      <c r="G274" t="str">
        <f t="shared" si="57"/>
        <v>00110010</v>
      </c>
      <c r="H274" t="str">
        <f t="shared" si="58"/>
        <v>00000100</v>
      </c>
      <c r="I274" t="str">
        <f t="shared" si="59"/>
        <v>00000000000010110011001000000100</v>
      </c>
      <c r="J274" t="str">
        <f t="shared" si="52"/>
        <v>b</v>
      </c>
      <c r="K274" t="str">
        <f t="shared" si="60"/>
        <v>110010</v>
      </c>
      <c r="L274" t="str">
        <f t="shared" si="61"/>
        <v>000001</v>
      </c>
      <c r="M274" t="str">
        <f>LOOKUP(J274,Lookups!$A$27:$A$42,Lookups!$B$27:$B$42)</f>
        <v>t</v>
      </c>
      <c r="N274">
        <f t="shared" si="62"/>
        <v>50</v>
      </c>
      <c r="O274">
        <f t="shared" si="63"/>
        <v>1</v>
      </c>
      <c r="P274">
        <f t="shared" si="64"/>
        <v>3201</v>
      </c>
    </row>
    <row r="275" spans="1:16" x14ac:dyDescent="0.35">
      <c r="A275" t="s">
        <v>591</v>
      </c>
      <c r="C275" t="str">
        <f t="shared" si="53"/>
        <v>3153</v>
      </c>
      <c r="D275" t="str">
        <f t="shared" si="54"/>
        <v>00033300</v>
      </c>
      <c r="E275" t="str">
        <f t="shared" si="55"/>
        <v>00000000</v>
      </c>
      <c r="F275" t="str">
        <f t="shared" si="56"/>
        <v>00000011</v>
      </c>
      <c r="G275" t="str">
        <f t="shared" si="57"/>
        <v>00110011</v>
      </c>
      <c r="H275" t="str">
        <f t="shared" si="58"/>
        <v>00000000</v>
      </c>
      <c r="I275" t="str">
        <f t="shared" si="59"/>
        <v>00000000000000110011001100000000</v>
      </c>
      <c r="J275" t="str">
        <f t="shared" si="52"/>
        <v>3</v>
      </c>
      <c r="K275" t="str">
        <f t="shared" si="60"/>
        <v>110011</v>
      </c>
      <c r="L275" t="str">
        <f t="shared" si="61"/>
        <v>000000</v>
      </c>
      <c r="M275" t="str">
        <f>LOOKUP(J275,Lookups!$A$27:$A$42,Lookups!$B$27:$B$42)</f>
        <v>r</v>
      </c>
      <c r="N275">
        <f t="shared" si="62"/>
        <v>51</v>
      </c>
      <c r="O275">
        <f t="shared" si="63"/>
        <v>0</v>
      </c>
      <c r="P275">
        <f t="shared" si="64"/>
        <v>3264</v>
      </c>
    </row>
    <row r="276" spans="1:16" x14ac:dyDescent="0.35">
      <c r="A276" t="s">
        <v>592</v>
      </c>
      <c r="C276" t="str">
        <f t="shared" si="53"/>
        <v>3154</v>
      </c>
      <c r="D276" t="str">
        <f t="shared" si="54"/>
        <v>000a3300</v>
      </c>
      <c r="E276" t="str">
        <f t="shared" si="55"/>
        <v>00000000</v>
      </c>
      <c r="F276" t="str">
        <f t="shared" si="56"/>
        <v>00001010</v>
      </c>
      <c r="G276" t="str">
        <f t="shared" si="57"/>
        <v>00110011</v>
      </c>
      <c r="H276" t="str">
        <f t="shared" si="58"/>
        <v>00000000</v>
      </c>
      <c r="I276" t="str">
        <f t="shared" si="59"/>
        <v>00000000000010100011001100000000</v>
      </c>
      <c r="J276" t="str">
        <f t="shared" si="52"/>
        <v>a</v>
      </c>
      <c r="K276" t="str">
        <f t="shared" si="60"/>
        <v>110011</v>
      </c>
      <c r="L276" t="str">
        <f t="shared" si="61"/>
        <v>000000</v>
      </c>
      <c r="M276" t="str">
        <f>LOOKUP(J276,Lookups!$A$27:$A$42,Lookups!$B$27:$B$42)</f>
        <v>u</v>
      </c>
      <c r="N276">
        <f t="shared" si="62"/>
        <v>51</v>
      </c>
      <c r="O276">
        <f t="shared" si="63"/>
        <v>0</v>
      </c>
      <c r="P276">
        <f t="shared" si="64"/>
        <v>3264</v>
      </c>
    </row>
    <row r="277" spans="1:16" x14ac:dyDescent="0.35">
      <c r="A277" t="s">
        <v>593</v>
      </c>
      <c r="C277" t="str">
        <f t="shared" si="53"/>
        <v>3155</v>
      </c>
      <c r="D277" t="str">
        <f t="shared" si="54"/>
        <v>30180a52</v>
      </c>
      <c r="E277" t="str">
        <f t="shared" si="55"/>
        <v>00110000</v>
      </c>
      <c r="F277" t="str">
        <f t="shared" si="56"/>
        <v>00011000</v>
      </c>
      <c r="G277" t="str">
        <f t="shared" si="57"/>
        <v>00001010</v>
      </c>
      <c r="H277" t="str">
        <f t="shared" si="58"/>
        <v>01010010</v>
      </c>
      <c r="I277" t="str">
        <f t="shared" si="59"/>
        <v>00110000000110000000101001010010</v>
      </c>
      <c r="J277" t="str">
        <f t="shared" si="52"/>
        <v>8</v>
      </c>
      <c r="K277" t="str">
        <f t="shared" si="60"/>
        <v>001010</v>
      </c>
      <c r="L277" t="str">
        <f t="shared" si="61"/>
        <v>010100</v>
      </c>
      <c r="M277" t="str">
        <f>LOOKUP(J277,Lookups!$A$27:$A$42,Lookups!$B$27:$B$42)</f>
        <v>p</v>
      </c>
      <c r="N277">
        <f t="shared" si="62"/>
        <v>10</v>
      </c>
      <c r="O277">
        <f t="shared" si="63"/>
        <v>20</v>
      </c>
      <c r="P277">
        <f t="shared" si="64"/>
        <v>660</v>
      </c>
    </row>
    <row r="278" spans="1:16" x14ac:dyDescent="0.35">
      <c r="A278" t="s">
        <v>594</v>
      </c>
      <c r="C278" t="str">
        <f t="shared" si="53"/>
        <v>3156</v>
      </c>
      <c r="D278" t="str">
        <f t="shared" si="54"/>
        <v>7a5a1806</v>
      </c>
      <c r="E278" t="str">
        <f t="shared" si="55"/>
        <v>01111010</v>
      </c>
      <c r="F278" t="str">
        <f t="shared" si="56"/>
        <v>01011010</v>
      </c>
      <c r="G278" t="str">
        <f t="shared" si="57"/>
        <v>00011000</v>
      </c>
      <c r="H278" t="str">
        <f t="shared" si="58"/>
        <v>00000110</v>
      </c>
      <c r="I278" t="str">
        <f t="shared" si="59"/>
        <v>01111010010110100001100000000110</v>
      </c>
      <c r="J278" t="str">
        <f t="shared" si="52"/>
        <v>a</v>
      </c>
      <c r="K278" t="str">
        <f t="shared" si="60"/>
        <v>011000</v>
      </c>
      <c r="L278" t="str">
        <f t="shared" si="61"/>
        <v>000001</v>
      </c>
      <c r="M278" t="str">
        <f>LOOKUP(J278,Lookups!$A$27:$A$42,Lookups!$B$27:$B$42)</f>
        <v>u</v>
      </c>
      <c r="N278">
        <f t="shared" si="62"/>
        <v>24</v>
      </c>
      <c r="O278">
        <f t="shared" si="63"/>
        <v>1</v>
      </c>
      <c r="P278">
        <f t="shared" si="64"/>
        <v>1537</v>
      </c>
    </row>
    <row r="279" spans="1:16" x14ac:dyDescent="0.35">
      <c r="A279" t="s">
        <v>595</v>
      </c>
      <c r="C279" t="str">
        <f t="shared" si="53"/>
        <v>3157</v>
      </c>
      <c r="D279" t="str">
        <f t="shared" si="54"/>
        <v>0606067e</v>
      </c>
      <c r="E279" t="str">
        <f t="shared" si="55"/>
        <v>00000110</v>
      </c>
      <c r="F279" t="str">
        <f t="shared" si="56"/>
        <v>00000110</v>
      </c>
      <c r="G279" t="str">
        <f t="shared" si="57"/>
        <v>00000110</v>
      </c>
      <c r="H279" t="str">
        <f t="shared" si="58"/>
        <v>01111110</v>
      </c>
      <c r="I279" t="str">
        <f t="shared" si="59"/>
        <v>00000110000001100000011001111110</v>
      </c>
      <c r="J279" t="str">
        <f t="shared" si="52"/>
        <v>6</v>
      </c>
      <c r="K279" t="str">
        <f t="shared" si="60"/>
        <v>000110</v>
      </c>
      <c r="L279" t="str">
        <f t="shared" si="61"/>
        <v>011111</v>
      </c>
      <c r="M279" t="str">
        <f>LOOKUP(J279,Lookups!$A$27:$A$42,Lookups!$B$27:$B$42)</f>
        <v>n</v>
      </c>
      <c r="N279">
        <f t="shared" si="62"/>
        <v>6</v>
      </c>
      <c r="O279">
        <f t="shared" si="63"/>
        <v>31</v>
      </c>
      <c r="P279">
        <f t="shared" si="64"/>
        <v>415</v>
      </c>
    </row>
    <row r="280" spans="1:16" x14ac:dyDescent="0.35">
      <c r="A280" t="s">
        <v>596</v>
      </c>
      <c r="C280" t="str">
        <f t="shared" si="53"/>
        <v>3158</v>
      </c>
      <c r="D280" t="str">
        <f t="shared" si="54"/>
        <v>000d3274</v>
      </c>
      <c r="E280" t="str">
        <f t="shared" si="55"/>
        <v>00000000</v>
      </c>
      <c r="F280" t="str">
        <f t="shared" si="56"/>
        <v>00001101</v>
      </c>
      <c r="G280" t="str">
        <f t="shared" si="57"/>
        <v>00110010</v>
      </c>
      <c r="H280" t="str">
        <f t="shared" si="58"/>
        <v>01110100</v>
      </c>
      <c r="I280" t="str">
        <f t="shared" si="59"/>
        <v>00000000000011010011001001110100</v>
      </c>
      <c r="J280" t="str">
        <f t="shared" si="52"/>
        <v>d</v>
      </c>
      <c r="K280" t="str">
        <f t="shared" si="60"/>
        <v>110010</v>
      </c>
      <c r="L280" t="str">
        <f t="shared" si="61"/>
        <v>011101</v>
      </c>
      <c r="M280" t="str">
        <f>LOOKUP(J280,Lookups!$A$27:$A$42,Lookups!$B$27:$B$42)</f>
        <v>c</v>
      </c>
      <c r="N280">
        <f t="shared" si="62"/>
        <v>50</v>
      </c>
      <c r="O280">
        <f t="shared" si="63"/>
        <v>29</v>
      </c>
      <c r="P280">
        <f t="shared" si="64"/>
        <v>3229</v>
      </c>
    </row>
    <row r="281" spans="1:16" x14ac:dyDescent="0.35">
      <c r="A281" t="s">
        <v>597</v>
      </c>
      <c r="C281" t="str">
        <f t="shared" si="53"/>
        <v>3159</v>
      </c>
      <c r="D281" t="str">
        <f t="shared" si="54"/>
        <v>000d3274</v>
      </c>
      <c r="E281" t="str">
        <f t="shared" si="55"/>
        <v>00000000</v>
      </c>
      <c r="F281" t="str">
        <f t="shared" si="56"/>
        <v>00001101</v>
      </c>
      <c r="G281" t="str">
        <f t="shared" si="57"/>
        <v>00110010</v>
      </c>
      <c r="H281" t="str">
        <f t="shared" si="58"/>
        <v>01110100</v>
      </c>
      <c r="I281" t="str">
        <f t="shared" si="59"/>
        <v>00000000000011010011001001110100</v>
      </c>
      <c r="J281" t="str">
        <f t="shared" si="52"/>
        <v>d</v>
      </c>
      <c r="K281" t="str">
        <f t="shared" si="60"/>
        <v>110010</v>
      </c>
      <c r="L281" t="str">
        <f t="shared" si="61"/>
        <v>011101</v>
      </c>
      <c r="M281" t="str">
        <f>LOOKUP(J281,Lookups!$A$27:$A$42,Lookups!$B$27:$B$42)</f>
        <v>c</v>
      </c>
      <c r="N281">
        <f t="shared" si="62"/>
        <v>50</v>
      </c>
      <c r="O281">
        <f t="shared" si="63"/>
        <v>29</v>
      </c>
      <c r="P281">
        <f t="shared" si="64"/>
        <v>3229</v>
      </c>
    </row>
    <row r="282" spans="1:16" x14ac:dyDescent="0.35">
      <c r="A282" t="s">
        <v>598</v>
      </c>
      <c r="C282" t="str">
        <f t="shared" si="53"/>
        <v>3160</v>
      </c>
      <c r="D282" t="str">
        <f t="shared" si="54"/>
        <v>00013274</v>
      </c>
      <c r="E282" t="str">
        <f t="shared" si="55"/>
        <v>00000000</v>
      </c>
      <c r="F282" t="str">
        <f t="shared" si="56"/>
        <v>00000001</v>
      </c>
      <c r="G282" t="str">
        <f t="shared" si="57"/>
        <v>00110010</v>
      </c>
      <c r="H282" t="str">
        <f t="shared" si="58"/>
        <v>01110100</v>
      </c>
      <c r="I282" t="str">
        <f t="shared" si="59"/>
        <v>00000000000000010011001001110100</v>
      </c>
      <c r="J282" t="str">
        <f t="shared" si="52"/>
        <v>1</v>
      </c>
      <c r="K282" t="str">
        <f t="shared" si="60"/>
        <v>110010</v>
      </c>
      <c r="L282" t="str">
        <f t="shared" si="61"/>
        <v>011101</v>
      </c>
      <c r="M282" t="str">
        <f>LOOKUP(J282,Lookups!$A$27:$A$42,Lookups!$B$27:$B$42)</f>
        <v>b</v>
      </c>
      <c r="N282">
        <f t="shared" si="62"/>
        <v>50</v>
      </c>
      <c r="O282">
        <f t="shared" si="63"/>
        <v>29</v>
      </c>
      <c r="P282">
        <f t="shared" si="64"/>
        <v>3229</v>
      </c>
    </row>
    <row r="283" spans="1:16" x14ac:dyDescent="0.35">
      <c r="A283" t="s">
        <v>599</v>
      </c>
      <c r="C283" t="str">
        <f t="shared" si="53"/>
        <v>3161</v>
      </c>
      <c r="D283" t="str">
        <f t="shared" si="54"/>
        <v>000f33b4</v>
      </c>
      <c r="E283" t="str">
        <f t="shared" si="55"/>
        <v>00000000</v>
      </c>
      <c r="F283" t="str">
        <f t="shared" si="56"/>
        <v>00001111</v>
      </c>
      <c r="G283" t="str">
        <f t="shared" si="57"/>
        <v>00110011</v>
      </c>
      <c r="H283" t="str">
        <f t="shared" si="58"/>
        <v>10110100</v>
      </c>
      <c r="I283" t="str">
        <f t="shared" si="59"/>
        <v>00000000000011110011001110110100</v>
      </c>
      <c r="J283" t="str">
        <f t="shared" si="52"/>
        <v>f</v>
      </c>
      <c r="K283" t="str">
        <f t="shared" si="60"/>
        <v>110011</v>
      </c>
      <c r="L283" t="str">
        <f t="shared" si="61"/>
        <v>101101</v>
      </c>
      <c r="M283" t="str">
        <f>LOOKUP(J283,Lookups!$A$27:$A$42,Lookups!$B$27:$B$42)</f>
        <v>s</v>
      </c>
      <c r="N283">
        <f t="shared" si="62"/>
        <v>51</v>
      </c>
      <c r="O283">
        <f t="shared" si="63"/>
        <v>45</v>
      </c>
      <c r="P283">
        <f t="shared" si="64"/>
        <v>3309</v>
      </c>
    </row>
    <row r="284" spans="1:16" x14ac:dyDescent="0.35">
      <c r="A284" t="s">
        <v>600</v>
      </c>
      <c r="C284" t="str">
        <f t="shared" si="53"/>
        <v>3162</v>
      </c>
      <c r="D284" t="str">
        <f t="shared" si="54"/>
        <v>000b3268</v>
      </c>
      <c r="E284" t="str">
        <f t="shared" si="55"/>
        <v>00000000</v>
      </c>
      <c r="F284" t="str">
        <f t="shared" si="56"/>
        <v>00001011</v>
      </c>
      <c r="G284" t="str">
        <f t="shared" si="57"/>
        <v>00110010</v>
      </c>
      <c r="H284" t="str">
        <f t="shared" si="58"/>
        <v>01101000</v>
      </c>
      <c r="I284" t="str">
        <f t="shared" si="59"/>
        <v>00000000000010110011001001101000</v>
      </c>
      <c r="J284" t="str">
        <f t="shared" si="52"/>
        <v>b</v>
      </c>
      <c r="K284" t="str">
        <f t="shared" si="60"/>
        <v>110010</v>
      </c>
      <c r="L284" t="str">
        <f t="shared" si="61"/>
        <v>011010</v>
      </c>
      <c r="M284" t="str">
        <f>LOOKUP(J284,Lookups!$A$27:$A$42,Lookups!$B$27:$B$42)</f>
        <v>t</v>
      </c>
      <c r="N284">
        <f t="shared" si="62"/>
        <v>50</v>
      </c>
      <c r="O284">
        <f t="shared" si="63"/>
        <v>26</v>
      </c>
      <c r="P284">
        <f t="shared" si="64"/>
        <v>3226</v>
      </c>
    </row>
    <row r="285" spans="1:16" x14ac:dyDescent="0.35">
      <c r="A285" t="s">
        <v>601</v>
      </c>
      <c r="C285" t="str">
        <f t="shared" si="53"/>
        <v>3163</v>
      </c>
      <c r="D285" t="str">
        <f t="shared" si="54"/>
        <v>00013278</v>
      </c>
      <c r="E285" t="str">
        <f t="shared" si="55"/>
        <v>00000000</v>
      </c>
      <c r="F285" t="str">
        <f t="shared" si="56"/>
        <v>00000001</v>
      </c>
      <c r="G285" t="str">
        <f t="shared" si="57"/>
        <v>00110010</v>
      </c>
      <c r="H285" t="str">
        <f t="shared" si="58"/>
        <v>01111000</v>
      </c>
      <c r="I285" t="str">
        <f t="shared" si="59"/>
        <v>00000000000000010011001001111000</v>
      </c>
      <c r="J285" t="str">
        <f t="shared" si="52"/>
        <v>1</v>
      </c>
      <c r="K285" t="str">
        <f t="shared" si="60"/>
        <v>110010</v>
      </c>
      <c r="L285" t="str">
        <f t="shared" si="61"/>
        <v>011110</v>
      </c>
      <c r="M285" t="str">
        <f>LOOKUP(J285,Lookups!$A$27:$A$42,Lookups!$B$27:$B$42)</f>
        <v>b</v>
      </c>
      <c r="N285">
        <f t="shared" si="62"/>
        <v>50</v>
      </c>
      <c r="O285">
        <f t="shared" si="63"/>
        <v>30</v>
      </c>
      <c r="P285">
        <f t="shared" si="64"/>
        <v>3230</v>
      </c>
    </row>
    <row r="286" spans="1:16" x14ac:dyDescent="0.35">
      <c r="A286" t="s">
        <v>602</v>
      </c>
      <c r="C286" t="str">
        <f t="shared" si="53"/>
        <v>3164</v>
      </c>
      <c r="D286" t="str">
        <f t="shared" si="54"/>
        <v>000f2e8c</v>
      </c>
      <c r="E286" t="str">
        <f t="shared" si="55"/>
        <v>00000000</v>
      </c>
      <c r="F286" t="str">
        <f t="shared" si="56"/>
        <v>00001111</v>
      </c>
      <c r="G286" t="str">
        <f t="shared" si="57"/>
        <v>00101110</v>
      </c>
      <c r="H286" t="str">
        <f t="shared" si="58"/>
        <v>10001100</v>
      </c>
      <c r="I286" t="str">
        <f t="shared" si="59"/>
        <v>00000000000011110010111010001100</v>
      </c>
      <c r="J286" t="str">
        <f t="shared" si="52"/>
        <v>f</v>
      </c>
      <c r="K286" t="str">
        <f t="shared" si="60"/>
        <v>101110</v>
      </c>
      <c r="L286" t="str">
        <f t="shared" si="61"/>
        <v>100011</v>
      </c>
      <c r="M286" t="str">
        <f>LOOKUP(J286,Lookups!$A$27:$A$42,Lookups!$B$27:$B$42)</f>
        <v>s</v>
      </c>
      <c r="N286">
        <f t="shared" si="62"/>
        <v>46</v>
      </c>
      <c r="O286">
        <f t="shared" si="63"/>
        <v>35</v>
      </c>
      <c r="P286">
        <f t="shared" si="64"/>
        <v>2979</v>
      </c>
    </row>
    <row r="287" spans="1:16" x14ac:dyDescent="0.35">
      <c r="A287" t="s">
        <v>603</v>
      </c>
      <c r="C287" t="str">
        <f t="shared" si="53"/>
        <v>3165</v>
      </c>
      <c r="D287" t="str">
        <f t="shared" si="54"/>
        <v>000d3278</v>
      </c>
      <c r="E287" t="str">
        <f t="shared" si="55"/>
        <v>00000000</v>
      </c>
      <c r="F287" t="str">
        <f t="shared" si="56"/>
        <v>00001101</v>
      </c>
      <c r="G287" t="str">
        <f t="shared" si="57"/>
        <v>00110010</v>
      </c>
      <c r="H287" t="str">
        <f t="shared" si="58"/>
        <v>01111000</v>
      </c>
      <c r="I287" t="str">
        <f t="shared" si="59"/>
        <v>00000000000011010011001001111000</v>
      </c>
      <c r="J287" t="str">
        <f t="shared" si="52"/>
        <v>d</v>
      </c>
      <c r="K287" t="str">
        <f t="shared" si="60"/>
        <v>110010</v>
      </c>
      <c r="L287" t="str">
        <f t="shared" si="61"/>
        <v>011110</v>
      </c>
      <c r="M287" t="str">
        <f>LOOKUP(J287,Lookups!$A$27:$A$42,Lookups!$B$27:$B$42)</f>
        <v>c</v>
      </c>
      <c r="N287">
        <f t="shared" si="62"/>
        <v>50</v>
      </c>
      <c r="O287">
        <f t="shared" si="63"/>
        <v>30</v>
      </c>
      <c r="P287">
        <f t="shared" si="64"/>
        <v>3230</v>
      </c>
    </row>
    <row r="288" spans="1:16" x14ac:dyDescent="0.35">
      <c r="A288" t="s">
        <v>604</v>
      </c>
      <c r="C288" t="str">
        <f t="shared" si="53"/>
        <v>3166</v>
      </c>
      <c r="D288" t="str">
        <f t="shared" si="54"/>
        <v>00033300</v>
      </c>
      <c r="E288" t="str">
        <f t="shared" si="55"/>
        <v>00000000</v>
      </c>
      <c r="F288" t="str">
        <f t="shared" si="56"/>
        <v>00000011</v>
      </c>
      <c r="G288" t="str">
        <f t="shared" si="57"/>
        <v>00110011</v>
      </c>
      <c r="H288" t="str">
        <f t="shared" si="58"/>
        <v>00000000</v>
      </c>
      <c r="I288" t="str">
        <f t="shared" si="59"/>
        <v>00000000000000110011001100000000</v>
      </c>
      <c r="J288" t="str">
        <f t="shared" si="52"/>
        <v>3</v>
      </c>
      <c r="K288" t="str">
        <f t="shared" si="60"/>
        <v>110011</v>
      </c>
      <c r="L288" t="str">
        <f t="shared" si="61"/>
        <v>000000</v>
      </c>
      <c r="M288" t="str">
        <f>LOOKUP(J288,Lookups!$A$27:$A$42,Lookups!$B$27:$B$42)</f>
        <v>r</v>
      </c>
      <c r="N288">
        <f t="shared" si="62"/>
        <v>51</v>
      </c>
      <c r="O288">
        <f t="shared" si="63"/>
        <v>0</v>
      </c>
      <c r="P288">
        <f t="shared" si="64"/>
        <v>3264</v>
      </c>
    </row>
    <row r="289" spans="1:16" x14ac:dyDescent="0.35">
      <c r="A289" t="s">
        <v>605</v>
      </c>
      <c r="C289" t="str">
        <f t="shared" si="53"/>
        <v>3167</v>
      </c>
      <c r="D289" t="str">
        <f t="shared" si="54"/>
        <v>000a3300</v>
      </c>
      <c r="E289" t="str">
        <f t="shared" si="55"/>
        <v>00000000</v>
      </c>
      <c r="F289" t="str">
        <f t="shared" si="56"/>
        <v>00001010</v>
      </c>
      <c r="G289" t="str">
        <f t="shared" si="57"/>
        <v>00110011</v>
      </c>
      <c r="H289" t="str">
        <f t="shared" si="58"/>
        <v>00000000</v>
      </c>
      <c r="I289" t="str">
        <f t="shared" si="59"/>
        <v>00000000000010100011001100000000</v>
      </c>
      <c r="J289" t="str">
        <f t="shared" si="52"/>
        <v>a</v>
      </c>
      <c r="K289" t="str">
        <f t="shared" si="60"/>
        <v>110011</v>
      </c>
      <c r="L289" t="str">
        <f t="shared" si="61"/>
        <v>000000</v>
      </c>
      <c r="M289" t="str">
        <f>LOOKUP(J289,Lookups!$A$27:$A$42,Lookups!$B$27:$B$42)</f>
        <v>u</v>
      </c>
      <c r="N289">
        <f t="shared" si="62"/>
        <v>51</v>
      </c>
      <c r="O289">
        <f t="shared" si="63"/>
        <v>0</v>
      </c>
      <c r="P289">
        <f t="shared" si="64"/>
        <v>3264</v>
      </c>
    </row>
    <row r="290" spans="1:16" x14ac:dyDescent="0.35">
      <c r="A290" t="s">
        <v>606</v>
      </c>
      <c r="C290" t="str">
        <f t="shared" si="53"/>
        <v>3168</v>
      </c>
      <c r="D290" t="str">
        <f t="shared" si="54"/>
        <v>307a6a46</v>
      </c>
      <c r="E290" t="str">
        <f t="shared" si="55"/>
        <v>00110000</v>
      </c>
      <c r="F290" t="str">
        <f t="shared" si="56"/>
        <v>01111010</v>
      </c>
      <c r="G290" t="str">
        <f t="shared" si="57"/>
        <v>01101010</v>
      </c>
      <c r="H290" t="str">
        <f t="shared" si="58"/>
        <v>01000110</v>
      </c>
      <c r="I290" t="str">
        <f t="shared" si="59"/>
        <v>00110000011110100110101001000110</v>
      </c>
      <c r="J290" t="str">
        <f t="shared" si="52"/>
        <v>a</v>
      </c>
      <c r="K290" t="str">
        <f t="shared" si="60"/>
        <v>101010</v>
      </c>
      <c r="L290" t="str">
        <f t="shared" si="61"/>
        <v>010001</v>
      </c>
      <c r="M290" t="str">
        <f>LOOKUP(J290,Lookups!$A$27:$A$42,Lookups!$B$27:$B$42)</f>
        <v>u</v>
      </c>
      <c r="N290">
        <f t="shared" si="62"/>
        <v>42</v>
      </c>
      <c r="O290">
        <f t="shared" si="63"/>
        <v>17</v>
      </c>
      <c r="P290">
        <f t="shared" si="64"/>
        <v>2705</v>
      </c>
    </row>
    <row r="291" spans="1:16" x14ac:dyDescent="0.35">
      <c r="A291" t="s">
        <v>607</v>
      </c>
      <c r="C291" t="str">
        <f t="shared" si="53"/>
        <v>3169</v>
      </c>
      <c r="D291" t="str">
        <f t="shared" si="54"/>
        <v>1a4a0610</v>
      </c>
      <c r="E291" t="str">
        <f t="shared" si="55"/>
        <v>00011010</v>
      </c>
      <c r="F291" t="str">
        <f t="shared" si="56"/>
        <v>01001010</v>
      </c>
      <c r="G291" t="str">
        <f t="shared" si="57"/>
        <v>00000110</v>
      </c>
      <c r="H291" t="str">
        <f t="shared" si="58"/>
        <v>00010000</v>
      </c>
      <c r="I291" t="str">
        <f t="shared" si="59"/>
        <v>00011010010010100000011000010000</v>
      </c>
      <c r="J291" t="str">
        <f t="shared" si="52"/>
        <v>a</v>
      </c>
      <c r="K291" t="str">
        <f t="shared" si="60"/>
        <v>000110</v>
      </c>
      <c r="L291" t="str">
        <f t="shared" si="61"/>
        <v>000100</v>
      </c>
      <c r="M291" t="str">
        <f>LOOKUP(J291,Lookups!$A$27:$A$42,Lookups!$B$27:$B$42)</f>
        <v>u</v>
      </c>
      <c r="N291">
        <f t="shared" si="62"/>
        <v>6</v>
      </c>
      <c r="O291">
        <f t="shared" si="63"/>
        <v>4</v>
      </c>
      <c r="P291">
        <f t="shared" si="64"/>
        <v>388</v>
      </c>
    </row>
    <row r="292" spans="1:16" x14ac:dyDescent="0.35">
      <c r="A292" t="s">
        <v>608</v>
      </c>
      <c r="C292" t="str">
        <f t="shared" si="53"/>
        <v>3170</v>
      </c>
      <c r="D292" t="str">
        <f t="shared" si="54"/>
        <v>1608067e</v>
      </c>
      <c r="E292" t="str">
        <f t="shared" si="55"/>
        <v>00010110</v>
      </c>
      <c r="F292" t="str">
        <f t="shared" si="56"/>
        <v>00001000</v>
      </c>
      <c r="G292" t="str">
        <f t="shared" si="57"/>
        <v>00000110</v>
      </c>
      <c r="H292" t="str">
        <f t="shared" si="58"/>
        <v>01111110</v>
      </c>
      <c r="I292" t="str">
        <f t="shared" si="59"/>
        <v>00010110000010000000011001111110</v>
      </c>
      <c r="J292" t="str">
        <f t="shared" si="52"/>
        <v>8</v>
      </c>
      <c r="K292" t="str">
        <f t="shared" si="60"/>
        <v>000110</v>
      </c>
      <c r="L292" t="str">
        <f t="shared" si="61"/>
        <v>011111</v>
      </c>
      <c r="M292" t="str">
        <f>LOOKUP(J292,Lookups!$A$27:$A$42,Lookups!$B$27:$B$42)</f>
        <v>p</v>
      </c>
      <c r="N292">
        <f t="shared" si="62"/>
        <v>6</v>
      </c>
      <c r="O292">
        <f t="shared" si="63"/>
        <v>31</v>
      </c>
      <c r="P292">
        <f t="shared" si="64"/>
        <v>415</v>
      </c>
    </row>
    <row r="293" spans="1:16" x14ac:dyDescent="0.35">
      <c r="A293" t="s">
        <v>609</v>
      </c>
      <c r="C293" t="str">
        <f t="shared" si="53"/>
        <v>3171</v>
      </c>
      <c r="D293" t="str">
        <f t="shared" si="54"/>
        <v>00013278</v>
      </c>
      <c r="E293" t="str">
        <f t="shared" si="55"/>
        <v>00000000</v>
      </c>
      <c r="F293" t="str">
        <f t="shared" si="56"/>
        <v>00000001</v>
      </c>
      <c r="G293" t="str">
        <f t="shared" si="57"/>
        <v>00110010</v>
      </c>
      <c r="H293" t="str">
        <f t="shared" si="58"/>
        <v>01111000</v>
      </c>
      <c r="I293" t="str">
        <f t="shared" si="59"/>
        <v>00000000000000010011001001111000</v>
      </c>
      <c r="J293" t="str">
        <f t="shared" si="52"/>
        <v>1</v>
      </c>
      <c r="K293" t="str">
        <f t="shared" si="60"/>
        <v>110010</v>
      </c>
      <c r="L293" t="str">
        <f t="shared" si="61"/>
        <v>011110</v>
      </c>
      <c r="M293" t="str">
        <f>LOOKUP(J293,Lookups!$A$27:$A$42,Lookups!$B$27:$B$42)</f>
        <v>b</v>
      </c>
      <c r="N293">
        <f t="shared" si="62"/>
        <v>50</v>
      </c>
      <c r="O293">
        <f t="shared" si="63"/>
        <v>30</v>
      </c>
      <c r="P293">
        <f t="shared" si="64"/>
        <v>3230</v>
      </c>
    </row>
    <row r="294" spans="1:16" x14ac:dyDescent="0.35">
      <c r="A294" t="s">
        <v>610</v>
      </c>
      <c r="C294" t="str">
        <f t="shared" si="53"/>
        <v>3172</v>
      </c>
      <c r="D294" t="str">
        <f t="shared" si="54"/>
        <v>000b31dc</v>
      </c>
      <c r="E294" t="str">
        <f t="shared" si="55"/>
        <v>00000000</v>
      </c>
      <c r="F294" t="str">
        <f t="shared" si="56"/>
        <v>00001011</v>
      </c>
      <c r="G294" t="str">
        <f t="shared" si="57"/>
        <v>00110001</v>
      </c>
      <c r="H294" t="str">
        <f t="shared" si="58"/>
        <v>11011100</v>
      </c>
      <c r="I294" t="str">
        <f t="shared" si="59"/>
        <v>00000000000010110011000111011100</v>
      </c>
      <c r="J294" t="str">
        <f t="shared" si="52"/>
        <v>b</v>
      </c>
      <c r="K294" t="str">
        <f t="shared" si="60"/>
        <v>110001</v>
      </c>
      <c r="L294" t="str">
        <f t="shared" si="61"/>
        <v>110111</v>
      </c>
      <c r="M294" t="str">
        <f>LOOKUP(J294,Lookups!$A$27:$A$42,Lookups!$B$27:$B$42)</f>
        <v>t</v>
      </c>
      <c r="N294">
        <f t="shared" si="62"/>
        <v>49</v>
      </c>
      <c r="O294">
        <f t="shared" si="63"/>
        <v>55</v>
      </c>
      <c r="P294">
        <f t="shared" si="64"/>
        <v>3191</v>
      </c>
    </row>
    <row r="295" spans="1:16" x14ac:dyDescent="0.35">
      <c r="A295" t="s">
        <v>611</v>
      </c>
      <c r="C295" t="str">
        <f t="shared" si="53"/>
        <v>3173</v>
      </c>
      <c r="D295" t="str">
        <f t="shared" si="54"/>
        <v>000c2d94</v>
      </c>
      <c r="E295" t="str">
        <f t="shared" si="55"/>
        <v>00000000</v>
      </c>
      <c r="F295" t="str">
        <f t="shared" si="56"/>
        <v>00001100</v>
      </c>
      <c r="G295" t="str">
        <f t="shared" si="57"/>
        <v>00101101</v>
      </c>
      <c r="H295" t="str">
        <f t="shared" si="58"/>
        <v>10010100</v>
      </c>
      <c r="I295" t="str">
        <f t="shared" si="59"/>
        <v>00000000000011000010110110010100</v>
      </c>
      <c r="J295" t="str">
        <f t="shared" si="52"/>
        <v>c</v>
      </c>
      <c r="K295" t="str">
        <f t="shared" si="60"/>
        <v>101101</v>
      </c>
      <c r="L295" t="str">
        <f t="shared" si="61"/>
        <v>100101</v>
      </c>
      <c r="M295" t="str">
        <f>LOOKUP(J295,Lookups!$A$27:$A$42,Lookups!$B$27:$B$42)</f>
        <v>h</v>
      </c>
      <c r="N295">
        <f t="shared" si="62"/>
        <v>45</v>
      </c>
      <c r="O295">
        <f t="shared" si="63"/>
        <v>37</v>
      </c>
      <c r="P295">
        <f t="shared" si="64"/>
        <v>2917</v>
      </c>
    </row>
    <row r="296" spans="1:16" x14ac:dyDescent="0.35">
      <c r="A296" t="s">
        <v>612</v>
      </c>
      <c r="C296" t="str">
        <f t="shared" si="53"/>
        <v>3174</v>
      </c>
      <c r="D296" t="str">
        <f t="shared" si="54"/>
        <v>00033300</v>
      </c>
      <c r="E296" t="str">
        <f t="shared" si="55"/>
        <v>00000000</v>
      </c>
      <c r="F296" t="str">
        <f t="shared" si="56"/>
        <v>00000011</v>
      </c>
      <c r="G296" t="str">
        <f t="shared" si="57"/>
        <v>00110011</v>
      </c>
      <c r="H296" t="str">
        <f t="shared" si="58"/>
        <v>00000000</v>
      </c>
      <c r="I296" t="str">
        <f t="shared" si="59"/>
        <v>00000000000000110011001100000000</v>
      </c>
      <c r="J296" t="str">
        <f t="shared" si="52"/>
        <v>3</v>
      </c>
      <c r="K296" t="str">
        <f t="shared" si="60"/>
        <v>110011</v>
      </c>
      <c r="L296" t="str">
        <f t="shared" si="61"/>
        <v>000000</v>
      </c>
      <c r="M296" t="str">
        <f>LOOKUP(J296,Lookups!$A$27:$A$42,Lookups!$B$27:$B$42)</f>
        <v>r</v>
      </c>
      <c r="N296">
        <f t="shared" si="62"/>
        <v>51</v>
      </c>
      <c r="O296">
        <f t="shared" si="63"/>
        <v>0</v>
      </c>
      <c r="P296">
        <f t="shared" si="64"/>
        <v>3264</v>
      </c>
    </row>
    <row r="297" spans="1:16" x14ac:dyDescent="0.35">
      <c r="A297" t="s">
        <v>613</v>
      </c>
      <c r="C297" t="str">
        <f t="shared" si="53"/>
        <v>3175</v>
      </c>
      <c r="D297" t="str">
        <f t="shared" si="54"/>
        <v>000a3300</v>
      </c>
      <c r="E297" t="str">
        <f t="shared" si="55"/>
        <v>00000000</v>
      </c>
      <c r="F297" t="str">
        <f t="shared" si="56"/>
        <v>00001010</v>
      </c>
      <c r="G297" t="str">
        <f t="shared" si="57"/>
        <v>00110011</v>
      </c>
      <c r="H297" t="str">
        <f t="shared" si="58"/>
        <v>00000000</v>
      </c>
      <c r="I297" t="str">
        <f t="shared" si="59"/>
        <v>00000000000010100011001100000000</v>
      </c>
      <c r="J297" t="str">
        <f t="shared" si="52"/>
        <v>a</v>
      </c>
      <c r="K297" t="str">
        <f t="shared" si="60"/>
        <v>110011</v>
      </c>
      <c r="L297" t="str">
        <f t="shared" si="61"/>
        <v>000000</v>
      </c>
      <c r="M297" t="str">
        <f>LOOKUP(J297,Lookups!$A$27:$A$42,Lookups!$B$27:$B$42)</f>
        <v>u</v>
      </c>
      <c r="N297">
        <f t="shared" si="62"/>
        <v>51</v>
      </c>
      <c r="O297">
        <f t="shared" si="63"/>
        <v>0</v>
      </c>
      <c r="P297">
        <f t="shared" si="64"/>
        <v>3264</v>
      </c>
    </row>
    <row r="298" spans="1:16" x14ac:dyDescent="0.35">
      <c r="A298" t="s">
        <v>614</v>
      </c>
      <c r="C298" t="str">
        <f t="shared" si="53"/>
        <v>3176</v>
      </c>
      <c r="D298" t="str">
        <f t="shared" si="54"/>
        <v>1034087e</v>
      </c>
      <c r="E298" t="str">
        <f t="shared" si="55"/>
        <v>00010000</v>
      </c>
      <c r="F298" t="str">
        <f t="shared" si="56"/>
        <v>00110100</v>
      </c>
      <c r="G298" t="str">
        <f t="shared" si="57"/>
        <v>00001000</v>
      </c>
      <c r="H298" t="str">
        <f t="shared" si="58"/>
        <v>01111110</v>
      </c>
      <c r="I298" t="str">
        <f t="shared" si="59"/>
        <v>00010000001101000000100001111110</v>
      </c>
      <c r="J298" t="str">
        <f t="shared" si="52"/>
        <v>4</v>
      </c>
      <c r="K298" t="str">
        <f t="shared" si="60"/>
        <v>001000</v>
      </c>
      <c r="L298" t="str">
        <f t="shared" si="61"/>
        <v>011111</v>
      </c>
      <c r="M298" t="str">
        <f>LOOKUP(J298,Lookups!$A$27:$A$42,Lookups!$B$27:$B$42)</f>
        <v>i</v>
      </c>
      <c r="N298">
        <f t="shared" si="62"/>
        <v>8</v>
      </c>
      <c r="O298">
        <f t="shared" si="63"/>
        <v>31</v>
      </c>
      <c r="P298">
        <f t="shared" si="64"/>
        <v>543</v>
      </c>
    </row>
    <row r="299" spans="1:16" x14ac:dyDescent="0.35">
      <c r="A299" t="s">
        <v>615</v>
      </c>
      <c r="C299" t="str">
        <f t="shared" si="53"/>
        <v>3177</v>
      </c>
      <c r="D299" t="str">
        <f t="shared" si="54"/>
        <v>00012d94</v>
      </c>
      <c r="E299" t="str">
        <f t="shared" si="55"/>
        <v>00000000</v>
      </c>
      <c r="F299" t="str">
        <f t="shared" si="56"/>
        <v>00000001</v>
      </c>
      <c r="G299" t="str">
        <f t="shared" si="57"/>
        <v>00101101</v>
      </c>
      <c r="H299" t="str">
        <f t="shared" si="58"/>
        <v>10010100</v>
      </c>
      <c r="I299" t="str">
        <f t="shared" si="59"/>
        <v>00000000000000010010110110010100</v>
      </c>
      <c r="J299" t="str">
        <f t="shared" si="52"/>
        <v>1</v>
      </c>
      <c r="K299" t="str">
        <f t="shared" si="60"/>
        <v>101101</v>
      </c>
      <c r="L299" t="str">
        <f t="shared" si="61"/>
        <v>100101</v>
      </c>
      <c r="M299" t="str">
        <f>LOOKUP(J299,Lookups!$A$27:$A$42,Lookups!$B$27:$B$42)</f>
        <v>b</v>
      </c>
      <c r="N299">
        <f t="shared" si="62"/>
        <v>45</v>
      </c>
      <c r="O299">
        <f t="shared" si="63"/>
        <v>37</v>
      </c>
      <c r="P299">
        <f t="shared" si="64"/>
        <v>2917</v>
      </c>
    </row>
    <row r="300" spans="1:16" x14ac:dyDescent="0.35">
      <c r="A300" t="s">
        <v>616</v>
      </c>
      <c r="C300" t="str">
        <f t="shared" si="53"/>
        <v>3178</v>
      </c>
      <c r="D300" t="str">
        <f t="shared" si="54"/>
        <v>000332b8</v>
      </c>
      <c r="E300" t="str">
        <f t="shared" si="55"/>
        <v>00000000</v>
      </c>
      <c r="F300" t="str">
        <f t="shared" si="56"/>
        <v>00000011</v>
      </c>
      <c r="G300" t="str">
        <f t="shared" si="57"/>
        <v>00110010</v>
      </c>
      <c r="H300" t="str">
        <f t="shared" si="58"/>
        <v>10111000</v>
      </c>
      <c r="I300" t="str">
        <f t="shared" si="59"/>
        <v>00000000000000110011001010111000</v>
      </c>
      <c r="J300" t="str">
        <f t="shared" si="52"/>
        <v>3</v>
      </c>
      <c r="K300" t="str">
        <f t="shared" si="60"/>
        <v>110010</v>
      </c>
      <c r="L300" t="str">
        <f t="shared" si="61"/>
        <v>101110</v>
      </c>
      <c r="M300" t="str">
        <f>LOOKUP(J300,Lookups!$A$27:$A$42,Lookups!$B$27:$B$42)</f>
        <v>r</v>
      </c>
      <c r="N300">
        <f t="shared" si="62"/>
        <v>50</v>
      </c>
      <c r="O300">
        <f t="shared" si="63"/>
        <v>46</v>
      </c>
      <c r="P300">
        <f t="shared" si="64"/>
        <v>3246</v>
      </c>
    </row>
    <row r="301" spans="1:16" x14ac:dyDescent="0.35">
      <c r="A301" t="s">
        <v>617</v>
      </c>
      <c r="C301" t="str">
        <f t="shared" si="53"/>
        <v>3179</v>
      </c>
      <c r="D301" t="str">
        <f t="shared" si="54"/>
        <v>000a3280</v>
      </c>
      <c r="E301" t="str">
        <f t="shared" si="55"/>
        <v>00000000</v>
      </c>
      <c r="F301" t="str">
        <f t="shared" si="56"/>
        <v>00001010</v>
      </c>
      <c r="G301" t="str">
        <f t="shared" si="57"/>
        <v>00110010</v>
      </c>
      <c r="H301" t="str">
        <f t="shared" si="58"/>
        <v>10000000</v>
      </c>
      <c r="I301" t="str">
        <f t="shared" si="59"/>
        <v>00000000000010100011001010000000</v>
      </c>
      <c r="J301" t="str">
        <f t="shared" si="52"/>
        <v>a</v>
      </c>
      <c r="K301" t="str">
        <f t="shared" si="60"/>
        <v>110010</v>
      </c>
      <c r="L301" t="str">
        <f t="shared" si="61"/>
        <v>100000</v>
      </c>
      <c r="M301" t="str">
        <f>LOOKUP(J301,Lookups!$A$27:$A$42,Lookups!$B$27:$B$42)</f>
        <v>u</v>
      </c>
      <c r="N301">
        <f t="shared" si="62"/>
        <v>50</v>
      </c>
      <c r="O301">
        <f t="shared" si="63"/>
        <v>32</v>
      </c>
      <c r="P301">
        <f t="shared" si="64"/>
        <v>3232</v>
      </c>
    </row>
    <row r="302" spans="1:16" x14ac:dyDescent="0.35">
      <c r="A302" t="s">
        <v>618</v>
      </c>
      <c r="C302" t="str">
        <f t="shared" si="53"/>
        <v>3180</v>
      </c>
      <c r="D302" t="str">
        <f t="shared" si="54"/>
        <v>00033300</v>
      </c>
      <c r="E302" t="str">
        <f t="shared" si="55"/>
        <v>00000000</v>
      </c>
      <c r="F302" t="str">
        <f t="shared" si="56"/>
        <v>00000011</v>
      </c>
      <c r="G302" t="str">
        <f t="shared" si="57"/>
        <v>00110011</v>
      </c>
      <c r="H302" t="str">
        <f t="shared" si="58"/>
        <v>00000000</v>
      </c>
      <c r="I302" t="str">
        <f t="shared" si="59"/>
        <v>00000000000000110011001100000000</v>
      </c>
      <c r="J302" t="str">
        <f t="shared" si="52"/>
        <v>3</v>
      </c>
      <c r="K302" t="str">
        <f t="shared" si="60"/>
        <v>110011</v>
      </c>
      <c r="L302" t="str">
        <f t="shared" si="61"/>
        <v>000000</v>
      </c>
      <c r="M302" t="str">
        <f>LOOKUP(J302,Lookups!$A$27:$A$42,Lookups!$B$27:$B$42)</f>
        <v>r</v>
      </c>
      <c r="N302">
        <f t="shared" si="62"/>
        <v>51</v>
      </c>
      <c r="O302">
        <f t="shared" si="63"/>
        <v>0</v>
      </c>
      <c r="P302">
        <f t="shared" si="64"/>
        <v>3264</v>
      </c>
    </row>
    <row r="303" spans="1:16" x14ac:dyDescent="0.35">
      <c r="A303" t="s">
        <v>619</v>
      </c>
      <c r="C303" t="str">
        <f t="shared" si="53"/>
        <v>3181</v>
      </c>
      <c r="D303" t="str">
        <f t="shared" si="54"/>
        <v>000a3300</v>
      </c>
      <c r="E303" t="str">
        <f t="shared" si="55"/>
        <v>00000000</v>
      </c>
      <c r="F303" t="str">
        <f t="shared" si="56"/>
        <v>00001010</v>
      </c>
      <c r="G303" t="str">
        <f t="shared" si="57"/>
        <v>00110011</v>
      </c>
      <c r="H303" t="str">
        <f t="shared" si="58"/>
        <v>00000000</v>
      </c>
      <c r="I303" t="str">
        <f t="shared" si="59"/>
        <v>00000000000010100011001100000000</v>
      </c>
      <c r="J303" t="str">
        <f t="shared" si="52"/>
        <v>a</v>
      </c>
      <c r="K303" t="str">
        <f t="shared" si="60"/>
        <v>110011</v>
      </c>
      <c r="L303" t="str">
        <f t="shared" si="61"/>
        <v>000000</v>
      </c>
      <c r="M303" t="str">
        <f>LOOKUP(J303,Lookups!$A$27:$A$42,Lookups!$B$27:$B$42)</f>
        <v>u</v>
      </c>
      <c r="N303">
        <f t="shared" si="62"/>
        <v>51</v>
      </c>
      <c r="O303">
        <f t="shared" si="63"/>
        <v>0</v>
      </c>
      <c r="P303">
        <f t="shared" si="64"/>
        <v>3264</v>
      </c>
    </row>
    <row r="304" spans="1:16" x14ac:dyDescent="0.35">
      <c r="A304" t="s">
        <v>620</v>
      </c>
      <c r="C304" t="str">
        <f t="shared" si="53"/>
        <v>3182</v>
      </c>
      <c r="D304" t="str">
        <f t="shared" si="54"/>
        <v>2e04047e</v>
      </c>
      <c r="E304" t="str">
        <f t="shared" si="55"/>
        <v>00101110</v>
      </c>
      <c r="F304" t="str">
        <f t="shared" si="56"/>
        <v>00000100</v>
      </c>
      <c r="G304" t="str">
        <f t="shared" si="57"/>
        <v>00000100</v>
      </c>
      <c r="H304" t="str">
        <f t="shared" si="58"/>
        <v>01111110</v>
      </c>
      <c r="I304" t="str">
        <f t="shared" si="59"/>
        <v>00101110000001000000010001111110</v>
      </c>
      <c r="J304" t="str">
        <f t="shared" si="52"/>
        <v>4</v>
      </c>
      <c r="K304" t="str">
        <f t="shared" si="60"/>
        <v>000100</v>
      </c>
      <c r="L304" t="str">
        <f t="shared" si="61"/>
        <v>011111</v>
      </c>
      <c r="M304" t="str">
        <f>LOOKUP(J304,Lookups!$A$27:$A$42,Lookups!$B$27:$B$42)</f>
        <v>i</v>
      </c>
      <c r="N304">
        <f t="shared" si="62"/>
        <v>4</v>
      </c>
      <c r="O304">
        <f t="shared" si="63"/>
        <v>31</v>
      </c>
      <c r="P304">
        <f t="shared" si="64"/>
        <v>287</v>
      </c>
    </row>
    <row r="305" spans="1:16" x14ac:dyDescent="0.35">
      <c r="A305" t="s">
        <v>621</v>
      </c>
      <c r="C305" t="str">
        <f t="shared" si="53"/>
        <v>3183</v>
      </c>
      <c r="D305" t="str">
        <f t="shared" si="54"/>
        <v>00013278</v>
      </c>
      <c r="E305" t="str">
        <f t="shared" si="55"/>
        <v>00000000</v>
      </c>
      <c r="F305" t="str">
        <f t="shared" si="56"/>
        <v>00000001</v>
      </c>
      <c r="G305" t="str">
        <f t="shared" si="57"/>
        <v>00110010</v>
      </c>
      <c r="H305" t="str">
        <f t="shared" si="58"/>
        <v>01111000</v>
      </c>
      <c r="I305" t="str">
        <f t="shared" si="59"/>
        <v>00000000000000010011001001111000</v>
      </c>
      <c r="J305" t="str">
        <f t="shared" si="52"/>
        <v>1</v>
      </c>
      <c r="K305" t="str">
        <f t="shared" si="60"/>
        <v>110010</v>
      </c>
      <c r="L305" t="str">
        <f t="shared" si="61"/>
        <v>011110</v>
      </c>
      <c r="M305" t="str">
        <f>LOOKUP(J305,Lookups!$A$27:$A$42,Lookups!$B$27:$B$42)</f>
        <v>b</v>
      </c>
      <c r="N305">
        <f t="shared" si="62"/>
        <v>50</v>
      </c>
      <c r="O305">
        <f t="shared" si="63"/>
        <v>30</v>
      </c>
      <c r="P305">
        <f t="shared" si="64"/>
        <v>3230</v>
      </c>
    </row>
    <row r="306" spans="1:16" x14ac:dyDescent="0.35">
      <c r="A306" t="s">
        <v>622</v>
      </c>
      <c r="C306" t="str">
        <f t="shared" si="53"/>
        <v>3184</v>
      </c>
      <c r="D306" t="str">
        <f t="shared" si="54"/>
        <v>000b31f8</v>
      </c>
      <c r="E306" t="str">
        <f t="shared" si="55"/>
        <v>00000000</v>
      </c>
      <c r="F306" t="str">
        <f t="shared" si="56"/>
        <v>00001011</v>
      </c>
      <c r="G306" t="str">
        <f t="shared" si="57"/>
        <v>00110001</v>
      </c>
      <c r="H306" t="str">
        <f t="shared" si="58"/>
        <v>11111000</v>
      </c>
      <c r="I306" t="str">
        <f t="shared" si="59"/>
        <v>00000000000010110011000111111000</v>
      </c>
      <c r="J306" t="str">
        <f t="shared" si="52"/>
        <v>b</v>
      </c>
      <c r="K306" t="str">
        <f t="shared" si="60"/>
        <v>110001</v>
      </c>
      <c r="L306" t="str">
        <f t="shared" si="61"/>
        <v>111110</v>
      </c>
      <c r="M306" t="str">
        <f>LOOKUP(J306,Lookups!$A$27:$A$42,Lookups!$B$27:$B$42)</f>
        <v>t</v>
      </c>
      <c r="N306">
        <f t="shared" si="62"/>
        <v>49</v>
      </c>
      <c r="O306">
        <f t="shared" si="63"/>
        <v>62</v>
      </c>
      <c r="P306">
        <f t="shared" si="64"/>
        <v>3198</v>
      </c>
    </row>
    <row r="307" spans="1:16" x14ac:dyDescent="0.35">
      <c r="A307" t="s">
        <v>623</v>
      </c>
      <c r="C307" t="str">
        <f t="shared" si="53"/>
        <v>3185</v>
      </c>
      <c r="D307" t="str">
        <f t="shared" si="54"/>
        <v>00081000</v>
      </c>
      <c r="E307" t="str">
        <f t="shared" si="55"/>
        <v>00000000</v>
      </c>
      <c r="F307" t="str">
        <f t="shared" si="56"/>
        <v>00001000</v>
      </c>
      <c r="G307" t="str">
        <f t="shared" si="57"/>
        <v>00010000</v>
      </c>
      <c r="H307" t="str">
        <f t="shared" si="58"/>
        <v>00000000</v>
      </c>
      <c r="I307" t="str">
        <f t="shared" si="59"/>
        <v>00000000000010000001000000000000</v>
      </c>
      <c r="J307" t="str">
        <f t="shared" si="52"/>
        <v>8</v>
      </c>
      <c r="K307" t="str">
        <f t="shared" si="60"/>
        <v>010000</v>
      </c>
      <c r="L307" t="str">
        <f t="shared" si="61"/>
        <v>000000</v>
      </c>
      <c r="M307" t="str">
        <f>LOOKUP(J307,Lookups!$A$27:$A$42,Lookups!$B$27:$B$42)</f>
        <v>p</v>
      </c>
      <c r="N307">
        <f t="shared" si="62"/>
        <v>16</v>
      </c>
      <c r="O307">
        <f t="shared" si="63"/>
        <v>0</v>
      </c>
      <c r="P307">
        <f t="shared" si="64"/>
        <v>1024</v>
      </c>
    </row>
    <row r="308" spans="1:16" x14ac:dyDescent="0.35">
      <c r="A308" t="s">
        <v>624</v>
      </c>
      <c r="C308" t="str">
        <f t="shared" si="53"/>
        <v>3186</v>
      </c>
      <c r="D308" t="str">
        <f t="shared" si="54"/>
        <v>000d327c</v>
      </c>
      <c r="E308" t="str">
        <f t="shared" si="55"/>
        <v>00000000</v>
      </c>
      <c r="F308" t="str">
        <f t="shared" si="56"/>
        <v>00001101</v>
      </c>
      <c r="G308" t="str">
        <f t="shared" si="57"/>
        <v>00110010</v>
      </c>
      <c r="H308" t="str">
        <f t="shared" si="58"/>
        <v>01111100</v>
      </c>
      <c r="I308" t="str">
        <f t="shared" si="59"/>
        <v>00000000000011010011001001111100</v>
      </c>
      <c r="J308" t="str">
        <f t="shared" si="52"/>
        <v>d</v>
      </c>
      <c r="K308" t="str">
        <f t="shared" si="60"/>
        <v>110010</v>
      </c>
      <c r="L308" t="str">
        <f t="shared" si="61"/>
        <v>011111</v>
      </c>
      <c r="M308" t="str">
        <f>LOOKUP(J308,Lookups!$A$27:$A$42,Lookups!$B$27:$B$42)</f>
        <v>c</v>
      </c>
      <c r="N308">
        <f t="shared" si="62"/>
        <v>50</v>
      </c>
      <c r="O308">
        <f t="shared" si="63"/>
        <v>31</v>
      </c>
      <c r="P308">
        <f t="shared" si="64"/>
        <v>3231</v>
      </c>
    </row>
    <row r="309" spans="1:16" x14ac:dyDescent="0.35">
      <c r="A309" t="s">
        <v>625</v>
      </c>
      <c r="C309" t="str">
        <f t="shared" si="53"/>
        <v>3187</v>
      </c>
      <c r="D309" t="str">
        <f t="shared" si="54"/>
        <v>000d327c</v>
      </c>
      <c r="E309" t="str">
        <f t="shared" si="55"/>
        <v>00000000</v>
      </c>
      <c r="F309" t="str">
        <f t="shared" si="56"/>
        <v>00001101</v>
      </c>
      <c r="G309" t="str">
        <f t="shared" si="57"/>
        <v>00110010</v>
      </c>
      <c r="H309" t="str">
        <f t="shared" si="58"/>
        <v>01111100</v>
      </c>
      <c r="I309" t="str">
        <f t="shared" si="59"/>
        <v>00000000000011010011001001111100</v>
      </c>
      <c r="J309" t="str">
        <f t="shared" si="52"/>
        <v>d</v>
      </c>
      <c r="K309" t="str">
        <f t="shared" si="60"/>
        <v>110010</v>
      </c>
      <c r="L309" t="str">
        <f t="shared" si="61"/>
        <v>011111</v>
      </c>
      <c r="M309" t="str">
        <f>LOOKUP(J309,Lookups!$A$27:$A$42,Lookups!$B$27:$B$42)</f>
        <v>c</v>
      </c>
      <c r="N309">
        <f t="shared" si="62"/>
        <v>50</v>
      </c>
      <c r="O309">
        <f t="shared" si="63"/>
        <v>31</v>
      </c>
      <c r="P309">
        <f t="shared" si="64"/>
        <v>3231</v>
      </c>
    </row>
    <row r="310" spans="1:16" x14ac:dyDescent="0.35">
      <c r="A310" t="s">
        <v>626</v>
      </c>
      <c r="C310" t="str">
        <f t="shared" si="53"/>
        <v>3188</v>
      </c>
      <c r="D310" t="str">
        <f t="shared" si="54"/>
        <v>000d2f5c</v>
      </c>
      <c r="E310" t="str">
        <f t="shared" si="55"/>
        <v>00000000</v>
      </c>
      <c r="F310" t="str">
        <f t="shared" si="56"/>
        <v>00001101</v>
      </c>
      <c r="G310" t="str">
        <f t="shared" si="57"/>
        <v>00101111</v>
      </c>
      <c r="H310" t="str">
        <f t="shared" si="58"/>
        <v>01011100</v>
      </c>
      <c r="I310" t="str">
        <f t="shared" si="59"/>
        <v>00000000000011010010111101011100</v>
      </c>
      <c r="J310" t="str">
        <f t="shared" si="52"/>
        <v>d</v>
      </c>
      <c r="K310" t="str">
        <f t="shared" si="60"/>
        <v>101111</v>
      </c>
      <c r="L310" t="str">
        <f t="shared" si="61"/>
        <v>010111</v>
      </c>
      <c r="M310" t="str">
        <f>LOOKUP(J310,Lookups!$A$27:$A$42,Lookups!$B$27:$B$42)</f>
        <v>c</v>
      </c>
      <c r="N310">
        <f t="shared" si="62"/>
        <v>47</v>
      </c>
      <c r="O310">
        <f t="shared" si="63"/>
        <v>23</v>
      </c>
      <c r="P310">
        <f t="shared" si="64"/>
        <v>3031</v>
      </c>
    </row>
    <row r="311" spans="1:16" x14ac:dyDescent="0.35">
      <c r="A311" t="s">
        <v>627</v>
      </c>
      <c r="C311" t="str">
        <f t="shared" si="53"/>
        <v>3189</v>
      </c>
      <c r="D311" t="str">
        <f t="shared" si="54"/>
        <v>00000068</v>
      </c>
      <c r="E311" t="str">
        <f t="shared" si="55"/>
        <v>00000000</v>
      </c>
      <c r="F311" t="str">
        <f t="shared" si="56"/>
        <v>00000000</v>
      </c>
      <c r="G311" t="str">
        <f t="shared" si="57"/>
        <v>00000000</v>
      </c>
      <c r="H311" t="str">
        <f t="shared" si="58"/>
        <v>01101000</v>
      </c>
      <c r="I311" t="str">
        <f t="shared" si="59"/>
        <v>00000000000000000000000001101000</v>
      </c>
      <c r="J311" t="str">
        <f t="shared" si="52"/>
        <v>0</v>
      </c>
      <c r="K311" t="str">
        <f t="shared" si="60"/>
        <v>000000</v>
      </c>
      <c r="L311" t="str">
        <f t="shared" si="61"/>
        <v>011010</v>
      </c>
      <c r="M311" t="str">
        <f>LOOKUP(J311,Lookups!$A$27:$A$42,Lookups!$B$27:$B$42)</f>
        <v>z</v>
      </c>
      <c r="N311">
        <f t="shared" si="62"/>
        <v>0</v>
      </c>
      <c r="O311">
        <f t="shared" si="63"/>
        <v>26</v>
      </c>
      <c r="P311">
        <f t="shared" si="64"/>
        <v>26</v>
      </c>
    </row>
    <row r="312" spans="1:16" x14ac:dyDescent="0.35">
      <c r="A312" t="s">
        <v>628</v>
      </c>
      <c r="C312" t="str">
        <f t="shared" si="53"/>
        <v>3190</v>
      </c>
      <c r="D312" t="str">
        <f t="shared" si="54"/>
        <v>000a32f4</v>
      </c>
      <c r="E312" t="str">
        <f t="shared" si="55"/>
        <v>00000000</v>
      </c>
      <c r="F312" t="str">
        <f t="shared" si="56"/>
        <v>00001010</v>
      </c>
      <c r="G312" t="str">
        <f t="shared" si="57"/>
        <v>00110010</v>
      </c>
      <c r="H312" t="str">
        <f t="shared" si="58"/>
        <v>11110100</v>
      </c>
      <c r="I312" t="str">
        <f t="shared" si="59"/>
        <v>00000000000010100011001011110100</v>
      </c>
      <c r="J312" t="str">
        <f t="shared" si="52"/>
        <v>a</v>
      </c>
      <c r="K312" t="str">
        <f t="shared" si="60"/>
        <v>110010</v>
      </c>
      <c r="L312" t="str">
        <f t="shared" si="61"/>
        <v>111101</v>
      </c>
      <c r="M312" t="str">
        <f>LOOKUP(J312,Lookups!$A$27:$A$42,Lookups!$B$27:$B$42)</f>
        <v>u</v>
      </c>
      <c r="N312">
        <f t="shared" si="62"/>
        <v>50</v>
      </c>
      <c r="O312">
        <f t="shared" si="63"/>
        <v>61</v>
      </c>
      <c r="P312">
        <f t="shared" si="64"/>
        <v>3261</v>
      </c>
    </row>
    <row r="313" spans="1:16" x14ac:dyDescent="0.35">
      <c r="A313" t="s">
        <v>629</v>
      </c>
      <c r="C313" t="str">
        <f t="shared" si="53"/>
        <v>3191</v>
      </c>
      <c r="D313" t="str">
        <f t="shared" si="54"/>
        <v>00080c00</v>
      </c>
      <c r="E313" t="str">
        <f t="shared" si="55"/>
        <v>00000000</v>
      </c>
      <c r="F313" t="str">
        <f t="shared" si="56"/>
        <v>00001000</v>
      </c>
      <c r="G313" t="str">
        <f t="shared" si="57"/>
        <v>00001100</v>
      </c>
      <c r="H313" t="str">
        <f t="shared" si="58"/>
        <v>00000000</v>
      </c>
      <c r="I313" t="str">
        <f t="shared" si="59"/>
        <v>00000000000010000000110000000000</v>
      </c>
      <c r="J313" t="str">
        <f t="shared" si="52"/>
        <v>8</v>
      </c>
      <c r="K313" t="str">
        <f t="shared" si="60"/>
        <v>001100</v>
      </c>
      <c r="L313" t="str">
        <f t="shared" si="61"/>
        <v>000000</v>
      </c>
      <c r="M313" t="str">
        <f>LOOKUP(J313,Lookups!$A$27:$A$42,Lookups!$B$27:$B$42)</f>
        <v>p</v>
      </c>
      <c r="N313">
        <f t="shared" si="62"/>
        <v>12</v>
      </c>
      <c r="O313">
        <f t="shared" si="63"/>
        <v>0</v>
      </c>
      <c r="P313">
        <f t="shared" si="64"/>
        <v>768</v>
      </c>
    </row>
    <row r="314" spans="1:16" x14ac:dyDescent="0.35">
      <c r="A314" t="s">
        <v>630</v>
      </c>
      <c r="C314" t="str">
        <f t="shared" si="53"/>
        <v>3192</v>
      </c>
      <c r="D314" t="str">
        <f t="shared" si="54"/>
        <v>0000000c</v>
      </c>
      <c r="E314" t="str">
        <f t="shared" si="55"/>
        <v>00000000</v>
      </c>
      <c r="F314" t="str">
        <f t="shared" si="56"/>
        <v>00000000</v>
      </c>
      <c r="G314" t="str">
        <f t="shared" si="57"/>
        <v>00000000</v>
      </c>
      <c r="H314" t="str">
        <f t="shared" si="58"/>
        <v>00001100</v>
      </c>
      <c r="I314" t="str">
        <f t="shared" si="59"/>
        <v>00000000000000000000000000001100</v>
      </c>
      <c r="J314" t="str">
        <f t="shared" si="52"/>
        <v>0</v>
      </c>
      <c r="K314" t="str">
        <f t="shared" si="60"/>
        <v>000000</v>
      </c>
      <c r="L314" t="str">
        <f t="shared" si="61"/>
        <v>000011</v>
      </c>
      <c r="M314" t="str">
        <f>LOOKUP(J314,Lookups!$A$27:$A$42,Lookups!$B$27:$B$42)</f>
        <v>z</v>
      </c>
      <c r="N314">
        <f t="shared" si="62"/>
        <v>0</v>
      </c>
      <c r="O314">
        <f t="shared" si="63"/>
        <v>3</v>
      </c>
      <c r="P314">
        <f t="shared" si="64"/>
        <v>3</v>
      </c>
    </row>
    <row r="315" spans="1:16" x14ac:dyDescent="0.35">
      <c r="A315" t="s">
        <v>631</v>
      </c>
      <c r="C315" t="str">
        <f t="shared" si="53"/>
        <v>3193</v>
      </c>
      <c r="D315" t="str">
        <f t="shared" si="54"/>
        <v>000d3278</v>
      </c>
      <c r="E315" t="str">
        <f t="shared" si="55"/>
        <v>00000000</v>
      </c>
      <c r="F315" t="str">
        <f t="shared" si="56"/>
        <v>00001101</v>
      </c>
      <c r="G315" t="str">
        <f t="shared" si="57"/>
        <v>00110010</v>
      </c>
      <c r="H315" t="str">
        <f t="shared" si="58"/>
        <v>01111000</v>
      </c>
      <c r="I315" t="str">
        <f t="shared" si="59"/>
        <v>00000000000011010011001001111000</v>
      </c>
      <c r="J315" t="str">
        <f t="shared" si="52"/>
        <v>d</v>
      </c>
      <c r="K315" t="str">
        <f t="shared" si="60"/>
        <v>110010</v>
      </c>
      <c r="L315" t="str">
        <f t="shared" si="61"/>
        <v>011110</v>
      </c>
      <c r="M315" t="str">
        <f>LOOKUP(J315,Lookups!$A$27:$A$42,Lookups!$B$27:$B$42)</f>
        <v>c</v>
      </c>
      <c r="N315">
        <f t="shared" si="62"/>
        <v>50</v>
      </c>
      <c r="O315">
        <f t="shared" si="63"/>
        <v>30</v>
      </c>
      <c r="P315">
        <f t="shared" si="64"/>
        <v>3230</v>
      </c>
    </row>
    <row r="316" spans="1:16" x14ac:dyDescent="0.35">
      <c r="A316" t="s">
        <v>632</v>
      </c>
      <c r="C316" t="str">
        <f t="shared" si="53"/>
        <v>3194</v>
      </c>
      <c r="D316" t="str">
        <f t="shared" si="54"/>
        <v>000f3278</v>
      </c>
      <c r="E316" t="str">
        <f t="shared" si="55"/>
        <v>00000000</v>
      </c>
      <c r="F316" t="str">
        <f t="shared" si="56"/>
        <v>00001111</v>
      </c>
      <c r="G316" t="str">
        <f t="shared" si="57"/>
        <v>00110010</v>
      </c>
      <c r="H316" t="str">
        <f t="shared" si="58"/>
        <v>01111000</v>
      </c>
      <c r="I316" t="str">
        <f t="shared" si="59"/>
        <v>00000000000011110011001001111000</v>
      </c>
      <c r="J316" t="str">
        <f t="shared" si="52"/>
        <v>f</v>
      </c>
      <c r="K316" t="str">
        <f t="shared" si="60"/>
        <v>110010</v>
      </c>
      <c r="L316" t="str">
        <f t="shared" si="61"/>
        <v>011110</v>
      </c>
      <c r="M316" t="str">
        <f>LOOKUP(J316,Lookups!$A$27:$A$42,Lookups!$B$27:$B$42)</f>
        <v>s</v>
      </c>
      <c r="N316">
        <f t="shared" si="62"/>
        <v>50</v>
      </c>
      <c r="O316">
        <f t="shared" si="63"/>
        <v>30</v>
      </c>
      <c r="P316">
        <f t="shared" si="64"/>
        <v>3230</v>
      </c>
    </row>
    <row r="317" spans="1:16" x14ac:dyDescent="0.35">
      <c r="A317" t="s">
        <v>633</v>
      </c>
      <c r="C317" t="str">
        <f t="shared" si="53"/>
        <v>3195</v>
      </c>
      <c r="D317" t="str">
        <f t="shared" si="54"/>
        <v>00080700</v>
      </c>
      <c r="E317" t="str">
        <f t="shared" si="55"/>
        <v>00000000</v>
      </c>
      <c r="F317" t="str">
        <f t="shared" si="56"/>
        <v>00001000</v>
      </c>
      <c r="G317" t="str">
        <f t="shared" si="57"/>
        <v>00000111</v>
      </c>
      <c r="H317" t="str">
        <f t="shared" si="58"/>
        <v>00000000</v>
      </c>
      <c r="I317" t="str">
        <f t="shared" si="59"/>
        <v>00000000000010000000011100000000</v>
      </c>
      <c r="J317" t="str">
        <f t="shared" si="52"/>
        <v>8</v>
      </c>
      <c r="K317" t="str">
        <f t="shared" si="60"/>
        <v>000111</v>
      </c>
      <c r="L317" t="str">
        <f t="shared" si="61"/>
        <v>000000</v>
      </c>
      <c r="M317" t="str">
        <f>LOOKUP(J317,Lookups!$A$27:$A$42,Lookups!$B$27:$B$42)</f>
        <v>p</v>
      </c>
      <c r="N317">
        <f t="shared" si="62"/>
        <v>7</v>
      </c>
      <c r="O317">
        <f t="shared" si="63"/>
        <v>0</v>
      </c>
      <c r="P317">
        <f t="shared" si="64"/>
        <v>448</v>
      </c>
    </row>
    <row r="318" spans="1:16" x14ac:dyDescent="0.35">
      <c r="A318" t="s">
        <v>634</v>
      </c>
      <c r="C318" t="str">
        <f t="shared" si="53"/>
        <v>3196</v>
      </c>
      <c r="D318" t="str">
        <f t="shared" si="54"/>
        <v>0000003c</v>
      </c>
      <c r="E318" t="str">
        <f t="shared" si="55"/>
        <v>00000000</v>
      </c>
      <c r="F318" t="str">
        <f t="shared" si="56"/>
        <v>00000000</v>
      </c>
      <c r="G318" t="str">
        <f t="shared" si="57"/>
        <v>00000000</v>
      </c>
      <c r="H318" t="str">
        <f t="shared" si="58"/>
        <v>00111100</v>
      </c>
      <c r="I318" t="str">
        <f t="shared" si="59"/>
        <v>00000000000000000000000000111100</v>
      </c>
      <c r="J318" t="str">
        <f t="shared" si="52"/>
        <v>0</v>
      </c>
      <c r="K318" t="str">
        <f t="shared" si="60"/>
        <v>000000</v>
      </c>
      <c r="L318" t="str">
        <f t="shared" si="61"/>
        <v>001111</v>
      </c>
      <c r="M318" t="str">
        <f>LOOKUP(J318,Lookups!$A$27:$A$42,Lookups!$B$27:$B$42)</f>
        <v>z</v>
      </c>
      <c r="N318">
        <f t="shared" si="62"/>
        <v>0</v>
      </c>
      <c r="O318">
        <f t="shared" si="63"/>
        <v>15</v>
      </c>
      <c r="P318">
        <f t="shared" si="64"/>
        <v>15</v>
      </c>
    </row>
    <row r="319" spans="1:16" x14ac:dyDescent="0.35">
      <c r="A319" t="s">
        <v>635</v>
      </c>
      <c r="C319" t="str">
        <f t="shared" si="53"/>
        <v>3197</v>
      </c>
      <c r="D319" t="str">
        <f t="shared" si="54"/>
        <v>000a3194</v>
      </c>
      <c r="E319" t="str">
        <f t="shared" si="55"/>
        <v>00000000</v>
      </c>
      <c r="F319" t="str">
        <f t="shared" si="56"/>
        <v>00001010</v>
      </c>
      <c r="G319" t="str">
        <f t="shared" si="57"/>
        <v>00110001</v>
      </c>
      <c r="H319" t="str">
        <f t="shared" si="58"/>
        <v>10010100</v>
      </c>
      <c r="I319" t="str">
        <f t="shared" si="59"/>
        <v>00000000000010100011000110010100</v>
      </c>
      <c r="J319" t="str">
        <f t="shared" si="52"/>
        <v>a</v>
      </c>
      <c r="K319" t="str">
        <f t="shared" si="60"/>
        <v>110001</v>
      </c>
      <c r="L319" t="str">
        <f t="shared" si="61"/>
        <v>100101</v>
      </c>
      <c r="M319" t="str">
        <f>LOOKUP(J319,Lookups!$A$27:$A$42,Lookups!$B$27:$B$42)</f>
        <v>u</v>
      </c>
      <c r="N319">
        <f t="shared" si="62"/>
        <v>49</v>
      </c>
      <c r="O319">
        <f t="shared" si="63"/>
        <v>37</v>
      </c>
      <c r="P319">
        <f t="shared" si="64"/>
        <v>3173</v>
      </c>
    </row>
    <row r="320" spans="1:16" x14ac:dyDescent="0.35">
      <c r="A320" t="s">
        <v>636</v>
      </c>
      <c r="C320" t="str">
        <f t="shared" si="53"/>
        <v>3198</v>
      </c>
      <c r="D320" t="str">
        <f t="shared" si="54"/>
        <v>00080c00</v>
      </c>
      <c r="E320" t="str">
        <f t="shared" si="55"/>
        <v>00000000</v>
      </c>
      <c r="F320" t="str">
        <f t="shared" si="56"/>
        <v>00001000</v>
      </c>
      <c r="G320" t="str">
        <f t="shared" si="57"/>
        <v>00001100</v>
      </c>
      <c r="H320" t="str">
        <f t="shared" si="58"/>
        <v>00000000</v>
      </c>
      <c r="I320" t="str">
        <f t="shared" si="59"/>
        <v>00000000000010000000110000000000</v>
      </c>
      <c r="J320" t="str">
        <f t="shared" si="52"/>
        <v>8</v>
      </c>
      <c r="K320" t="str">
        <f t="shared" si="60"/>
        <v>001100</v>
      </c>
      <c r="L320" t="str">
        <f t="shared" si="61"/>
        <v>000000</v>
      </c>
      <c r="M320" t="str">
        <f>LOOKUP(J320,Lookups!$A$27:$A$42,Lookups!$B$27:$B$42)</f>
        <v>p</v>
      </c>
      <c r="N320">
        <f t="shared" si="62"/>
        <v>12</v>
      </c>
      <c r="O320">
        <f t="shared" si="63"/>
        <v>0</v>
      </c>
      <c r="P320">
        <f t="shared" si="64"/>
        <v>768</v>
      </c>
    </row>
    <row r="321" spans="1:16" x14ac:dyDescent="0.35">
      <c r="A321" t="s">
        <v>637</v>
      </c>
      <c r="C321" t="str">
        <f t="shared" si="53"/>
        <v>3199</v>
      </c>
      <c r="D321" t="str">
        <f t="shared" si="54"/>
        <v>00000008</v>
      </c>
      <c r="E321" t="str">
        <f t="shared" si="55"/>
        <v>00000000</v>
      </c>
      <c r="F321" t="str">
        <f t="shared" si="56"/>
        <v>00000000</v>
      </c>
      <c r="G321" t="str">
        <f t="shared" si="57"/>
        <v>00000000</v>
      </c>
      <c r="H321" t="str">
        <f t="shared" si="58"/>
        <v>00001000</v>
      </c>
      <c r="I321" t="str">
        <f t="shared" si="59"/>
        <v>00000000000000000000000000001000</v>
      </c>
      <c r="J321" t="str">
        <f t="shared" si="52"/>
        <v>0</v>
      </c>
      <c r="K321" t="str">
        <f t="shared" si="60"/>
        <v>000000</v>
      </c>
      <c r="L321" t="str">
        <f t="shared" si="61"/>
        <v>000010</v>
      </c>
      <c r="M321" t="str">
        <f>LOOKUP(J321,Lookups!$A$27:$A$42,Lookups!$B$27:$B$42)</f>
        <v>z</v>
      </c>
      <c r="N321">
        <f t="shared" si="62"/>
        <v>0</v>
      </c>
      <c r="O321">
        <f t="shared" si="63"/>
        <v>2</v>
      </c>
      <c r="P321">
        <f t="shared" si="64"/>
        <v>2</v>
      </c>
    </row>
    <row r="322" spans="1:16" x14ac:dyDescent="0.35">
      <c r="A322" t="s">
        <v>638</v>
      </c>
      <c r="C322" t="str">
        <f t="shared" si="53"/>
        <v>3200</v>
      </c>
      <c r="D322" t="str">
        <f t="shared" si="54"/>
        <v>000a31c4</v>
      </c>
      <c r="E322" t="str">
        <f t="shared" si="55"/>
        <v>00000000</v>
      </c>
      <c r="F322" t="str">
        <f t="shared" si="56"/>
        <v>00001010</v>
      </c>
      <c r="G322" t="str">
        <f t="shared" si="57"/>
        <v>00110001</v>
      </c>
      <c r="H322" t="str">
        <f t="shared" si="58"/>
        <v>11000100</v>
      </c>
      <c r="I322" t="str">
        <f t="shared" si="59"/>
        <v>00000000000010100011000111000100</v>
      </c>
      <c r="J322" t="str">
        <f t="shared" ref="J322:J385" si="65">MID(D322,4,1)</f>
        <v>a</v>
      </c>
      <c r="K322" t="str">
        <f t="shared" si="60"/>
        <v>110001</v>
      </c>
      <c r="L322" t="str">
        <f t="shared" si="61"/>
        <v>110001</v>
      </c>
      <c r="M322" t="str">
        <f>LOOKUP(J322,Lookups!$A$27:$A$42,Lookups!$B$27:$B$42)</f>
        <v>u</v>
      </c>
      <c r="N322">
        <f t="shared" si="62"/>
        <v>49</v>
      </c>
      <c r="O322">
        <f t="shared" si="63"/>
        <v>49</v>
      </c>
      <c r="P322">
        <f t="shared" si="64"/>
        <v>3185</v>
      </c>
    </row>
    <row r="323" spans="1:16" x14ac:dyDescent="0.35">
      <c r="A323" t="s">
        <v>639</v>
      </c>
      <c r="C323" t="str">
        <f t="shared" ref="C323:C386" si="66">MID(A323,1,4)</f>
        <v>3201</v>
      </c>
      <c r="D323" t="str">
        <f t="shared" ref="D323:D386" si="67">MID(A323,8,20)</f>
        <v>000e2e8c</v>
      </c>
      <c r="E323" t="str">
        <f t="shared" ref="E323:E386" si="68">HEX2BIN(MID(D323,1,2),8)</f>
        <v>00000000</v>
      </c>
      <c r="F323" t="str">
        <f t="shared" ref="F323:F386" si="69">HEX2BIN(MID(D323,3,2),8)</f>
        <v>00001110</v>
      </c>
      <c r="G323" t="str">
        <f t="shared" ref="G323:G386" si="70">HEX2BIN(MID(D323,5,2),8)</f>
        <v>00101110</v>
      </c>
      <c r="H323" t="str">
        <f t="shared" ref="H323:H386" si="71">HEX2BIN(MID(D323,7,2),8)</f>
        <v>10001100</v>
      </c>
      <c r="I323" t="str">
        <f t="shared" ref="I323:I386" si="72">CONCATENATE(E323,F323,G323,H323)</f>
        <v>00000000000011100010111010001100</v>
      </c>
      <c r="J323" t="str">
        <f t="shared" si="65"/>
        <v>e</v>
      </c>
      <c r="K323" t="str">
        <f t="shared" ref="K323:K386" si="73">MID(G323,3,6)</f>
        <v>101110</v>
      </c>
      <c r="L323" t="str">
        <f t="shared" ref="L323:L386" si="74">MID(H323,1,6)</f>
        <v>100011</v>
      </c>
      <c r="M323" t="str">
        <f>LOOKUP(J323,Lookups!$A$27:$A$42,Lookups!$B$27:$B$42)</f>
        <v>a</v>
      </c>
      <c r="N323">
        <f t="shared" ref="N323:N386" si="75">BIN2DEC(K323)</f>
        <v>46</v>
      </c>
      <c r="O323">
        <f t="shared" ref="O323:O386" si="76">BIN2DEC(L323)</f>
        <v>35</v>
      </c>
      <c r="P323">
        <f t="shared" ref="P323:P386" si="77">N323*64+O323</f>
        <v>2979</v>
      </c>
    </row>
    <row r="324" spans="1:16" x14ac:dyDescent="0.35">
      <c r="A324" t="s">
        <v>640</v>
      </c>
      <c r="C324" t="str">
        <f t="shared" si="66"/>
        <v>3202</v>
      </c>
      <c r="D324" t="str">
        <f t="shared" si="67"/>
        <v>000b3240</v>
      </c>
      <c r="E324" t="str">
        <f t="shared" si="68"/>
        <v>00000000</v>
      </c>
      <c r="F324" t="str">
        <f t="shared" si="69"/>
        <v>00001011</v>
      </c>
      <c r="G324" t="str">
        <f t="shared" si="70"/>
        <v>00110010</v>
      </c>
      <c r="H324" t="str">
        <f t="shared" si="71"/>
        <v>01000000</v>
      </c>
      <c r="I324" t="str">
        <f t="shared" si="72"/>
        <v>00000000000010110011001001000000</v>
      </c>
      <c r="J324" t="str">
        <f t="shared" si="65"/>
        <v>b</v>
      </c>
      <c r="K324" t="str">
        <f t="shared" si="73"/>
        <v>110010</v>
      </c>
      <c r="L324" t="str">
        <f t="shared" si="74"/>
        <v>010000</v>
      </c>
      <c r="M324" t="str">
        <f>LOOKUP(J324,Lookups!$A$27:$A$42,Lookups!$B$27:$B$42)</f>
        <v>t</v>
      </c>
      <c r="N324">
        <f t="shared" si="75"/>
        <v>50</v>
      </c>
      <c r="O324">
        <f t="shared" si="76"/>
        <v>16</v>
      </c>
      <c r="P324">
        <f t="shared" si="77"/>
        <v>3216</v>
      </c>
    </row>
    <row r="325" spans="1:16" x14ac:dyDescent="0.35">
      <c r="A325" t="s">
        <v>641</v>
      </c>
      <c r="C325" t="str">
        <f t="shared" si="66"/>
        <v>3203</v>
      </c>
      <c r="D325" t="str">
        <f t="shared" si="67"/>
        <v>00012e8c</v>
      </c>
      <c r="E325" t="str">
        <f t="shared" si="68"/>
        <v>00000000</v>
      </c>
      <c r="F325" t="str">
        <f t="shared" si="69"/>
        <v>00000001</v>
      </c>
      <c r="G325" t="str">
        <f t="shared" si="70"/>
        <v>00101110</v>
      </c>
      <c r="H325" t="str">
        <f t="shared" si="71"/>
        <v>10001100</v>
      </c>
      <c r="I325" t="str">
        <f t="shared" si="72"/>
        <v>00000000000000010010111010001100</v>
      </c>
      <c r="J325" t="str">
        <f t="shared" si="65"/>
        <v>1</v>
      </c>
      <c r="K325" t="str">
        <f t="shared" si="73"/>
        <v>101110</v>
      </c>
      <c r="L325" t="str">
        <f t="shared" si="74"/>
        <v>100011</v>
      </c>
      <c r="M325" t="str">
        <f>LOOKUP(J325,Lookups!$A$27:$A$42,Lookups!$B$27:$B$42)</f>
        <v>b</v>
      </c>
      <c r="N325">
        <f t="shared" si="75"/>
        <v>46</v>
      </c>
      <c r="O325">
        <f t="shared" si="76"/>
        <v>35</v>
      </c>
      <c r="P325">
        <f t="shared" si="77"/>
        <v>2979</v>
      </c>
    </row>
    <row r="326" spans="1:16" x14ac:dyDescent="0.35">
      <c r="A326" t="s">
        <v>642</v>
      </c>
      <c r="C326" t="str">
        <f t="shared" si="66"/>
        <v>3204</v>
      </c>
      <c r="D326" t="str">
        <f t="shared" si="67"/>
        <v>000f2f5c</v>
      </c>
      <c r="E326" t="str">
        <f t="shared" si="68"/>
        <v>00000000</v>
      </c>
      <c r="F326" t="str">
        <f t="shared" si="69"/>
        <v>00001111</v>
      </c>
      <c r="G326" t="str">
        <f t="shared" si="70"/>
        <v>00101111</v>
      </c>
      <c r="H326" t="str">
        <f t="shared" si="71"/>
        <v>01011100</v>
      </c>
      <c r="I326" t="str">
        <f t="shared" si="72"/>
        <v>00000000000011110010111101011100</v>
      </c>
      <c r="J326" t="str">
        <f t="shared" si="65"/>
        <v>f</v>
      </c>
      <c r="K326" t="str">
        <f t="shared" si="73"/>
        <v>101111</v>
      </c>
      <c r="L326" t="str">
        <f t="shared" si="74"/>
        <v>010111</v>
      </c>
      <c r="M326" t="str">
        <f>LOOKUP(J326,Lookups!$A$27:$A$42,Lookups!$B$27:$B$42)</f>
        <v>s</v>
      </c>
      <c r="N326">
        <f t="shared" si="75"/>
        <v>47</v>
      </c>
      <c r="O326">
        <f t="shared" si="76"/>
        <v>23</v>
      </c>
      <c r="P326">
        <f t="shared" si="77"/>
        <v>3031</v>
      </c>
    </row>
    <row r="327" spans="1:16" x14ac:dyDescent="0.35">
      <c r="A327" t="s">
        <v>643</v>
      </c>
      <c r="C327" t="str">
        <f t="shared" si="66"/>
        <v>3205</v>
      </c>
      <c r="D327" t="str">
        <f t="shared" si="67"/>
        <v>000b3240</v>
      </c>
      <c r="E327" t="str">
        <f t="shared" si="68"/>
        <v>00000000</v>
      </c>
      <c r="F327" t="str">
        <f t="shared" si="69"/>
        <v>00001011</v>
      </c>
      <c r="G327" t="str">
        <f t="shared" si="70"/>
        <v>00110010</v>
      </c>
      <c r="H327" t="str">
        <f t="shared" si="71"/>
        <v>01000000</v>
      </c>
      <c r="I327" t="str">
        <f t="shared" si="72"/>
        <v>00000000000010110011001001000000</v>
      </c>
      <c r="J327" t="str">
        <f t="shared" si="65"/>
        <v>b</v>
      </c>
      <c r="K327" t="str">
        <f t="shared" si="73"/>
        <v>110010</v>
      </c>
      <c r="L327" t="str">
        <f t="shared" si="74"/>
        <v>010000</v>
      </c>
      <c r="M327" t="str">
        <f>LOOKUP(J327,Lookups!$A$27:$A$42,Lookups!$B$27:$B$42)</f>
        <v>t</v>
      </c>
      <c r="N327">
        <f t="shared" si="75"/>
        <v>50</v>
      </c>
      <c r="O327">
        <f t="shared" si="76"/>
        <v>16</v>
      </c>
      <c r="P327">
        <f t="shared" si="77"/>
        <v>3216</v>
      </c>
    </row>
    <row r="328" spans="1:16" x14ac:dyDescent="0.35">
      <c r="A328" t="s">
        <v>644</v>
      </c>
      <c r="C328" t="str">
        <f t="shared" si="66"/>
        <v>3206</v>
      </c>
      <c r="D328" t="str">
        <f t="shared" si="67"/>
        <v>00033300</v>
      </c>
      <c r="E328" t="str">
        <f t="shared" si="68"/>
        <v>00000000</v>
      </c>
      <c r="F328" t="str">
        <f t="shared" si="69"/>
        <v>00000011</v>
      </c>
      <c r="G328" t="str">
        <f t="shared" si="70"/>
        <v>00110011</v>
      </c>
      <c r="H328" t="str">
        <f t="shared" si="71"/>
        <v>00000000</v>
      </c>
      <c r="I328" t="str">
        <f t="shared" si="72"/>
        <v>00000000000000110011001100000000</v>
      </c>
      <c r="J328" t="str">
        <f t="shared" si="65"/>
        <v>3</v>
      </c>
      <c r="K328" t="str">
        <f t="shared" si="73"/>
        <v>110011</v>
      </c>
      <c r="L328" t="str">
        <f t="shared" si="74"/>
        <v>000000</v>
      </c>
      <c r="M328" t="str">
        <f>LOOKUP(J328,Lookups!$A$27:$A$42,Lookups!$B$27:$B$42)</f>
        <v>r</v>
      </c>
      <c r="N328">
        <f t="shared" si="75"/>
        <v>51</v>
      </c>
      <c r="O328">
        <f t="shared" si="76"/>
        <v>0</v>
      </c>
      <c r="P328">
        <f t="shared" si="77"/>
        <v>3264</v>
      </c>
    </row>
    <row r="329" spans="1:16" x14ac:dyDescent="0.35">
      <c r="A329" t="s">
        <v>645</v>
      </c>
      <c r="C329" t="str">
        <f t="shared" si="66"/>
        <v>3207</v>
      </c>
      <c r="D329" t="str">
        <f t="shared" si="67"/>
        <v>000a3300</v>
      </c>
      <c r="E329" t="str">
        <f t="shared" si="68"/>
        <v>00000000</v>
      </c>
      <c r="F329" t="str">
        <f t="shared" si="69"/>
        <v>00001010</v>
      </c>
      <c r="G329" t="str">
        <f t="shared" si="70"/>
        <v>00110011</v>
      </c>
      <c r="H329" t="str">
        <f t="shared" si="71"/>
        <v>00000000</v>
      </c>
      <c r="I329" t="str">
        <f t="shared" si="72"/>
        <v>00000000000010100011001100000000</v>
      </c>
      <c r="J329" t="str">
        <f t="shared" si="65"/>
        <v>a</v>
      </c>
      <c r="K329" t="str">
        <f t="shared" si="73"/>
        <v>110011</v>
      </c>
      <c r="L329" t="str">
        <f t="shared" si="74"/>
        <v>000000</v>
      </c>
      <c r="M329" t="str">
        <f>LOOKUP(J329,Lookups!$A$27:$A$42,Lookups!$B$27:$B$42)</f>
        <v>u</v>
      </c>
      <c r="N329">
        <f t="shared" si="75"/>
        <v>51</v>
      </c>
      <c r="O329">
        <f t="shared" si="76"/>
        <v>0</v>
      </c>
      <c r="P329">
        <f t="shared" si="77"/>
        <v>3264</v>
      </c>
    </row>
    <row r="330" spans="1:16" x14ac:dyDescent="0.35">
      <c r="A330" t="s">
        <v>646</v>
      </c>
      <c r="C330" t="str">
        <f t="shared" si="66"/>
        <v>3208</v>
      </c>
      <c r="D330" t="str">
        <f t="shared" si="67"/>
        <v>30180a0c</v>
      </c>
      <c r="E330" t="str">
        <f t="shared" si="68"/>
        <v>00110000</v>
      </c>
      <c r="F330" t="str">
        <f t="shared" si="69"/>
        <v>00011000</v>
      </c>
      <c r="G330" t="str">
        <f t="shared" si="70"/>
        <v>00001010</v>
      </c>
      <c r="H330" t="str">
        <f t="shared" si="71"/>
        <v>00001100</v>
      </c>
      <c r="I330" t="str">
        <f t="shared" si="72"/>
        <v>00110000000110000000101000001100</v>
      </c>
      <c r="J330" t="str">
        <f t="shared" si="65"/>
        <v>8</v>
      </c>
      <c r="K330" t="str">
        <f t="shared" si="73"/>
        <v>001010</v>
      </c>
      <c r="L330" t="str">
        <f t="shared" si="74"/>
        <v>000011</v>
      </c>
      <c r="M330" t="str">
        <f>LOOKUP(J330,Lookups!$A$27:$A$42,Lookups!$B$27:$B$42)</f>
        <v>p</v>
      </c>
      <c r="N330">
        <f t="shared" si="75"/>
        <v>10</v>
      </c>
      <c r="O330">
        <f t="shared" si="76"/>
        <v>3</v>
      </c>
      <c r="P330">
        <f t="shared" si="77"/>
        <v>643</v>
      </c>
    </row>
    <row r="331" spans="1:16" x14ac:dyDescent="0.35">
      <c r="A331" t="s">
        <v>647</v>
      </c>
      <c r="C331" t="str">
        <f t="shared" si="66"/>
        <v>3209</v>
      </c>
      <c r="D331" t="str">
        <f t="shared" si="67"/>
        <v>726a6c64</v>
      </c>
      <c r="E331" t="str">
        <f t="shared" si="68"/>
        <v>01110010</v>
      </c>
      <c r="F331" t="str">
        <f t="shared" si="69"/>
        <v>01101010</v>
      </c>
      <c r="G331" t="str">
        <f t="shared" si="70"/>
        <v>01101100</v>
      </c>
      <c r="H331" t="str">
        <f t="shared" si="71"/>
        <v>01100100</v>
      </c>
      <c r="I331" t="str">
        <f t="shared" si="72"/>
        <v>01110010011010100110110001100100</v>
      </c>
      <c r="J331" t="str">
        <f t="shared" si="65"/>
        <v>a</v>
      </c>
      <c r="K331" t="str">
        <f t="shared" si="73"/>
        <v>101100</v>
      </c>
      <c r="L331" t="str">
        <f t="shared" si="74"/>
        <v>011001</v>
      </c>
      <c r="M331" t="str">
        <f>LOOKUP(J331,Lookups!$A$27:$A$42,Lookups!$B$27:$B$42)</f>
        <v>u</v>
      </c>
      <c r="N331">
        <f t="shared" si="75"/>
        <v>44</v>
      </c>
      <c r="O331">
        <f t="shared" si="76"/>
        <v>25</v>
      </c>
      <c r="P331">
        <f t="shared" si="77"/>
        <v>2841</v>
      </c>
    </row>
    <row r="332" spans="1:16" x14ac:dyDescent="0.35">
      <c r="A332" t="s">
        <v>648</v>
      </c>
      <c r="C332" t="str">
        <f t="shared" si="66"/>
        <v>3210</v>
      </c>
      <c r="D332" t="str">
        <f t="shared" si="67"/>
        <v>726a6c7e</v>
      </c>
      <c r="E332" t="str">
        <f t="shared" si="68"/>
        <v>01110010</v>
      </c>
      <c r="F332" t="str">
        <f t="shared" si="69"/>
        <v>01101010</v>
      </c>
      <c r="G332" t="str">
        <f t="shared" si="70"/>
        <v>01101100</v>
      </c>
      <c r="H332" t="str">
        <f t="shared" si="71"/>
        <v>01111110</v>
      </c>
      <c r="I332" t="str">
        <f t="shared" si="72"/>
        <v>01110010011010100110110001111110</v>
      </c>
      <c r="J332" t="str">
        <f t="shared" si="65"/>
        <v>a</v>
      </c>
      <c r="K332" t="str">
        <f t="shared" si="73"/>
        <v>101100</v>
      </c>
      <c r="L332" t="str">
        <f t="shared" si="74"/>
        <v>011111</v>
      </c>
      <c r="M332" t="str">
        <f>LOOKUP(J332,Lookups!$A$27:$A$42,Lookups!$B$27:$B$42)</f>
        <v>u</v>
      </c>
      <c r="N332">
        <f t="shared" si="75"/>
        <v>44</v>
      </c>
      <c r="O332">
        <f t="shared" si="76"/>
        <v>31</v>
      </c>
      <c r="P332">
        <f t="shared" si="77"/>
        <v>2847</v>
      </c>
    </row>
    <row r="333" spans="1:16" x14ac:dyDescent="0.35">
      <c r="A333" t="s">
        <v>649</v>
      </c>
      <c r="C333" t="str">
        <f t="shared" si="66"/>
        <v>3211</v>
      </c>
      <c r="D333" t="str">
        <f t="shared" si="67"/>
        <v>00080c00</v>
      </c>
      <c r="E333" t="str">
        <f t="shared" si="68"/>
        <v>00000000</v>
      </c>
      <c r="F333" t="str">
        <f t="shared" si="69"/>
        <v>00001000</v>
      </c>
      <c r="G333" t="str">
        <f t="shared" si="70"/>
        <v>00001100</v>
      </c>
      <c r="H333" t="str">
        <f t="shared" si="71"/>
        <v>00000000</v>
      </c>
      <c r="I333" t="str">
        <f t="shared" si="72"/>
        <v>00000000000010000000110000000000</v>
      </c>
      <c r="J333" t="str">
        <f t="shared" si="65"/>
        <v>8</v>
      </c>
      <c r="K333" t="str">
        <f t="shared" si="73"/>
        <v>001100</v>
      </c>
      <c r="L333" t="str">
        <f t="shared" si="74"/>
        <v>000000</v>
      </c>
      <c r="M333" t="str">
        <f>LOOKUP(J333,Lookups!$A$27:$A$42,Lookups!$B$27:$B$42)</f>
        <v>p</v>
      </c>
      <c r="N333">
        <f t="shared" si="75"/>
        <v>12</v>
      </c>
      <c r="O333">
        <f t="shared" si="76"/>
        <v>0</v>
      </c>
      <c r="P333">
        <f t="shared" si="77"/>
        <v>768</v>
      </c>
    </row>
    <row r="334" spans="1:16" x14ac:dyDescent="0.35">
      <c r="A334" t="s">
        <v>650</v>
      </c>
      <c r="C334" t="str">
        <f t="shared" si="66"/>
        <v>3212</v>
      </c>
      <c r="D334" t="str">
        <f t="shared" si="67"/>
        <v>000133b4</v>
      </c>
      <c r="E334" t="str">
        <f t="shared" si="68"/>
        <v>00000000</v>
      </c>
      <c r="F334" t="str">
        <f t="shared" si="69"/>
        <v>00000001</v>
      </c>
      <c r="G334" t="str">
        <f t="shared" si="70"/>
        <v>00110011</v>
      </c>
      <c r="H334" t="str">
        <f t="shared" si="71"/>
        <v>10110100</v>
      </c>
      <c r="I334" t="str">
        <f t="shared" si="72"/>
        <v>00000000000000010011001110110100</v>
      </c>
      <c r="J334" t="str">
        <f t="shared" si="65"/>
        <v>1</v>
      </c>
      <c r="K334" t="str">
        <f t="shared" si="73"/>
        <v>110011</v>
      </c>
      <c r="L334" t="str">
        <f t="shared" si="74"/>
        <v>101101</v>
      </c>
      <c r="M334" t="str">
        <f>LOOKUP(J334,Lookups!$A$27:$A$42,Lookups!$B$27:$B$42)</f>
        <v>b</v>
      </c>
      <c r="N334">
        <f t="shared" si="75"/>
        <v>51</v>
      </c>
      <c r="O334">
        <f t="shared" si="76"/>
        <v>45</v>
      </c>
      <c r="P334">
        <f t="shared" si="77"/>
        <v>3309</v>
      </c>
    </row>
    <row r="335" spans="1:16" x14ac:dyDescent="0.35">
      <c r="A335" t="s">
        <v>651</v>
      </c>
      <c r="C335" t="str">
        <f t="shared" si="66"/>
        <v>3213</v>
      </c>
      <c r="D335" t="str">
        <f t="shared" si="67"/>
        <v>000f2ea4</v>
      </c>
      <c r="E335" t="str">
        <f t="shared" si="68"/>
        <v>00000000</v>
      </c>
      <c r="F335" t="str">
        <f t="shared" si="69"/>
        <v>00001111</v>
      </c>
      <c r="G335" t="str">
        <f t="shared" si="70"/>
        <v>00101110</v>
      </c>
      <c r="H335" t="str">
        <f t="shared" si="71"/>
        <v>10100100</v>
      </c>
      <c r="I335" t="str">
        <f t="shared" si="72"/>
        <v>00000000000011110010111010100100</v>
      </c>
      <c r="J335" t="str">
        <f t="shared" si="65"/>
        <v>f</v>
      </c>
      <c r="K335" t="str">
        <f t="shared" si="73"/>
        <v>101110</v>
      </c>
      <c r="L335" t="str">
        <f t="shared" si="74"/>
        <v>101001</v>
      </c>
      <c r="M335" t="str">
        <f>LOOKUP(J335,Lookups!$A$27:$A$42,Lookups!$B$27:$B$42)</f>
        <v>s</v>
      </c>
      <c r="N335">
        <f t="shared" si="75"/>
        <v>46</v>
      </c>
      <c r="O335">
        <f t="shared" si="76"/>
        <v>41</v>
      </c>
      <c r="P335">
        <f t="shared" si="77"/>
        <v>2985</v>
      </c>
    </row>
    <row r="336" spans="1:16" x14ac:dyDescent="0.35">
      <c r="A336" t="s">
        <v>652</v>
      </c>
      <c r="C336" t="str">
        <f t="shared" si="66"/>
        <v>3214</v>
      </c>
      <c r="D336" t="str">
        <f t="shared" si="67"/>
        <v>000b33f4</v>
      </c>
      <c r="E336" t="str">
        <f t="shared" si="68"/>
        <v>00000000</v>
      </c>
      <c r="F336" t="str">
        <f t="shared" si="69"/>
        <v>00001011</v>
      </c>
      <c r="G336" t="str">
        <f t="shared" si="70"/>
        <v>00110011</v>
      </c>
      <c r="H336" t="str">
        <f t="shared" si="71"/>
        <v>11110100</v>
      </c>
      <c r="I336" t="str">
        <f t="shared" si="72"/>
        <v>00000000000010110011001111110100</v>
      </c>
      <c r="J336" t="str">
        <f t="shared" si="65"/>
        <v>b</v>
      </c>
      <c r="K336" t="str">
        <f t="shared" si="73"/>
        <v>110011</v>
      </c>
      <c r="L336" t="str">
        <f t="shared" si="74"/>
        <v>111101</v>
      </c>
      <c r="M336" t="str">
        <f>LOOKUP(J336,Lookups!$A$27:$A$42,Lookups!$B$27:$B$42)</f>
        <v>t</v>
      </c>
      <c r="N336">
        <f t="shared" si="75"/>
        <v>51</v>
      </c>
      <c r="O336">
        <f t="shared" si="76"/>
        <v>61</v>
      </c>
      <c r="P336">
        <f t="shared" si="77"/>
        <v>3325</v>
      </c>
    </row>
    <row r="337" spans="1:16" x14ac:dyDescent="0.35">
      <c r="A337" t="s">
        <v>653</v>
      </c>
      <c r="C337" t="str">
        <f t="shared" si="66"/>
        <v>3215</v>
      </c>
      <c r="D337" t="str">
        <f t="shared" si="67"/>
        <v>000a33e8</v>
      </c>
      <c r="E337" t="str">
        <f t="shared" si="68"/>
        <v>00000000</v>
      </c>
      <c r="F337" t="str">
        <f t="shared" si="69"/>
        <v>00001010</v>
      </c>
      <c r="G337" t="str">
        <f t="shared" si="70"/>
        <v>00110011</v>
      </c>
      <c r="H337" t="str">
        <f t="shared" si="71"/>
        <v>11101000</v>
      </c>
      <c r="I337" t="str">
        <f t="shared" si="72"/>
        <v>00000000000010100011001111101000</v>
      </c>
      <c r="J337" t="str">
        <f t="shared" si="65"/>
        <v>a</v>
      </c>
      <c r="K337" t="str">
        <f t="shared" si="73"/>
        <v>110011</v>
      </c>
      <c r="L337" t="str">
        <f t="shared" si="74"/>
        <v>111010</v>
      </c>
      <c r="M337" t="str">
        <f>LOOKUP(J337,Lookups!$A$27:$A$42,Lookups!$B$27:$B$42)</f>
        <v>u</v>
      </c>
      <c r="N337">
        <f t="shared" si="75"/>
        <v>51</v>
      </c>
      <c r="O337">
        <f t="shared" si="76"/>
        <v>58</v>
      </c>
      <c r="P337">
        <f t="shared" si="77"/>
        <v>3322</v>
      </c>
    </row>
    <row r="338" spans="1:16" x14ac:dyDescent="0.35">
      <c r="A338" t="s">
        <v>654</v>
      </c>
      <c r="C338" t="str">
        <f t="shared" si="66"/>
        <v>3216</v>
      </c>
      <c r="D338" t="str">
        <f t="shared" si="67"/>
        <v>00033300</v>
      </c>
      <c r="E338" t="str">
        <f t="shared" si="68"/>
        <v>00000000</v>
      </c>
      <c r="F338" t="str">
        <f t="shared" si="69"/>
        <v>00000011</v>
      </c>
      <c r="G338" t="str">
        <f t="shared" si="70"/>
        <v>00110011</v>
      </c>
      <c r="H338" t="str">
        <f t="shared" si="71"/>
        <v>00000000</v>
      </c>
      <c r="I338" t="str">
        <f t="shared" si="72"/>
        <v>00000000000000110011001100000000</v>
      </c>
      <c r="J338" t="str">
        <f t="shared" si="65"/>
        <v>3</v>
      </c>
      <c r="K338" t="str">
        <f t="shared" si="73"/>
        <v>110011</v>
      </c>
      <c r="L338" t="str">
        <f t="shared" si="74"/>
        <v>000000</v>
      </c>
      <c r="M338" t="str">
        <f>LOOKUP(J338,Lookups!$A$27:$A$42,Lookups!$B$27:$B$42)</f>
        <v>r</v>
      </c>
      <c r="N338">
        <f t="shared" si="75"/>
        <v>51</v>
      </c>
      <c r="O338">
        <f t="shared" si="76"/>
        <v>0</v>
      </c>
      <c r="P338">
        <f t="shared" si="77"/>
        <v>3264</v>
      </c>
    </row>
    <row r="339" spans="1:16" x14ac:dyDescent="0.35">
      <c r="A339" t="s">
        <v>655</v>
      </c>
      <c r="C339" t="str">
        <f t="shared" si="66"/>
        <v>3217</v>
      </c>
      <c r="D339" t="str">
        <f t="shared" si="67"/>
        <v>000a3300</v>
      </c>
      <c r="E339" t="str">
        <f t="shared" si="68"/>
        <v>00000000</v>
      </c>
      <c r="F339" t="str">
        <f t="shared" si="69"/>
        <v>00001010</v>
      </c>
      <c r="G339" t="str">
        <f t="shared" si="70"/>
        <v>00110011</v>
      </c>
      <c r="H339" t="str">
        <f t="shared" si="71"/>
        <v>00000000</v>
      </c>
      <c r="I339" t="str">
        <f t="shared" si="72"/>
        <v>00000000000010100011001100000000</v>
      </c>
      <c r="J339" t="str">
        <f t="shared" si="65"/>
        <v>a</v>
      </c>
      <c r="K339" t="str">
        <f t="shared" si="73"/>
        <v>110011</v>
      </c>
      <c r="L339" t="str">
        <f t="shared" si="74"/>
        <v>000000</v>
      </c>
      <c r="M339" t="str">
        <f>LOOKUP(J339,Lookups!$A$27:$A$42,Lookups!$B$27:$B$42)</f>
        <v>u</v>
      </c>
      <c r="N339">
        <f t="shared" si="75"/>
        <v>51</v>
      </c>
      <c r="O339">
        <f t="shared" si="76"/>
        <v>0</v>
      </c>
      <c r="P339">
        <f t="shared" si="77"/>
        <v>3264</v>
      </c>
    </row>
    <row r="340" spans="1:16" x14ac:dyDescent="0.35">
      <c r="A340" t="s">
        <v>656</v>
      </c>
      <c r="C340" t="str">
        <f t="shared" si="66"/>
        <v>3218</v>
      </c>
      <c r="D340" t="str">
        <f t="shared" si="67"/>
        <v>30185a46</v>
      </c>
      <c r="E340" t="str">
        <f t="shared" si="68"/>
        <v>00110000</v>
      </c>
      <c r="F340" t="str">
        <f t="shared" si="69"/>
        <v>00011000</v>
      </c>
      <c r="G340" t="str">
        <f t="shared" si="70"/>
        <v>01011010</v>
      </c>
      <c r="H340" t="str">
        <f t="shared" si="71"/>
        <v>01000110</v>
      </c>
      <c r="I340" t="str">
        <f t="shared" si="72"/>
        <v>00110000000110000101101001000110</v>
      </c>
      <c r="J340" t="str">
        <f t="shared" si="65"/>
        <v>8</v>
      </c>
      <c r="K340" t="str">
        <f t="shared" si="73"/>
        <v>011010</v>
      </c>
      <c r="L340" t="str">
        <f t="shared" si="74"/>
        <v>010001</v>
      </c>
      <c r="M340" t="str">
        <f>LOOKUP(J340,Lookups!$A$27:$A$42,Lookups!$B$27:$B$42)</f>
        <v>p</v>
      </c>
      <c r="N340">
        <f t="shared" si="75"/>
        <v>26</v>
      </c>
      <c r="O340">
        <f t="shared" si="76"/>
        <v>17</v>
      </c>
      <c r="P340">
        <f t="shared" si="77"/>
        <v>1681</v>
      </c>
    </row>
    <row r="341" spans="1:16" x14ac:dyDescent="0.35">
      <c r="A341" t="s">
        <v>657</v>
      </c>
      <c r="C341" t="str">
        <f t="shared" si="66"/>
        <v>3219</v>
      </c>
      <c r="D341" t="str">
        <f t="shared" si="67"/>
        <v>5a720c06</v>
      </c>
      <c r="E341" t="str">
        <f t="shared" si="68"/>
        <v>01011010</v>
      </c>
      <c r="F341" t="str">
        <f t="shared" si="69"/>
        <v>01110010</v>
      </c>
      <c r="G341" t="str">
        <f t="shared" si="70"/>
        <v>00001100</v>
      </c>
      <c r="H341" t="str">
        <f t="shared" si="71"/>
        <v>00000110</v>
      </c>
      <c r="I341" t="str">
        <f t="shared" si="72"/>
        <v>01011010011100100000110000000110</v>
      </c>
      <c r="J341" t="str">
        <f t="shared" si="65"/>
        <v>2</v>
      </c>
      <c r="K341" t="str">
        <f t="shared" si="73"/>
        <v>001100</v>
      </c>
      <c r="L341" t="str">
        <f t="shared" si="74"/>
        <v>000001</v>
      </c>
      <c r="M341" t="str">
        <f>LOOKUP(J341,Lookups!$A$27:$A$42,Lookups!$B$27:$B$42)</f>
        <v>y</v>
      </c>
      <c r="N341">
        <f t="shared" si="75"/>
        <v>12</v>
      </c>
      <c r="O341">
        <f t="shared" si="76"/>
        <v>1</v>
      </c>
      <c r="P341">
        <f t="shared" si="77"/>
        <v>769</v>
      </c>
    </row>
    <row r="342" spans="1:16" x14ac:dyDescent="0.35">
      <c r="A342" t="s">
        <v>658</v>
      </c>
      <c r="C342" t="str">
        <f t="shared" si="66"/>
        <v>3220</v>
      </c>
      <c r="D342" t="str">
        <f t="shared" si="67"/>
        <v>0e067e7e</v>
      </c>
      <c r="E342" t="str">
        <f t="shared" si="68"/>
        <v>00001110</v>
      </c>
      <c r="F342" t="str">
        <f t="shared" si="69"/>
        <v>00000110</v>
      </c>
      <c r="G342" t="str">
        <f t="shared" si="70"/>
        <v>01111110</v>
      </c>
      <c r="H342" t="str">
        <f t="shared" si="71"/>
        <v>01111110</v>
      </c>
      <c r="I342" t="str">
        <f t="shared" si="72"/>
        <v>00001110000001100111111001111110</v>
      </c>
      <c r="J342" t="str">
        <f t="shared" si="65"/>
        <v>6</v>
      </c>
      <c r="K342" t="str">
        <f t="shared" si="73"/>
        <v>111110</v>
      </c>
      <c r="L342" t="str">
        <f t="shared" si="74"/>
        <v>011111</v>
      </c>
      <c r="M342" t="str">
        <f>LOOKUP(J342,Lookups!$A$27:$A$42,Lookups!$B$27:$B$42)</f>
        <v>n</v>
      </c>
      <c r="N342">
        <f t="shared" si="75"/>
        <v>62</v>
      </c>
      <c r="O342">
        <f t="shared" si="76"/>
        <v>31</v>
      </c>
      <c r="P342">
        <f t="shared" si="77"/>
        <v>3999</v>
      </c>
    </row>
    <row r="343" spans="1:16" x14ac:dyDescent="0.35">
      <c r="A343" t="s">
        <v>659</v>
      </c>
      <c r="C343" t="str">
        <f t="shared" si="66"/>
        <v>3221</v>
      </c>
      <c r="D343" t="str">
        <f t="shared" si="67"/>
        <v>00013274</v>
      </c>
      <c r="E343" t="str">
        <f t="shared" si="68"/>
        <v>00000000</v>
      </c>
      <c r="F343" t="str">
        <f t="shared" si="69"/>
        <v>00000001</v>
      </c>
      <c r="G343" t="str">
        <f t="shared" si="70"/>
        <v>00110010</v>
      </c>
      <c r="H343" t="str">
        <f t="shared" si="71"/>
        <v>01110100</v>
      </c>
      <c r="I343" t="str">
        <f t="shared" si="72"/>
        <v>00000000000000010011001001110100</v>
      </c>
      <c r="J343" t="str">
        <f t="shared" si="65"/>
        <v>1</v>
      </c>
      <c r="K343" t="str">
        <f t="shared" si="73"/>
        <v>110010</v>
      </c>
      <c r="L343" t="str">
        <f t="shared" si="74"/>
        <v>011101</v>
      </c>
      <c r="M343" t="str">
        <f>LOOKUP(J343,Lookups!$A$27:$A$42,Lookups!$B$27:$B$42)</f>
        <v>b</v>
      </c>
      <c r="N343">
        <f t="shared" si="75"/>
        <v>50</v>
      </c>
      <c r="O343">
        <f t="shared" si="76"/>
        <v>29</v>
      </c>
      <c r="P343">
        <f t="shared" si="77"/>
        <v>3229</v>
      </c>
    </row>
    <row r="344" spans="1:16" x14ac:dyDescent="0.35">
      <c r="A344" t="s">
        <v>660</v>
      </c>
      <c r="C344" t="str">
        <f t="shared" si="66"/>
        <v>3222</v>
      </c>
      <c r="D344" t="str">
        <f t="shared" si="67"/>
        <v>000332b8</v>
      </c>
      <c r="E344" t="str">
        <f t="shared" si="68"/>
        <v>00000000</v>
      </c>
      <c r="F344" t="str">
        <f t="shared" si="69"/>
        <v>00000011</v>
      </c>
      <c r="G344" t="str">
        <f t="shared" si="70"/>
        <v>00110010</v>
      </c>
      <c r="H344" t="str">
        <f t="shared" si="71"/>
        <v>10111000</v>
      </c>
      <c r="I344" t="str">
        <f t="shared" si="72"/>
        <v>00000000000000110011001010111000</v>
      </c>
      <c r="J344" t="str">
        <f t="shared" si="65"/>
        <v>3</v>
      </c>
      <c r="K344" t="str">
        <f t="shared" si="73"/>
        <v>110010</v>
      </c>
      <c r="L344" t="str">
        <f t="shared" si="74"/>
        <v>101110</v>
      </c>
      <c r="M344" t="str">
        <f>LOOKUP(J344,Lookups!$A$27:$A$42,Lookups!$B$27:$B$42)</f>
        <v>r</v>
      </c>
      <c r="N344">
        <f t="shared" si="75"/>
        <v>50</v>
      </c>
      <c r="O344">
        <f t="shared" si="76"/>
        <v>46</v>
      </c>
      <c r="P344">
        <f t="shared" si="77"/>
        <v>3246</v>
      </c>
    </row>
    <row r="345" spans="1:16" x14ac:dyDescent="0.35">
      <c r="A345" t="s">
        <v>661</v>
      </c>
      <c r="C345" t="str">
        <f t="shared" si="66"/>
        <v>3223</v>
      </c>
      <c r="D345" t="str">
        <f t="shared" si="67"/>
        <v>000a3280</v>
      </c>
      <c r="E345" t="str">
        <f t="shared" si="68"/>
        <v>00000000</v>
      </c>
      <c r="F345" t="str">
        <f t="shared" si="69"/>
        <v>00001010</v>
      </c>
      <c r="G345" t="str">
        <f t="shared" si="70"/>
        <v>00110010</v>
      </c>
      <c r="H345" t="str">
        <f t="shared" si="71"/>
        <v>10000000</v>
      </c>
      <c r="I345" t="str">
        <f t="shared" si="72"/>
        <v>00000000000010100011001010000000</v>
      </c>
      <c r="J345" t="str">
        <f t="shared" si="65"/>
        <v>a</v>
      </c>
      <c r="K345" t="str">
        <f t="shared" si="73"/>
        <v>110010</v>
      </c>
      <c r="L345" t="str">
        <f t="shared" si="74"/>
        <v>100000</v>
      </c>
      <c r="M345" t="str">
        <f>LOOKUP(J345,Lookups!$A$27:$A$42,Lookups!$B$27:$B$42)</f>
        <v>u</v>
      </c>
      <c r="N345">
        <f t="shared" si="75"/>
        <v>50</v>
      </c>
      <c r="O345">
        <f t="shared" si="76"/>
        <v>32</v>
      </c>
      <c r="P345">
        <f t="shared" si="77"/>
        <v>3232</v>
      </c>
    </row>
    <row r="346" spans="1:16" x14ac:dyDescent="0.35">
      <c r="A346" t="s">
        <v>662</v>
      </c>
      <c r="C346" t="str">
        <f t="shared" si="66"/>
        <v>3224</v>
      </c>
      <c r="D346" t="str">
        <f t="shared" si="67"/>
        <v>00080c00</v>
      </c>
      <c r="E346" t="str">
        <f t="shared" si="68"/>
        <v>00000000</v>
      </c>
      <c r="F346" t="str">
        <f t="shared" si="69"/>
        <v>00001000</v>
      </c>
      <c r="G346" t="str">
        <f t="shared" si="70"/>
        <v>00001100</v>
      </c>
      <c r="H346" t="str">
        <f t="shared" si="71"/>
        <v>00000000</v>
      </c>
      <c r="I346" t="str">
        <f t="shared" si="72"/>
        <v>00000000000010000000110000000000</v>
      </c>
      <c r="J346" t="str">
        <f t="shared" si="65"/>
        <v>8</v>
      </c>
      <c r="K346" t="str">
        <f t="shared" si="73"/>
        <v>001100</v>
      </c>
      <c r="L346" t="str">
        <f t="shared" si="74"/>
        <v>000000</v>
      </c>
      <c r="M346" t="str">
        <f>LOOKUP(J346,Lookups!$A$27:$A$42,Lookups!$B$27:$B$42)</f>
        <v>p</v>
      </c>
      <c r="N346">
        <f t="shared" si="75"/>
        <v>12</v>
      </c>
      <c r="O346">
        <f t="shared" si="76"/>
        <v>0</v>
      </c>
      <c r="P346">
        <f t="shared" si="77"/>
        <v>768</v>
      </c>
    </row>
    <row r="347" spans="1:16" x14ac:dyDescent="0.35">
      <c r="A347" t="s">
        <v>663</v>
      </c>
      <c r="C347" t="str">
        <f t="shared" si="66"/>
        <v>3225</v>
      </c>
      <c r="D347" t="str">
        <f t="shared" si="67"/>
        <v>000a3160</v>
      </c>
      <c r="E347" t="str">
        <f t="shared" si="68"/>
        <v>00000000</v>
      </c>
      <c r="F347" t="str">
        <f t="shared" si="69"/>
        <v>00001010</v>
      </c>
      <c r="G347" t="str">
        <f t="shared" si="70"/>
        <v>00110001</v>
      </c>
      <c r="H347" t="str">
        <f t="shared" si="71"/>
        <v>01100000</v>
      </c>
      <c r="I347" t="str">
        <f t="shared" si="72"/>
        <v>00000000000010100011000101100000</v>
      </c>
      <c r="J347" t="str">
        <f t="shared" si="65"/>
        <v>a</v>
      </c>
      <c r="K347" t="str">
        <f t="shared" si="73"/>
        <v>110001</v>
      </c>
      <c r="L347" t="str">
        <f t="shared" si="74"/>
        <v>011000</v>
      </c>
      <c r="M347" t="str">
        <f>LOOKUP(J347,Lookups!$A$27:$A$42,Lookups!$B$27:$B$42)</f>
        <v>u</v>
      </c>
      <c r="N347">
        <f t="shared" si="75"/>
        <v>49</v>
      </c>
      <c r="O347">
        <f t="shared" si="76"/>
        <v>24</v>
      </c>
      <c r="P347">
        <f t="shared" si="77"/>
        <v>3160</v>
      </c>
    </row>
    <row r="348" spans="1:16" x14ac:dyDescent="0.35">
      <c r="A348" t="s">
        <v>664</v>
      </c>
      <c r="C348" t="str">
        <f t="shared" si="66"/>
        <v>3226</v>
      </c>
      <c r="D348" t="str">
        <f t="shared" si="67"/>
        <v>00013278</v>
      </c>
      <c r="E348" t="str">
        <f t="shared" si="68"/>
        <v>00000000</v>
      </c>
      <c r="F348" t="str">
        <f t="shared" si="69"/>
        <v>00000001</v>
      </c>
      <c r="G348" t="str">
        <f t="shared" si="70"/>
        <v>00110010</v>
      </c>
      <c r="H348" t="str">
        <f t="shared" si="71"/>
        <v>01111000</v>
      </c>
      <c r="I348" t="str">
        <f t="shared" si="72"/>
        <v>00000000000000010011001001111000</v>
      </c>
      <c r="J348" t="str">
        <f t="shared" si="65"/>
        <v>1</v>
      </c>
      <c r="K348" t="str">
        <f t="shared" si="73"/>
        <v>110010</v>
      </c>
      <c r="L348" t="str">
        <f t="shared" si="74"/>
        <v>011110</v>
      </c>
      <c r="M348" t="str">
        <f>LOOKUP(J348,Lookups!$A$27:$A$42,Lookups!$B$27:$B$42)</f>
        <v>b</v>
      </c>
      <c r="N348">
        <f t="shared" si="75"/>
        <v>50</v>
      </c>
      <c r="O348">
        <f t="shared" si="76"/>
        <v>30</v>
      </c>
      <c r="P348">
        <f t="shared" si="77"/>
        <v>3230</v>
      </c>
    </row>
    <row r="349" spans="1:16" x14ac:dyDescent="0.35">
      <c r="A349" t="s">
        <v>665</v>
      </c>
      <c r="C349" t="str">
        <f t="shared" si="66"/>
        <v>3227</v>
      </c>
      <c r="D349" t="str">
        <f t="shared" si="67"/>
        <v>000e2e8c</v>
      </c>
      <c r="E349" t="str">
        <f t="shared" si="68"/>
        <v>00000000</v>
      </c>
      <c r="F349" t="str">
        <f t="shared" si="69"/>
        <v>00001110</v>
      </c>
      <c r="G349" t="str">
        <f t="shared" si="70"/>
        <v>00101110</v>
      </c>
      <c r="H349" t="str">
        <f t="shared" si="71"/>
        <v>10001100</v>
      </c>
      <c r="I349" t="str">
        <f t="shared" si="72"/>
        <v>00000000000011100010111010001100</v>
      </c>
      <c r="J349" t="str">
        <f t="shared" si="65"/>
        <v>e</v>
      </c>
      <c r="K349" t="str">
        <f t="shared" si="73"/>
        <v>101110</v>
      </c>
      <c r="L349" t="str">
        <f t="shared" si="74"/>
        <v>100011</v>
      </c>
      <c r="M349" t="str">
        <f>LOOKUP(J349,Lookups!$A$27:$A$42,Lookups!$B$27:$B$42)</f>
        <v>a</v>
      </c>
      <c r="N349">
        <f t="shared" si="75"/>
        <v>46</v>
      </c>
      <c r="O349">
        <f t="shared" si="76"/>
        <v>35</v>
      </c>
      <c r="P349">
        <f t="shared" si="77"/>
        <v>2979</v>
      </c>
    </row>
    <row r="350" spans="1:16" x14ac:dyDescent="0.35">
      <c r="A350" t="s">
        <v>666</v>
      </c>
      <c r="C350" t="str">
        <f t="shared" si="66"/>
        <v>3228</v>
      </c>
      <c r="D350" t="str">
        <f t="shared" si="67"/>
        <v>000a3174</v>
      </c>
      <c r="E350" t="str">
        <f t="shared" si="68"/>
        <v>00000000</v>
      </c>
      <c r="F350" t="str">
        <f t="shared" si="69"/>
        <v>00001010</v>
      </c>
      <c r="G350" t="str">
        <f t="shared" si="70"/>
        <v>00110001</v>
      </c>
      <c r="H350" t="str">
        <f t="shared" si="71"/>
        <v>01110100</v>
      </c>
      <c r="I350" t="str">
        <f t="shared" si="72"/>
        <v>00000000000010100011000101110100</v>
      </c>
      <c r="J350" t="str">
        <f t="shared" si="65"/>
        <v>a</v>
      </c>
      <c r="K350" t="str">
        <f t="shared" si="73"/>
        <v>110001</v>
      </c>
      <c r="L350" t="str">
        <f t="shared" si="74"/>
        <v>011101</v>
      </c>
      <c r="M350" t="str">
        <f>LOOKUP(J350,Lookups!$A$27:$A$42,Lookups!$B$27:$B$42)</f>
        <v>u</v>
      </c>
      <c r="N350">
        <f t="shared" si="75"/>
        <v>49</v>
      </c>
      <c r="O350">
        <f t="shared" si="76"/>
        <v>29</v>
      </c>
      <c r="P350">
        <f t="shared" si="77"/>
        <v>3165</v>
      </c>
    </row>
    <row r="351" spans="1:16" x14ac:dyDescent="0.35">
      <c r="A351" t="s">
        <v>667</v>
      </c>
      <c r="C351" t="str">
        <f t="shared" si="66"/>
        <v>3229</v>
      </c>
      <c r="D351" t="str">
        <f t="shared" si="67"/>
        <v>00000050</v>
      </c>
      <c r="E351" t="str">
        <f t="shared" si="68"/>
        <v>00000000</v>
      </c>
      <c r="F351" t="str">
        <f t="shared" si="69"/>
        <v>00000000</v>
      </c>
      <c r="G351" t="str">
        <f t="shared" si="70"/>
        <v>00000000</v>
      </c>
      <c r="H351" t="str">
        <f t="shared" si="71"/>
        <v>01010000</v>
      </c>
      <c r="I351" t="str">
        <f t="shared" si="72"/>
        <v>00000000000000000000000001010000</v>
      </c>
      <c r="J351" t="str">
        <f t="shared" si="65"/>
        <v>0</v>
      </c>
      <c r="K351" t="str">
        <f t="shared" si="73"/>
        <v>000000</v>
      </c>
      <c r="L351" t="str">
        <f t="shared" si="74"/>
        <v>010100</v>
      </c>
      <c r="M351" t="str">
        <f>LOOKUP(J351,Lookups!$A$27:$A$42,Lookups!$B$27:$B$42)</f>
        <v>z</v>
      </c>
      <c r="N351">
        <f t="shared" si="75"/>
        <v>0</v>
      </c>
      <c r="O351">
        <f t="shared" si="76"/>
        <v>20</v>
      </c>
      <c r="P351">
        <f t="shared" si="77"/>
        <v>20</v>
      </c>
    </row>
    <row r="352" spans="1:16" x14ac:dyDescent="0.35">
      <c r="A352" t="s">
        <v>668</v>
      </c>
      <c r="C352" t="str">
        <f t="shared" si="66"/>
        <v>3230</v>
      </c>
      <c r="D352" t="str">
        <f t="shared" si="67"/>
        <v>ffffffe8</v>
      </c>
      <c r="E352" t="str">
        <f t="shared" si="68"/>
        <v>11111111</v>
      </c>
      <c r="F352" t="str">
        <f t="shared" si="69"/>
        <v>11111111</v>
      </c>
      <c r="G352" t="str">
        <f t="shared" si="70"/>
        <v>11111111</v>
      </c>
      <c r="H352" t="str">
        <f t="shared" si="71"/>
        <v>11101000</v>
      </c>
      <c r="I352" t="str">
        <f t="shared" si="72"/>
        <v>11111111111111111111111111101000</v>
      </c>
      <c r="J352" t="str">
        <f t="shared" si="65"/>
        <v>f</v>
      </c>
      <c r="K352" t="str">
        <f t="shared" si="73"/>
        <v>111111</v>
      </c>
      <c r="L352" t="str">
        <f t="shared" si="74"/>
        <v>111010</v>
      </c>
      <c r="M352" t="str">
        <f>LOOKUP(J352,Lookups!$A$27:$A$42,Lookups!$B$27:$B$42)</f>
        <v>s</v>
      </c>
      <c r="N352">
        <f t="shared" si="75"/>
        <v>63</v>
      </c>
      <c r="O352">
        <f t="shared" si="76"/>
        <v>58</v>
      </c>
      <c r="P352">
        <f t="shared" si="77"/>
        <v>4090</v>
      </c>
    </row>
    <row r="353" spans="1:16" x14ac:dyDescent="0.35">
      <c r="A353" t="s">
        <v>669</v>
      </c>
      <c r="C353" t="str">
        <f t="shared" si="66"/>
        <v>3231</v>
      </c>
      <c r="D353" t="str">
        <f t="shared" si="67"/>
        <v>00000000</v>
      </c>
      <c r="E353" t="str">
        <f t="shared" si="68"/>
        <v>00000000</v>
      </c>
      <c r="F353" t="str">
        <f t="shared" si="69"/>
        <v>00000000</v>
      </c>
      <c r="G353" t="str">
        <f t="shared" si="70"/>
        <v>00000000</v>
      </c>
      <c r="H353" t="str">
        <f t="shared" si="71"/>
        <v>00000000</v>
      </c>
      <c r="I353" t="str">
        <f t="shared" si="72"/>
        <v>00000000000000000000000000000000</v>
      </c>
      <c r="J353" t="str">
        <f t="shared" si="65"/>
        <v>0</v>
      </c>
      <c r="K353" t="str">
        <f t="shared" si="73"/>
        <v>000000</v>
      </c>
      <c r="L353" t="str">
        <f t="shared" si="74"/>
        <v>000000</v>
      </c>
      <c r="M353" t="str">
        <f>LOOKUP(J353,Lookups!$A$27:$A$42,Lookups!$B$27:$B$42)</f>
        <v>z</v>
      </c>
      <c r="N353">
        <f t="shared" si="75"/>
        <v>0</v>
      </c>
      <c r="O353">
        <f t="shared" si="76"/>
        <v>0</v>
      </c>
      <c r="P353">
        <f t="shared" si="77"/>
        <v>0</v>
      </c>
    </row>
    <row r="354" spans="1:16" x14ac:dyDescent="0.35">
      <c r="A354" t="s">
        <v>670</v>
      </c>
      <c r="C354" t="str">
        <f t="shared" si="66"/>
        <v>3232</v>
      </c>
      <c r="D354" t="str">
        <f t="shared" si="67"/>
        <v>000f2fc4</v>
      </c>
      <c r="E354" t="str">
        <f t="shared" si="68"/>
        <v>00000000</v>
      </c>
      <c r="F354" t="str">
        <f t="shared" si="69"/>
        <v>00001111</v>
      </c>
      <c r="G354" t="str">
        <f t="shared" si="70"/>
        <v>00101111</v>
      </c>
      <c r="H354" t="str">
        <f t="shared" si="71"/>
        <v>11000100</v>
      </c>
      <c r="I354" t="str">
        <f t="shared" si="72"/>
        <v>00000000000011110010111111000100</v>
      </c>
      <c r="J354" t="str">
        <f t="shared" si="65"/>
        <v>f</v>
      </c>
      <c r="K354" t="str">
        <f t="shared" si="73"/>
        <v>101111</v>
      </c>
      <c r="L354" t="str">
        <f t="shared" si="74"/>
        <v>110001</v>
      </c>
      <c r="M354" t="str">
        <f>LOOKUP(J354,Lookups!$A$27:$A$42,Lookups!$B$27:$B$42)</f>
        <v>s</v>
      </c>
      <c r="N354">
        <f t="shared" si="75"/>
        <v>47</v>
      </c>
      <c r="O354">
        <f t="shared" si="76"/>
        <v>49</v>
      </c>
      <c r="P354">
        <f t="shared" si="77"/>
        <v>3057</v>
      </c>
    </row>
    <row r="355" spans="1:16" x14ac:dyDescent="0.35">
      <c r="A355" t="s">
        <v>671</v>
      </c>
      <c r="C355" t="str">
        <f t="shared" si="66"/>
        <v>3233</v>
      </c>
      <c r="D355" t="str">
        <f t="shared" si="67"/>
        <v>000b32a0</v>
      </c>
      <c r="E355" t="str">
        <f t="shared" si="68"/>
        <v>00000000</v>
      </c>
      <c r="F355" t="str">
        <f t="shared" si="69"/>
        <v>00001011</v>
      </c>
      <c r="G355" t="str">
        <f t="shared" si="70"/>
        <v>00110010</v>
      </c>
      <c r="H355" t="str">
        <f t="shared" si="71"/>
        <v>10100000</v>
      </c>
      <c r="I355" t="str">
        <f t="shared" si="72"/>
        <v>00000000000010110011001010100000</v>
      </c>
      <c r="J355" t="str">
        <f t="shared" si="65"/>
        <v>b</v>
      </c>
      <c r="K355" t="str">
        <f t="shared" si="73"/>
        <v>110010</v>
      </c>
      <c r="L355" t="str">
        <f t="shared" si="74"/>
        <v>101000</v>
      </c>
      <c r="M355" t="str">
        <f>LOOKUP(J355,Lookups!$A$27:$A$42,Lookups!$B$27:$B$42)</f>
        <v>t</v>
      </c>
      <c r="N355">
        <f t="shared" si="75"/>
        <v>50</v>
      </c>
      <c r="O355">
        <f t="shared" si="76"/>
        <v>40</v>
      </c>
      <c r="P355">
        <f t="shared" si="77"/>
        <v>3240</v>
      </c>
    </row>
    <row r="356" spans="1:16" x14ac:dyDescent="0.35">
      <c r="A356" t="s">
        <v>672</v>
      </c>
      <c r="C356" t="str">
        <f t="shared" si="66"/>
        <v>3234</v>
      </c>
      <c r="D356" t="str">
        <f t="shared" si="67"/>
        <v>000f2fc4</v>
      </c>
      <c r="E356" t="str">
        <f t="shared" si="68"/>
        <v>00000000</v>
      </c>
      <c r="F356" t="str">
        <f t="shared" si="69"/>
        <v>00001111</v>
      </c>
      <c r="G356" t="str">
        <f t="shared" si="70"/>
        <v>00101111</v>
      </c>
      <c r="H356" t="str">
        <f t="shared" si="71"/>
        <v>11000100</v>
      </c>
      <c r="I356" t="str">
        <f t="shared" si="72"/>
        <v>00000000000011110010111111000100</v>
      </c>
      <c r="J356" t="str">
        <f t="shared" si="65"/>
        <v>f</v>
      </c>
      <c r="K356" t="str">
        <f t="shared" si="73"/>
        <v>101111</v>
      </c>
      <c r="L356" t="str">
        <f t="shared" si="74"/>
        <v>110001</v>
      </c>
      <c r="M356" t="str">
        <f>LOOKUP(J356,Lookups!$A$27:$A$42,Lookups!$B$27:$B$42)</f>
        <v>s</v>
      </c>
      <c r="N356">
        <f t="shared" si="75"/>
        <v>47</v>
      </c>
      <c r="O356">
        <f t="shared" si="76"/>
        <v>49</v>
      </c>
      <c r="P356">
        <f t="shared" si="77"/>
        <v>3057</v>
      </c>
    </row>
    <row r="357" spans="1:16" x14ac:dyDescent="0.35">
      <c r="A357" t="s">
        <v>673</v>
      </c>
      <c r="C357" t="str">
        <f t="shared" si="66"/>
        <v>3235</v>
      </c>
      <c r="D357" t="str">
        <f t="shared" si="67"/>
        <v>000b32bc</v>
      </c>
      <c r="E357" t="str">
        <f t="shared" si="68"/>
        <v>00000000</v>
      </c>
      <c r="F357" t="str">
        <f t="shared" si="69"/>
        <v>00001011</v>
      </c>
      <c r="G357" t="str">
        <f t="shared" si="70"/>
        <v>00110010</v>
      </c>
      <c r="H357" t="str">
        <f t="shared" si="71"/>
        <v>10111100</v>
      </c>
      <c r="I357" t="str">
        <f t="shared" si="72"/>
        <v>00000000000010110011001010111100</v>
      </c>
      <c r="J357" t="str">
        <f t="shared" si="65"/>
        <v>b</v>
      </c>
      <c r="K357" t="str">
        <f t="shared" si="73"/>
        <v>110010</v>
      </c>
      <c r="L357" t="str">
        <f t="shared" si="74"/>
        <v>101111</v>
      </c>
      <c r="M357" t="str">
        <f>LOOKUP(J357,Lookups!$A$27:$A$42,Lookups!$B$27:$B$42)</f>
        <v>t</v>
      </c>
      <c r="N357">
        <f t="shared" si="75"/>
        <v>50</v>
      </c>
      <c r="O357">
        <f t="shared" si="76"/>
        <v>47</v>
      </c>
      <c r="P357">
        <f t="shared" si="77"/>
        <v>3247</v>
      </c>
    </row>
    <row r="358" spans="1:16" x14ac:dyDescent="0.35">
      <c r="A358" t="s">
        <v>674</v>
      </c>
      <c r="C358" t="str">
        <f t="shared" si="66"/>
        <v>3236</v>
      </c>
      <c r="D358" t="str">
        <f t="shared" si="67"/>
        <v>000f2fc4</v>
      </c>
      <c r="E358" t="str">
        <f t="shared" si="68"/>
        <v>00000000</v>
      </c>
      <c r="F358" t="str">
        <f t="shared" si="69"/>
        <v>00001111</v>
      </c>
      <c r="G358" t="str">
        <f t="shared" si="70"/>
        <v>00101111</v>
      </c>
      <c r="H358" t="str">
        <f t="shared" si="71"/>
        <v>11000100</v>
      </c>
      <c r="I358" t="str">
        <f t="shared" si="72"/>
        <v>00000000000011110010111111000100</v>
      </c>
      <c r="J358" t="str">
        <f t="shared" si="65"/>
        <v>f</v>
      </c>
      <c r="K358" t="str">
        <f t="shared" si="73"/>
        <v>101111</v>
      </c>
      <c r="L358" t="str">
        <f t="shared" si="74"/>
        <v>110001</v>
      </c>
      <c r="M358" t="str">
        <f>LOOKUP(J358,Lookups!$A$27:$A$42,Lookups!$B$27:$B$42)</f>
        <v>s</v>
      </c>
      <c r="N358">
        <f t="shared" si="75"/>
        <v>47</v>
      </c>
      <c r="O358">
        <f t="shared" si="76"/>
        <v>49</v>
      </c>
      <c r="P358">
        <f t="shared" si="77"/>
        <v>3057</v>
      </c>
    </row>
    <row r="359" spans="1:16" x14ac:dyDescent="0.35">
      <c r="A359" t="s">
        <v>675</v>
      </c>
      <c r="C359" t="str">
        <f t="shared" si="66"/>
        <v>3237</v>
      </c>
      <c r="D359" t="str">
        <f t="shared" si="67"/>
        <v>000b32c4</v>
      </c>
      <c r="E359" t="str">
        <f t="shared" si="68"/>
        <v>00000000</v>
      </c>
      <c r="F359" t="str">
        <f t="shared" si="69"/>
        <v>00001011</v>
      </c>
      <c r="G359" t="str">
        <f t="shared" si="70"/>
        <v>00110010</v>
      </c>
      <c r="H359" t="str">
        <f t="shared" si="71"/>
        <v>11000100</v>
      </c>
      <c r="I359" t="str">
        <f t="shared" si="72"/>
        <v>00000000000010110011001011000100</v>
      </c>
      <c r="J359" t="str">
        <f t="shared" si="65"/>
        <v>b</v>
      </c>
      <c r="K359" t="str">
        <f t="shared" si="73"/>
        <v>110010</v>
      </c>
      <c r="L359" t="str">
        <f t="shared" si="74"/>
        <v>110001</v>
      </c>
      <c r="M359" t="str">
        <f>LOOKUP(J359,Lookups!$A$27:$A$42,Lookups!$B$27:$B$42)</f>
        <v>t</v>
      </c>
      <c r="N359">
        <f t="shared" si="75"/>
        <v>50</v>
      </c>
      <c r="O359">
        <f t="shared" si="76"/>
        <v>49</v>
      </c>
      <c r="P359">
        <f t="shared" si="77"/>
        <v>3249</v>
      </c>
    </row>
    <row r="360" spans="1:16" x14ac:dyDescent="0.35">
      <c r="A360" t="s">
        <v>676</v>
      </c>
      <c r="C360" t="str">
        <f t="shared" si="66"/>
        <v>3238</v>
      </c>
      <c r="D360" t="str">
        <f t="shared" si="67"/>
        <v>00080e00</v>
      </c>
      <c r="E360" t="str">
        <f t="shared" si="68"/>
        <v>00000000</v>
      </c>
      <c r="F360" t="str">
        <f t="shared" si="69"/>
        <v>00001000</v>
      </c>
      <c r="G360" t="str">
        <f t="shared" si="70"/>
        <v>00001110</v>
      </c>
      <c r="H360" t="str">
        <f t="shared" si="71"/>
        <v>00000000</v>
      </c>
      <c r="I360" t="str">
        <f t="shared" si="72"/>
        <v>00000000000010000000111000000000</v>
      </c>
      <c r="J360" t="str">
        <f t="shared" si="65"/>
        <v>8</v>
      </c>
      <c r="K360" t="str">
        <f t="shared" si="73"/>
        <v>001110</v>
      </c>
      <c r="L360" t="str">
        <f t="shared" si="74"/>
        <v>000000</v>
      </c>
      <c r="M360" t="str">
        <f>LOOKUP(J360,Lookups!$A$27:$A$42,Lookups!$B$27:$B$42)</f>
        <v>p</v>
      </c>
      <c r="N360">
        <f t="shared" si="75"/>
        <v>14</v>
      </c>
      <c r="O360">
        <f t="shared" si="76"/>
        <v>0</v>
      </c>
      <c r="P360">
        <f t="shared" si="77"/>
        <v>896</v>
      </c>
    </row>
    <row r="361" spans="1:16" x14ac:dyDescent="0.35">
      <c r="A361" t="s">
        <v>677</v>
      </c>
      <c r="C361" t="str">
        <f t="shared" si="66"/>
        <v>3239</v>
      </c>
      <c r="D361" t="str">
        <f t="shared" si="67"/>
        <v>00000024</v>
      </c>
      <c r="E361" t="str">
        <f t="shared" si="68"/>
        <v>00000000</v>
      </c>
      <c r="F361" t="str">
        <f t="shared" si="69"/>
        <v>00000000</v>
      </c>
      <c r="G361" t="str">
        <f t="shared" si="70"/>
        <v>00000000</v>
      </c>
      <c r="H361" t="str">
        <f t="shared" si="71"/>
        <v>00100100</v>
      </c>
      <c r="I361" t="str">
        <f t="shared" si="72"/>
        <v>00000000000000000000000000100100</v>
      </c>
      <c r="J361" t="str">
        <f t="shared" si="65"/>
        <v>0</v>
      </c>
      <c r="K361" t="str">
        <f t="shared" si="73"/>
        <v>000000</v>
      </c>
      <c r="L361" t="str">
        <f t="shared" si="74"/>
        <v>001001</v>
      </c>
      <c r="M361" t="str">
        <f>LOOKUP(J361,Lookups!$A$27:$A$42,Lookups!$B$27:$B$42)</f>
        <v>z</v>
      </c>
      <c r="N361">
        <f t="shared" si="75"/>
        <v>0</v>
      </c>
      <c r="O361">
        <f t="shared" si="76"/>
        <v>9</v>
      </c>
      <c r="P361">
        <f t="shared" si="77"/>
        <v>9</v>
      </c>
    </row>
    <row r="362" spans="1:16" x14ac:dyDescent="0.35">
      <c r="A362" t="s">
        <v>678</v>
      </c>
      <c r="C362" t="str">
        <f t="shared" si="66"/>
        <v>3240</v>
      </c>
      <c r="D362" t="str">
        <f t="shared" si="67"/>
        <v>000e2fc4</v>
      </c>
      <c r="E362" t="str">
        <f t="shared" si="68"/>
        <v>00000000</v>
      </c>
      <c r="F362" t="str">
        <f t="shared" si="69"/>
        <v>00001110</v>
      </c>
      <c r="G362" t="str">
        <f t="shared" si="70"/>
        <v>00101111</v>
      </c>
      <c r="H362" t="str">
        <f t="shared" si="71"/>
        <v>11000100</v>
      </c>
      <c r="I362" t="str">
        <f t="shared" si="72"/>
        <v>00000000000011100010111111000100</v>
      </c>
      <c r="J362" t="str">
        <f t="shared" si="65"/>
        <v>e</v>
      </c>
      <c r="K362" t="str">
        <f t="shared" si="73"/>
        <v>101111</v>
      </c>
      <c r="L362" t="str">
        <f t="shared" si="74"/>
        <v>110001</v>
      </c>
      <c r="M362" t="str">
        <f>LOOKUP(J362,Lookups!$A$27:$A$42,Lookups!$B$27:$B$42)</f>
        <v>a</v>
      </c>
      <c r="N362">
        <f t="shared" si="75"/>
        <v>47</v>
      </c>
      <c r="O362">
        <f t="shared" si="76"/>
        <v>49</v>
      </c>
      <c r="P362">
        <f t="shared" si="77"/>
        <v>3057</v>
      </c>
    </row>
    <row r="363" spans="1:16" x14ac:dyDescent="0.35">
      <c r="A363" t="s">
        <v>679</v>
      </c>
      <c r="C363" t="str">
        <f t="shared" si="66"/>
        <v>3241</v>
      </c>
      <c r="D363" t="str">
        <f t="shared" si="67"/>
        <v>0006310c</v>
      </c>
      <c r="E363" t="str">
        <f t="shared" si="68"/>
        <v>00000000</v>
      </c>
      <c r="F363" t="str">
        <f t="shared" si="69"/>
        <v>00000110</v>
      </c>
      <c r="G363" t="str">
        <f t="shared" si="70"/>
        <v>00110001</v>
      </c>
      <c r="H363" t="str">
        <f t="shared" si="71"/>
        <v>00001100</v>
      </c>
      <c r="I363" t="str">
        <f t="shared" si="72"/>
        <v>00000000000001100011000100001100</v>
      </c>
      <c r="J363" t="str">
        <f t="shared" si="65"/>
        <v>6</v>
      </c>
      <c r="K363" t="str">
        <f t="shared" si="73"/>
        <v>110001</v>
      </c>
      <c r="L363" t="str">
        <f t="shared" si="74"/>
        <v>000011</v>
      </c>
      <c r="M363" t="str">
        <f>LOOKUP(J363,Lookups!$A$27:$A$42,Lookups!$B$27:$B$42)</f>
        <v>n</v>
      </c>
      <c r="N363">
        <f t="shared" si="75"/>
        <v>49</v>
      </c>
      <c r="O363">
        <f t="shared" si="76"/>
        <v>3</v>
      </c>
      <c r="P363">
        <f t="shared" si="77"/>
        <v>3139</v>
      </c>
    </row>
    <row r="364" spans="1:16" x14ac:dyDescent="0.35">
      <c r="A364" t="s">
        <v>680</v>
      </c>
      <c r="C364" t="str">
        <f t="shared" si="66"/>
        <v>3242</v>
      </c>
      <c r="D364" t="str">
        <f t="shared" si="67"/>
        <v>000e32b4</v>
      </c>
      <c r="E364" t="str">
        <f t="shared" si="68"/>
        <v>00000000</v>
      </c>
      <c r="F364" t="str">
        <f t="shared" si="69"/>
        <v>00001110</v>
      </c>
      <c r="G364" t="str">
        <f t="shared" si="70"/>
        <v>00110010</v>
      </c>
      <c r="H364" t="str">
        <f t="shared" si="71"/>
        <v>10110100</v>
      </c>
      <c r="I364" t="str">
        <f t="shared" si="72"/>
        <v>00000000000011100011001010110100</v>
      </c>
      <c r="J364" t="str">
        <f t="shared" si="65"/>
        <v>e</v>
      </c>
      <c r="K364" t="str">
        <f t="shared" si="73"/>
        <v>110010</v>
      </c>
      <c r="L364" t="str">
        <f t="shared" si="74"/>
        <v>101101</v>
      </c>
      <c r="M364" t="str">
        <f>LOOKUP(J364,Lookups!$A$27:$A$42,Lookups!$B$27:$B$42)</f>
        <v>a</v>
      </c>
      <c r="N364">
        <f t="shared" si="75"/>
        <v>50</v>
      </c>
      <c r="O364">
        <f t="shared" si="76"/>
        <v>45</v>
      </c>
      <c r="P364">
        <f t="shared" si="77"/>
        <v>3245</v>
      </c>
    </row>
    <row r="365" spans="1:16" x14ac:dyDescent="0.35">
      <c r="A365" t="s">
        <v>681</v>
      </c>
      <c r="C365" t="str">
        <f t="shared" si="66"/>
        <v>3243</v>
      </c>
      <c r="D365" t="str">
        <f t="shared" si="67"/>
        <v>000232b0</v>
      </c>
      <c r="E365" t="str">
        <f t="shared" si="68"/>
        <v>00000000</v>
      </c>
      <c r="F365" t="str">
        <f t="shared" si="69"/>
        <v>00000010</v>
      </c>
      <c r="G365" t="str">
        <f t="shared" si="70"/>
        <v>00110010</v>
      </c>
      <c r="H365" t="str">
        <f t="shared" si="71"/>
        <v>10110000</v>
      </c>
      <c r="I365" t="str">
        <f t="shared" si="72"/>
        <v>00000000000000100011001010110000</v>
      </c>
      <c r="J365" t="str">
        <f t="shared" si="65"/>
        <v>2</v>
      </c>
      <c r="K365" t="str">
        <f t="shared" si="73"/>
        <v>110010</v>
      </c>
      <c r="L365" t="str">
        <f t="shared" si="74"/>
        <v>101100</v>
      </c>
      <c r="M365" t="str">
        <f>LOOKUP(J365,Lookups!$A$27:$A$42,Lookups!$B$27:$B$42)</f>
        <v>y</v>
      </c>
      <c r="N365">
        <f t="shared" si="75"/>
        <v>50</v>
      </c>
      <c r="O365">
        <f t="shared" si="76"/>
        <v>44</v>
      </c>
      <c r="P365">
        <f t="shared" si="77"/>
        <v>3244</v>
      </c>
    </row>
    <row r="366" spans="1:16" x14ac:dyDescent="0.35">
      <c r="A366" t="s">
        <v>682</v>
      </c>
      <c r="C366" t="str">
        <f t="shared" si="66"/>
        <v>3244</v>
      </c>
      <c r="D366" t="str">
        <f t="shared" si="67"/>
        <v>00081a00</v>
      </c>
      <c r="E366" t="str">
        <f t="shared" si="68"/>
        <v>00000000</v>
      </c>
      <c r="F366" t="str">
        <f t="shared" si="69"/>
        <v>00001000</v>
      </c>
      <c r="G366" t="str">
        <f t="shared" si="70"/>
        <v>00011010</v>
      </c>
      <c r="H366" t="str">
        <f t="shared" si="71"/>
        <v>00000000</v>
      </c>
      <c r="I366" t="str">
        <f t="shared" si="72"/>
        <v>00000000000010000001101000000000</v>
      </c>
      <c r="J366" t="str">
        <f t="shared" si="65"/>
        <v>8</v>
      </c>
      <c r="K366" t="str">
        <f t="shared" si="73"/>
        <v>011010</v>
      </c>
      <c r="L366" t="str">
        <f t="shared" si="74"/>
        <v>000000</v>
      </c>
      <c r="M366" t="str">
        <f>LOOKUP(J366,Lookups!$A$27:$A$42,Lookups!$B$27:$B$42)</f>
        <v>p</v>
      </c>
      <c r="N366">
        <f t="shared" si="75"/>
        <v>26</v>
      </c>
      <c r="O366">
        <f t="shared" si="76"/>
        <v>0</v>
      </c>
      <c r="P366">
        <f t="shared" si="77"/>
        <v>1664</v>
      </c>
    </row>
    <row r="367" spans="1:16" x14ac:dyDescent="0.35">
      <c r="A367" t="s">
        <v>683</v>
      </c>
      <c r="C367" t="str">
        <f t="shared" si="66"/>
        <v>3245</v>
      </c>
      <c r="D367" t="str">
        <f t="shared" si="67"/>
        <v>00000200</v>
      </c>
      <c r="E367" t="str">
        <f t="shared" si="68"/>
        <v>00000000</v>
      </c>
      <c r="F367" t="str">
        <f t="shared" si="69"/>
        <v>00000000</v>
      </c>
      <c r="G367" t="str">
        <f t="shared" si="70"/>
        <v>00000010</v>
      </c>
      <c r="H367" t="str">
        <f t="shared" si="71"/>
        <v>00000000</v>
      </c>
      <c r="I367" t="str">
        <f t="shared" si="72"/>
        <v>00000000000000000000001000000000</v>
      </c>
      <c r="J367" t="str">
        <f t="shared" si="65"/>
        <v>0</v>
      </c>
      <c r="K367" t="str">
        <f t="shared" si="73"/>
        <v>000010</v>
      </c>
      <c r="L367" t="str">
        <f t="shared" si="74"/>
        <v>000000</v>
      </c>
      <c r="M367" t="str">
        <f>LOOKUP(J367,Lookups!$A$27:$A$42,Lookups!$B$27:$B$42)</f>
        <v>z</v>
      </c>
      <c r="N367">
        <f t="shared" si="75"/>
        <v>2</v>
      </c>
      <c r="O367">
        <f t="shared" si="76"/>
        <v>0</v>
      </c>
      <c r="P367">
        <f t="shared" si="77"/>
        <v>128</v>
      </c>
    </row>
    <row r="368" spans="1:16" x14ac:dyDescent="0.35">
      <c r="A368" t="s">
        <v>684</v>
      </c>
      <c r="C368" t="str">
        <f t="shared" si="66"/>
        <v>3246</v>
      </c>
      <c r="D368" t="str">
        <f t="shared" si="67"/>
        <v>000a31b0</v>
      </c>
      <c r="E368" t="str">
        <f t="shared" si="68"/>
        <v>00000000</v>
      </c>
      <c r="F368" t="str">
        <f t="shared" si="69"/>
        <v>00001010</v>
      </c>
      <c r="G368" t="str">
        <f t="shared" si="70"/>
        <v>00110001</v>
      </c>
      <c r="H368" t="str">
        <f t="shared" si="71"/>
        <v>10110000</v>
      </c>
      <c r="I368" t="str">
        <f t="shared" si="72"/>
        <v>00000000000010100011000110110000</v>
      </c>
      <c r="J368" t="str">
        <f t="shared" si="65"/>
        <v>a</v>
      </c>
      <c r="K368" t="str">
        <f t="shared" si="73"/>
        <v>110001</v>
      </c>
      <c r="L368" t="str">
        <f t="shared" si="74"/>
        <v>101100</v>
      </c>
      <c r="M368" t="str">
        <f>LOOKUP(J368,Lookups!$A$27:$A$42,Lookups!$B$27:$B$42)</f>
        <v>u</v>
      </c>
      <c r="N368">
        <f t="shared" si="75"/>
        <v>49</v>
      </c>
      <c r="O368">
        <f t="shared" si="76"/>
        <v>44</v>
      </c>
      <c r="P368">
        <f t="shared" si="77"/>
        <v>3180</v>
      </c>
    </row>
    <row r="369" spans="1:16" x14ac:dyDescent="0.35">
      <c r="A369" t="s">
        <v>685</v>
      </c>
      <c r="C369" t="str">
        <f t="shared" si="66"/>
        <v>3247</v>
      </c>
      <c r="D369" t="str">
        <f t="shared" si="67"/>
        <v>00080600</v>
      </c>
      <c r="E369" t="str">
        <f t="shared" si="68"/>
        <v>00000000</v>
      </c>
      <c r="F369" t="str">
        <f t="shared" si="69"/>
        <v>00001000</v>
      </c>
      <c r="G369" t="str">
        <f t="shared" si="70"/>
        <v>00000110</v>
      </c>
      <c r="H369" t="str">
        <f t="shared" si="71"/>
        <v>00000000</v>
      </c>
      <c r="I369" t="str">
        <f t="shared" si="72"/>
        <v>00000000000010000000011000000000</v>
      </c>
      <c r="J369" t="str">
        <f t="shared" si="65"/>
        <v>8</v>
      </c>
      <c r="K369" t="str">
        <f t="shared" si="73"/>
        <v>000110</v>
      </c>
      <c r="L369" t="str">
        <f t="shared" si="74"/>
        <v>000000</v>
      </c>
      <c r="M369" t="str">
        <f>LOOKUP(J369,Lookups!$A$27:$A$42,Lookups!$B$27:$B$42)</f>
        <v>p</v>
      </c>
      <c r="N369">
        <f t="shared" si="75"/>
        <v>6</v>
      </c>
      <c r="O369">
        <f t="shared" si="76"/>
        <v>0</v>
      </c>
      <c r="P369">
        <f t="shared" si="77"/>
        <v>384</v>
      </c>
    </row>
    <row r="370" spans="1:16" x14ac:dyDescent="0.35">
      <c r="A370" t="s">
        <v>686</v>
      </c>
      <c r="C370" t="str">
        <f t="shared" si="66"/>
        <v>3248</v>
      </c>
      <c r="D370" t="str">
        <f t="shared" si="67"/>
        <v>000a329c</v>
      </c>
      <c r="E370" t="str">
        <f t="shared" si="68"/>
        <v>00000000</v>
      </c>
      <c r="F370" t="str">
        <f t="shared" si="69"/>
        <v>00001010</v>
      </c>
      <c r="G370" t="str">
        <f t="shared" si="70"/>
        <v>00110010</v>
      </c>
      <c r="H370" t="str">
        <f t="shared" si="71"/>
        <v>10011100</v>
      </c>
      <c r="I370" t="str">
        <f t="shared" si="72"/>
        <v>00000000000010100011001010011100</v>
      </c>
      <c r="J370" t="str">
        <f t="shared" si="65"/>
        <v>a</v>
      </c>
      <c r="K370" t="str">
        <f t="shared" si="73"/>
        <v>110010</v>
      </c>
      <c r="L370" t="str">
        <f t="shared" si="74"/>
        <v>100111</v>
      </c>
      <c r="M370" t="str">
        <f>LOOKUP(J370,Lookups!$A$27:$A$42,Lookups!$B$27:$B$42)</f>
        <v>u</v>
      </c>
      <c r="N370">
        <f t="shared" si="75"/>
        <v>50</v>
      </c>
      <c r="O370">
        <f t="shared" si="76"/>
        <v>39</v>
      </c>
      <c r="P370">
        <f t="shared" si="77"/>
        <v>3239</v>
      </c>
    </row>
    <row r="371" spans="1:16" x14ac:dyDescent="0.35">
      <c r="A371" t="s">
        <v>687</v>
      </c>
      <c r="C371" t="str">
        <f t="shared" si="66"/>
        <v>3249</v>
      </c>
      <c r="D371" t="str">
        <f t="shared" si="67"/>
        <v>00080a00</v>
      </c>
      <c r="E371" t="str">
        <f t="shared" si="68"/>
        <v>00000000</v>
      </c>
      <c r="F371" t="str">
        <f t="shared" si="69"/>
        <v>00001000</v>
      </c>
      <c r="G371" t="str">
        <f t="shared" si="70"/>
        <v>00001010</v>
      </c>
      <c r="H371" t="str">
        <f t="shared" si="71"/>
        <v>00000000</v>
      </c>
      <c r="I371" t="str">
        <f t="shared" si="72"/>
        <v>00000000000010000000101000000000</v>
      </c>
      <c r="J371" t="str">
        <f t="shared" si="65"/>
        <v>8</v>
      </c>
      <c r="K371" t="str">
        <f t="shared" si="73"/>
        <v>001010</v>
      </c>
      <c r="L371" t="str">
        <f t="shared" si="74"/>
        <v>000000</v>
      </c>
      <c r="M371" t="str">
        <f>LOOKUP(J371,Lookups!$A$27:$A$42,Lookups!$B$27:$B$42)</f>
        <v>p</v>
      </c>
      <c r="N371">
        <f t="shared" si="75"/>
        <v>10</v>
      </c>
      <c r="O371">
        <f t="shared" si="76"/>
        <v>0</v>
      </c>
      <c r="P371">
        <f t="shared" si="77"/>
        <v>640</v>
      </c>
    </row>
    <row r="372" spans="1:16" x14ac:dyDescent="0.35">
      <c r="A372" t="s">
        <v>688</v>
      </c>
      <c r="C372" t="str">
        <f t="shared" si="66"/>
        <v>3250</v>
      </c>
      <c r="D372" t="str">
        <f t="shared" si="67"/>
        <v>000a329c</v>
      </c>
      <c r="E372" t="str">
        <f t="shared" si="68"/>
        <v>00000000</v>
      </c>
      <c r="F372" t="str">
        <f t="shared" si="69"/>
        <v>00001010</v>
      </c>
      <c r="G372" t="str">
        <f t="shared" si="70"/>
        <v>00110010</v>
      </c>
      <c r="H372" t="str">
        <f t="shared" si="71"/>
        <v>10011100</v>
      </c>
      <c r="I372" t="str">
        <f t="shared" si="72"/>
        <v>00000000000010100011001010011100</v>
      </c>
      <c r="J372" t="str">
        <f t="shared" si="65"/>
        <v>a</v>
      </c>
      <c r="K372" t="str">
        <f t="shared" si="73"/>
        <v>110010</v>
      </c>
      <c r="L372" t="str">
        <f t="shared" si="74"/>
        <v>100111</v>
      </c>
      <c r="M372" t="str">
        <f>LOOKUP(J372,Lookups!$A$27:$A$42,Lookups!$B$27:$B$42)</f>
        <v>u</v>
      </c>
      <c r="N372">
        <f t="shared" si="75"/>
        <v>50</v>
      </c>
      <c r="O372">
        <f t="shared" si="76"/>
        <v>39</v>
      </c>
      <c r="P372">
        <f t="shared" si="77"/>
        <v>3239</v>
      </c>
    </row>
    <row r="373" spans="1:16" x14ac:dyDescent="0.35">
      <c r="A373" t="s">
        <v>689</v>
      </c>
      <c r="C373" t="str">
        <f t="shared" si="66"/>
        <v>3251</v>
      </c>
      <c r="D373" t="str">
        <f t="shared" si="67"/>
        <v>00012f8c</v>
      </c>
      <c r="E373" t="str">
        <f t="shared" si="68"/>
        <v>00000000</v>
      </c>
      <c r="F373" t="str">
        <f t="shared" si="69"/>
        <v>00000001</v>
      </c>
      <c r="G373" t="str">
        <f t="shared" si="70"/>
        <v>00101111</v>
      </c>
      <c r="H373" t="str">
        <f t="shared" si="71"/>
        <v>10001100</v>
      </c>
      <c r="I373" t="str">
        <f t="shared" si="72"/>
        <v>00000000000000010010111110001100</v>
      </c>
      <c r="J373" t="str">
        <f t="shared" si="65"/>
        <v>1</v>
      </c>
      <c r="K373" t="str">
        <f t="shared" si="73"/>
        <v>101111</v>
      </c>
      <c r="L373" t="str">
        <f t="shared" si="74"/>
        <v>100011</v>
      </c>
      <c r="M373" t="str">
        <f>LOOKUP(J373,Lookups!$A$27:$A$42,Lookups!$B$27:$B$42)</f>
        <v>b</v>
      </c>
      <c r="N373">
        <f t="shared" si="75"/>
        <v>47</v>
      </c>
      <c r="O373">
        <f t="shared" si="76"/>
        <v>35</v>
      </c>
      <c r="P373">
        <f t="shared" si="77"/>
        <v>3043</v>
      </c>
    </row>
    <row r="374" spans="1:16" x14ac:dyDescent="0.35">
      <c r="A374" t="s">
        <v>690</v>
      </c>
      <c r="C374" t="str">
        <f t="shared" si="66"/>
        <v>3252</v>
      </c>
      <c r="D374" t="str">
        <f t="shared" si="67"/>
        <v>000e2e8c</v>
      </c>
      <c r="E374" t="str">
        <f t="shared" si="68"/>
        <v>00000000</v>
      </c>
      <c r="F374" t="str">
        <f t="shared" si="69"/>
        <v>00001110</v>
      </c>
      <c r="G374" t="str">
        <f t="shared" si="70"/>
        <v>00101110</v>
      </c>
      <c r="H374" t="str">
        <f t="shared" si="71"/>
        <v>10001100</v>
      </c>
      <c r="I374" t="str">
        <f t="shared" si="72"/>
        <v>00000000000011100010111010001100</v>
      </c>
      <c r="J374" t="str">
        <f t="shared" si="65"/>
        <v>e</v>
      </c>
      <c r="K374" t="str">
        <f t="shared" si="73"/>
        <v>101110</v>
      </c>
      <c r="L374" t="str">
        <f t="shared" si="74"/>
        <v>100011</v>
      </c>
      <c r="M374" t="str">
        <f>LOOKUP(J374,Lookups!$A$27:$A$42,Lookups!$B$27:$B$42)</f>
        <v>a</v>
      </c>
      <c r="N374">
        <f t="shared" si="75"/>
        <v>46</v>
      </c>
      <c r="O374">
        <f t="shared" si="76"/>
        <v>35</v>
      </c>
      <c r="P374">
        <f t="shared" si="77"/>
        <v>2979</v>
      </c>
    </row>
    <row r="375" spans="1:16" x14ac:dyDescent="0.35">
      <c r="A375" t="s">
        <v>691</v>
      </c>
      <c r="C375" t="str">
        <f t="shared" si="66"/>
        <v>3253</v>
      </c>
      <c r="D375" t="str">
        <f t="shared" si="67"/>
        <v>000d2f8c</v>
      </c>
      <c r="E375" t="str">
        <f t="shared" si="68"/>
        <v>00000000</v>
      </c>
      <c r="F375" t="str">
        <f t="shared" si="69"/>
        <v>00001101</v>
      </c>
      <c r="G375" t="str">
        <f t="shared" si="70"/>
        <v>00101111</v>
      </c>
      <c r="H375" t="str">
        <f t="shared" si="71"/>
        <v>10001100</v>
      </c>
      <c r="I375" t="str">
        <f t="shared" si="72"/>
        <v>00000000000011010010111110001100</v>
      </c>
      <c r="J375" t="str">
        <f t="shared" si="65"/>
        <v>d</v>
      </c>
      <c r="K375" t="str">
        <f t="shared" si="73"/>
        <v>101111</v>
      </c>
      <c r="L375" t="str">
        <f t="shared" si="74"/>
        <v>100011</v>
      </c>
      <c r="M375" t="str">
        <f>LOOKUP(J375,Lookups!$A$27:$A$42,Lookups!$B$27:$B$42)</f>
        <v>c</v>
      </c>
      <c r="N375">
        <f t="shared" si="75"/>
        <v>47</v>
      </c>
      <c r="O375">
        <f t="shared" si="76"/>
        <v>35</v>
      </c>
      <c r="P375">
        <f t="shared" si="77"/>
        <v>3043</v>
      </c>
    </row>
    <row r="376" spans="1:16" x14ac:dyDescent="0.35">
      <c r="A376" t="s">
        <v>692</v>
      </c>
      <c r="C376" t="str">
        <f t="shared" si="66"/>
        <v>3254</v>
      </c>
      <c r="D376" t="str">
        <f t="shared" si="67"/>
        <v>00013048</v>
      </c>
      <c r="E376" t="str">
        <f t="shared" si="68"/>
        <v>00000000</v>
      </c>
      <c r="F376" t="str">
        <f t="shared" si="69"/>
        <v>00000001</v>
      </c>
      <c r="G376" t="str">
        <f t="shared" si="70"/>
        <v>00110000</v>
      </c>
      <c r="H376" t="str">
        <f t="shared" si="71"/>
        <v>01001000</v>
      </c>
      <c r="I376" t="str">
        <f t="shared" si="72"/>
        <v>00000000000000010011000001001000</v>
      </c>
      <c r="J376" t="str">
        <f t="shared" si="65"/>
        <v>1</v>
      </c>
      <c r="K376" t="str">
        <f t="shared" si="73"/>
        <v>110000</v>
      </c>
      <c r="L376" t="str">
        <f t="shared" si="74"/>
        <v>010010</v>
      </c>
      <c r="M376" t="str">
        <f>LOOKUP(J376,Lookups!$A$27:$A$42,Lookups!$B$27:$B$42)</f>
        <v>b</v>
      </c>
      <c r="N376">
        <f t="shared" si="75"/>
        <v>48</v>
      </c>
      <c r="O376">
        <f t="shared" si="76"/>
        <v>18</v>
      </c>
      <c r="P376">
        <f t="shared" si="77"/>
        <v>3090</v>
      </c>
    </row>
    <row r="377" spans="1:16" x14ac:dyDescent="0.35">
      <c r="A377" t="s">
        <v>693</v>
      </c>
      <c r="C377" t="str">
        <f t="shared" si="66"/>
        <v>3255</v>
      </c>
      <c r="D377" t="str">
        <f t="shared" si="67"/>
        <v>00063048</v>
      </c>
      <c r="E377" t="str">
        <f t="shared" si="68"/>
        <v>00000000</v>
      </c>
      <c r="F377" t="str">
        <f t="shared" si="69"/>
        <v>00000110</v>
      </c>
      <c r="G377" t="str">
        <f t="shared" si="70"/>
        <v>00110000</v>
      </c>
      <c r="H377" t="str">
        <f t="shared" si="71"/>
        <v>01001000</v>
      </c>
      <c r="I377" t="str">
        <f t="shared" si="72"/>
        <v>00000000000001100011000001001000</v>
      </c>
      <c r="J377" t="str">
        <f t="shared" si="65"/>
        <v>6</v>
      </c>
      <c r="K377" t="str">
        <f t="shared" si="73"/>
        <v>110000</v>
      </c>
      <c r="L377" t="str">
        <f t="shared" si="74"/>
        <v>010010</v>
      </c>
      <c r="M377" t="str">
        <f>LOOKUP(J377,Lookups!$A$27:$A$42,Lookups!$B$27:$B$42)</f>
        <v>n</v>
      </c>
      <c r="N377">
        <f t="shared" si="75"/>
        <v>48</v>
      </c>
      <c r="O377">
        <f t="shared" si="76"/>
        <v>18</v>
      </c>
      <c r="P377">
        <f t="shared" si="77"/>
        <v>3090</v>
      </c>
    </row>
    <row r="378" spans="1:16" x14ac:dyDescent="0.35">
      <c r="A378" t="s">
        <v>694</v>
      </c>
      <c r="C378" t="str">
        <f t="shared" si="66"/>
        <v>3256</v>
      </c>
      <c r="D378" t="str">
        <f t="shared" si="67"/>
        <v>000c3048</v>
      </c>
      <c r="E378" t="str">
        <f t="shared" si="68"/>
        <v>00000000</v>
      </c>
      <c r="F378" t="str">
        <f t="shared" si="69"/>
        <v>00001100</v>
      </c>
      <c r="G378" t="str">
        <f t="shared" si="70"/>
        <v>00110000</v>
      </c>
      <c r="H378" t="str">
        <f t="shared" si="71"/>
        <v>01001000</v>
      </c>
      <c r="I378" t="str">
        <f t="shared" si="72"/>
        <v>00000000000011000011000001001000</v>
      </c>
      <c r="J378" t="str">
        <f t="shared" si="65"/>
        <v>c</v>
      </c>
      <c r="K378" t="str">
        <f t="shared" si="73"/>
        <v>110000</v>
      </c>
      <c r="L378" t="str">
        <f t="shared" si="74"/>
        <v>010010</v>
      </c>
      <c r="M378" t="str">
        <f>LOOKUP(J378,Lookups!$A$27:$A$42,Lookups!$B$27:$B$42)</f>
        <v>h</v>
      </c>
      <c r="N378">
        <f t="shared" si="75"/>
        <v>48</v>
      </c>
      <c r="O378">
        <f t="shared" si="76"/>
        <v>18</v>
      </c>
      <c r="P378">
        <f t="shared" si="77"/>
        <v>3090</v>
      </c>
    </row>
    <row r="379" spans="1:16" x14ac:dyDescent="0.35">
      <c r="A379" t="s">
        <v>695</v>
      </c>
      <c r="C379" t="str">
        <f t="shared" si="66"/>
        <v>3257</v>
      </c>
      <c r="D379" t="str">
        <f t="shared" si="67"/>
        <v>00072e64</v>
      </c>
      <c r="E379" t="str">
        <f t="shared" si="68"/>
        <v>00000000</v>
      </c>
      <c r="F379" t="str">
        <f t="shared" si="69"/>
        <v>00000111</v>
      </c>
      <c r="G379" t="str">
        <f t="shared" si="70"/>
        <v>00101110</v>
      </c>
      <c r="H379" t="str">
        <f t="shared" si="71"/>
        <v>01100100</v>
      </c>
      <c r="I379" t="str">
        <f t="shared" si="72"/>
        <v>00000000000001110010111001100100</v>
      </c>
      <c r="J379" t="str">
        <f t="shared" si="65"/>
        <v>7</v>
      </c>
      <c r="K379" t="str">
        <f t="shared" si="73"/>
        <v>101110</v>
      </c>
      <c r="L379" t="str">
        <f t="shared" si="74"/>
        <v>011001</v>
      </c>
      <c r="M379" t="str">
        <f>LOOKUP(J379,Lookups!$A$27:$A$42,Lookups!$B$27:$B$42)</f>
        <v>m</v>
      </c>
      <c r="N379">
        <f t="shared" si="75"/>
        <v>46</v>
      </c>
      <c r="O379">
        <f t="shared" si="76"/>
        <v>25</v>
      </c>
      <c r="P379">
        <f t="shared" si="77"/>
        <v>2969</v>
      </c>
    </row>
    <row r="380" spans="1:16" x14ac:dyDescent="0.35">
      <c r="A380" t="s">
        <v>696</v>
      </c>
      <c r="C380" t="str">
        <f t="shared" si="66"/>
        <v>3258</v>
      </c>
      <c r="D380" t="str">
        <f t="shared" si="67"/>
        <v>000e3048</v>
      </c>
      <c r="E380" t="str">
        <f t="shared" si="68"/>
        <v>00000000</v>
      </c>
      <c r="F380" t="str">
        <f t="shared" si="69"/>
        <v>00001110</v>
      </c>
      <c r="G380" t="str">
        <f t="shared" si="70"/>
        <v>00110000</v>
      </c>
      <c r="H380" t="str">
        <f t="shared" si="71"/>
        <v>01001000</v>
      </c>
      <c r="I380" t="str">
        <f t="shared" si="72"/>
        <v>00000000000011100011000001001000</v>
      </c>
      <c r="J380" t="str">
        <f t="shared" si="65"/>
        <v>e</v>
      </c>
      <c r="K380" t="str">
        <f t="shared" si="73"/>
        <v>110000</v>
      </c>
      <c r="L380" t="str">
        <f t="shared" si="74"/>
        <v>010010</v>
      </c>
      <c r="M380" t="str">
        <f>LOOKUP(J380,Lookups!$A$27:$A$42,Lookups!$B$27:$B$42)</f>
        <v>a</v>
      </c>
      <c r="N380">
        <f t="shared" si="75"/>
        <v>48</v>
      </c>
      <c r="O380">
        <f t="shared" si="76"/>
        <v>18</v>
      </c>
      <c r="P380">
        <f t="shared" si="77"/>
        <v>3090</v>
      </c>
    </row>
    <row r="381" spans="1:16" x14ac:dyDescent="0.35">
      <c r="A381" t="s">
        <v>697</v>
      </c>
      <c r="C381" t="str">
        <f t="shared" si="66"/>
        <v>3259</v>
      </c>
      <c r="D381" t="str">
        <f t="shared" si="67"/>
        <v>000c3048</v>
      </c>
      <c r="E381" t="str">
        <f t="shared" si="68"/>
        <v>00000000</v>
      </c>
      <c r="F381" t="str">
        <f t="shared" si="69"/>
        <v>00001100</v>
      </c>
      <c r="G381" t="str">
        <f t="shared" si="70"/>
        <v>00110000</v>
      </c>
      <c r="H381" t="str">
        <f t="shared" si="71"/>
        <v>01001000</v>
      </c>
      <c r="I381" t="str">
        <f t="shared" si="72"/>
        <v>00000000000011000011000001001000</v>
      </c>
      <c r="J381" t="str">
        <f t="shared" si="65"/>
        <v>c</v>
      </c>
      <c r="K381" t="str">
        <f t="shared" si="73"/>
        <v>110000</v>
      </c>
      <c r="L381" t="str">
        <f t="shared" si="74"/>
        <v>010010</v>
      </c>
      <c r="M381" t="str">
        <f>LOOKUP(J381,Lookups!$A$27:$A$42,Lookups!$B$27:$B$42)</f>
        <v>h</v>
      </c>
      <c r="N381">
        <f t="shared" si="75"/>
        <v>48</v>
      </c>
      <c r="O381">
        <f t="shared" si="76"/>
        <v>18</v>
      </c>
      <c r="P381">
        <f t="shared" si="77"/>
        <v>3090</v>
      </c>
    </row>
    <row r="382" spans="1:16" x14ac:dyDescent="0.35">
      <c r="A382" t="s">
        <v>698</v>
      </c>
      <c r="C382" t="str">
        <f t="shared" si="66"/>
        <v>3260</v>
      </c>
      <c r="D382" t="str">
        <f t="shared" si="67"/>
        <v>000a2d2c</v>
      </c>
      <c r="E382" t="str">
        <f t="shared" si="68"/>
        <v>00000000</v>
      </c>
      <c r="F382" t="str">
        <f t="shared" si="69"/>
        <v>00001010</v>
      </c>
      <c r="G382" t="str">
        <f t="shared" si="70"/>
        <v>00101101</v>
      </c>
      <c r="H382" t="str">
        <f t="shared" si="71"/>
        <v>00101100</v>
      </c>
      <c r="I382" t="str">
        <f t="shared" si="72"/>
        <v>00000000000010100010110100101100</v>
      </c>
      <c r="J382" t="str">
        <f t="shared" si="65"/>
        <v>a</v>
      </c>
      <c r="K382" t="str">
        <f t="shared" si="73"/>
        <v>101101</v>
      </c>
      <c r="L382" t="str">
        <f t="shared" si="74"/>
        <v>001011</v>
      </c>
      <c r="M382" t="str">
        <f>LOOKUP(J382,Lookups!$A$27:$A$42,Lookups!$B$27:$B$42)</f>
        <v>u</v>
      </c>
      <c r="N382">
        <f t="shared" si="75"/>
        <v>45</v>
      </c>
      <c r="O382">
        <f t="shared" si="76"/>
        <v>11</v>
      </c>
      <c r="P382">
        <f t="shared" si="77"/>
        <v>2891</v>
      </c>
    </row>
    <row r="383" spans="1:16" x14ac:dyDescent="0.35">
      <c r="A383" t="s">
        <v>699</v>
      </c>
      <c r="C383" t="str">
        <f t="shared" si="66"/>
        <v>3261</v>
      </c>
      <c r="D383" t="str">
        <f t="shared" si="67"/>
        <v>00000400</v>
      </c>
      <c r="E383" t="str">
        <f t="shared" si="68"/>
        <v>00000000</v>
      </c>
      <c r="F383" t="str">
        <f t="shared" si="69"/>
        <v>00000000</v>
      </c>
      <c r="G383" t="str">
        <f t="shared" si="70"/>
        <v>00000100</v>
      </c>
      <c r="H383" t="str">
        <f t="shared" si="71"/>
        <v>00000000</v>
      </c>
      <c r="I383" t="str">
        <f t="shared" si="72"/>
        <v>00000000000000000000010000000000</v>
      </c>
      <c r="J383" t="str">
        <f t="shared" si="65"/>
        <v>0</v>
      </c>
      <c r="K383" t="str">
        <f t="shared" si="73"/>
        <v>000100</v>
      </c>
      <c r="L383" t="str">
        <f t="shared" si="74"/>
        <v>000000</v>
      </c>
      <c r="M383" t="str">
        <f>LOOKUP(J383,Lookups!$A$27:$A$42,Lookups!$B$27:$B$42)</f>
        <v>z</v>
      </c>
      <c r="N383">
        <f t="shared" si="75"/>
        <v>4</v>
      </c>
      <c r="O383">
        <f t="shared" si="76"/>
        <v>0</v>
      </c>
      <c r="P383">
        <f t="shared" si="77"/>
        <v>256</v>
      </c>
    </row>
    <row r="384" spans="1:16" x14ac:dyDescent="0.35">
      <c r="A384" t="s">
        <v>700</v>
      </c>
      <c r="C384" t="str">
        <f t="shared" si="66"/>
        <v>3262</v>
      </c>
      <c r="D384" t="str">
        <f t="shared" si="67"/>
        <v>00081000</v>
      </c>
      <c r="E384" t="str">
        <f t="shared" si="68"/>
        <v>00000000</v>
      </c>
      <c r="F384" t="str">
        <f t="shared" si="69"/>
        <v>00001000</v>
      </c>
      <c r="G384" t="str">
        <f t="shared" si="70"/>
        <v>00010000</v>
      </c>
      <c r="H384" t="str">
        <f t="shared" si="71"/>
        <v>00000000</v>
      </c>
      <c r="I384" t="str">
        <f t="shared" si="72"/>
        <v>00000000000010000001000000000000</v>
      </c>
      <c r="J384" t="str">
        <f t="shared" si="65"/>
        <v>8</v>
      </c>
      <c r="K384" t="str">
        <f t="shared" si="73"/>
        <v>010000</v>
      </c>
      <c r="L384" t="str">
        <f t="shared" si="74"/>
        <v>000000</v>
      </c>
      <c r="M384" t="str">
        <f>LOOKUP(J384,Lookups!$A$27:$A$42,Lookups!$B$27:$B$42)</f>
        <v>p</v>
      </c>
      <c r="N384">
        <f t="shared" si="75"/>
        <v>16</v>
      </c>
      <c r="O384">
        <f t="shared" si="76"/>
        <v>0</v>
      </c>
      <c r="P384">
        <f t="shared" si="77"/>
        <v>1024</v>
      </c>
    </row>
    <row r="385" spans="1:16" x14ac:dyDescent="0.35">
      <c r="A385" t="s">
        <v>701</v>
      </c>
      <c r="C385" t="str">
        <f t="shared" si="66"/>
        <v>3263</v>
      </c>
      <c r="D385" t="str">
        <f t="shared" si="67"/>
        <v>000a2e78</v>
      </c>
      <c r="E385" t="str">
        <f t="shared" si="68"/>
        <v>00000000</v>
      </c>
      <c r="F385" t="str">
        <f t="shared" si="69"/>
        <v>00001010</v>
      </c>
      <c r="G385" t="str">
        <f t="shared" si="70"/>
        <v>00101110</v>
      </c>
      <c r="H385" t="str">
        <f t="shared" si="71"/>
        <v>01111000</v>
      </c>
      <c r="I385" t="str">
        <f t="shared" si="72"/>
        <v>00000000000010100010111001111000</v>
      </c>
      <c r="J385" t="str">
        <f t="shared" si="65"/>
        <v>a</v>
      </c>
      <c r="K385" t="str">
        <f t="shared" si="73"/>
        <v>101110</v>
      </c>
      <c r="L385" t="str">
        <f t="shared" si="74"/>
        <v>011110</v>
      </c>
      <c r="M385" t="str">
        <f>LOOKUP(J385,Lookups!$A$27:$A$42,Lookups!$B$27:$B$42)</f>
        <v>u</v>
      </c>
      <c r="N385">
        <f t="shared" si="75"/>
        <v>46</v>
      </c>
      <c r="O385">
        <f t="shared" si="76"/>
        <v>30</v>
      </c>
      <c r="P385">
        <f t="shared" si="77"/>
        <v>2974</v>
      </c>
    </row>
    <row r="386" spans="1:16" x14ac:dyDescent="0.35">
      <c r="A386" t="s">
        <v>702</v>
      </c>
      <c r="C386" t="str">
        <f t="shared" si="66"/>
        <v>3264</v>
      </c>
      <c r="D386" t="str">
        <f t="shared" si="67"/>
        <v>000131bc</v>
      </c>
      <c r="E386" t="str">
        <f t="shared" si="68"/>
        <v>00000000</v>
      </c>
      <c r="F386" t="str">
        <f t="shared" si="69"/>
        <v>00000001</v>
      </c>
      <c r="G386" t="str">
        <f t="shared" si="70"/>
        <v>00110001</v>
      </c>
      <c r="H386" t="str">
        <f t="shared" si="71"/>
        <v>10111100</v>
      </c>
      <c r="I386" t="str">
        <f t="shared" si="72"/>
        <v>00000000000000010011000110111100</v>
      </c>
      <c r="J386" t="str">
        <f t="shared" ref="J386:J449" si="78">MID(D386,4,1)</f>
        <v>1</v>
      </c>
      <c r="K386" t="str">
        <f t="shared" si="73"/>
        <v>110001</v>
      </c>
      <c r="L386" t="str">
        <f t="shared" si="74"/>
        <v>101111</v>
      </c>
      <c r="M386" t="str">
        <f>LOOKUP(J386,Lookups!$A$27:$A$42,Lookups!$B$27:$B$42)</f>
        <v>b</v>
      </c>
      <c r="N386">
        <f t="shared" si="75"/>
        <v>49</v>
      </c>
      <c r="O386">
        <f t="shared" si="76"/>
        <v>47</v>
      </c>
      <c r="P386">
        <f t="shared" si="77"/>
        <v>3183</v>
      </c>
    </row>
    <row r="387" spans="1:16" x14ac:dyDescent="0.35">
      <c r="A387" t="s">
        <v>703</v>
      </c>
      <c r="C387" t="str">
        <f t="shared" ref="C387:C449" si="79">MID(A387,1,4)</f>
        <v>3265</v>
      </c>
      <c r="D387" t="str">
        <f t="shared" ref="D387:D449" si="80">MID(A387,8,20)</f>
        <v>000933b0</v>
      </c>
      <c r="E387" t="str">
        <f t="shared" ref="E387:E449" si="81">HEX2BIN(MID(D387,1,2),8)</f>
        <v>00000000</v>
      </c>
      <c r="F387" t="str">
        <f t="shared" ref="F387:F449" si="82">HEX2BIN(MID(D387,3,2),8)</f>
        <v>00001001</v>
      </c>
      <c r="G387" t="str">
        <f t="shared" ref="G387:G449" si="83">HEX2BIN(MID(D387,5,2),8)</f>
        <v>00110011</v>
      </c>
      <c r="H387" t="str">
        <f t="shared" ref="H387:H449" si="84">HEX2BIN(MID(D387,7,2),8)</f>
        <v>10110000</v>
      </c>
      <c r="I387" t="str">
        <f t="shared" ref="I387:I449" si="85">CONCATENATE(E387,F387,G387,H387)</f>
        <v>00000000000010010011001110110000</v>
      </c>
      <c r="J387" t="str">
        <f t="shared" si="78"/>
        <v>9</v>
      </c>
      <c r="K387" t="str">
        <f t="shared" ref="K387:K449" si="86">MID(G387,3,6)</f>
        <v>110011</v>
      </c>
      <c r="L387" t="str">
        <f t="shared" ref="L387:L449" si="87">MID(H387,1,6)</f>
        <v>101100</v>
      </c>
      <c r="M387" t="str">
        <f>LOOKUP(J387,Lookups!$A$27:$A$42,Lookups!$B$27:$B$42)</f>
        <v>e</v>
      </c>
      <c r="N387">
        <f t="shared" ref="N387:N449" si="88">BIN2DEC(K387)</f>
        <v>51</v>
      </c>
      <c r="O387">
        <f t="shared" ref="O387:O449" si="89">BIN2DEC(L387)</f>
        <v>44</v>
      </c>
      <c r="P387">
        <f t="shared" ref="P387:P449" si="90">N387*64+O387</f>
        <v>3308</v>
      </c>
    </row>
    <row r="388" spans="1:16" x14ac:dyDescent="0.35">
      <c r="A388" t="s">
        <v>704</v>
      </c>
      <c r="C388" t="str">
        <f t="shared" si="79"/>
        <v>3266</v>
      </c>
      <c r="D388" t="str">
        <f t="shared" si="80"/>
        <v>000a330c</v>
      </c>
      <c r="E388" t="str">
        <f t="shared" si="81"/>
        <v>00000000</v>
      </c>
      <c r="F388" t="str">
        <f t="shared" si="82"/>
        <v>00001010</v>
      </c>
      <c r="G388" t="str">
        <f t="shared" si="83"/>
        <v>00110011</v>
      </c>
      <c r="H388" t="str">
        <f t="shared" si="84"/>
        <v>00001100</v>
      </c>
      <c r="I388" t="str">
        <f t="shared" si="85"/>
        <v>00000000000010100011001100001100</v>
      </c>
      <c r="J388" t="str">
        <f t="shared" si="78"/>
        <v>a</v>
      </c>
      <c r="K388" t="str">
        <f t="shared" si="86"/>
        <v>110011</v>
      </c>
      <c r="L388" t="str">
        <f t="shared" si="87"/>
        <v>000011</v>
      </c>
      <c r="M388" t="str">
        <f>LOOKUP(J388,Lookups!$A$27:$A$42,Lookups!$B$27:$B$42)</f>
        <v>u</v>
      </c>
      <c r="N388">
        <f t="shared" si="88"/>
        <v>51</v>
      </c>
      <c r="O388">
        <f t="shared" si="89"/>
        <v>3</v>
      </c>
      <c r="P388">
        <f t="shared" si="90"/>
        <v>3267</v>
      </c>
    </row>
    <row r="389" spans="1:16" x14ac:dyDescent="0.35">
      <c r="A389" t="s">
        <v>705</v>
      </c>
      <c r="C389" t="str">
        <f t="shared" si="79"/>
        <v>3267</v>
      </c>
      <c r="D389" t="str">
        <f t="shared" si="80"/>
        <v>000f339c</v>
      </c>
      <c r="E389" t="str">
        <f t="shared" si="81"/>
        <v>00000000</v>
      </c>
      <c r="F389" t="str">
        <f t="shared" si="82"/>
        <v>00001111</v>
      </c>
      <c r="G389" t="str">
        <f t="shared" si="83"/>
        <v>00110011</v>
      </c>
      <c r="H389" t="str">
        <f t="shared" si="84"/>
        <v>10011100</v>
      </c>
      <c r="I389" t="str">
        <f t="shared" si="85"/>
        <v>00000000000011110011001110011100</v>
      </c>
      <c r="J389" t="str">
        <f t="shared" si="78"/>
        <v>f</v>
      </c>
      <c r="K389" t="str">
        <f t="shared" si="86"/>
        <v>110011</v>
      </c>
      <c r="L389" t="str">
        <f t="shared" si="87"/>
        <v>100111</v>
      </c>
      <c r="M389" t="str">
        <f>LOOKUP(J389,Lookups!$A$27:$A$42,Lookups!$B$27:$B$42)</f>
        <v>s</v>
      </c>
      <c r="N389">
        <f t="shared" si="88"/>
        <v>51</v>
      </c>
      <c r="O389">
        <f t="shared" si="89"/>
        <v>39</v>
      </c>
      <c r="P389">
        <f t="shared" si="90"/>
        <v>3303</v>
      </c>
    </row>
    <row r="390" spans="1:16" x14ac:dyDescent="0.35">
      <c r="A390" t="s">
        <v>706</v>
      </c>
      <c r="C390" t="str">
        <f t="shared" si="79"/>
        <v>3268</v>
      </c>
      <c r="D390" t="str">
        <f t="shared" si="80"/>
        <v>000b3350</v>
      </c>
      <c r="E390" t="str">
        <f t="shared" si="81"/>
        <v>00000000</v>
      </c>
      <c r="F390" t="str">
        <f t="shared" si="82"/>
        <v>00001011</v>
      </c>
      <c r="G390" t="str">
        <f t="shared" si="83"/>
        <v>00110011</v>
      </c>
      <c r="H390" t="str">
        <f t="shared" si="84"/>
        <v>01010000</v>
      </c>
      <c r="I390" t="str">
        <f t="shared" si="85"/>
        <v>00000000000010110011001101010000</v>
      </c>
      <c r="J390" t="str">
        <f t="shared" si="78"/>
        <v>b</v>
      </c>
      <c r="K390" t="str">
        <f t="shared" si="86"/>
        <v>110011</v>
      </c>
      <c r="L390" t="str">
        <f t="shared" si="87"/>
        <v>010100</v>
      </c>
      <c r="M390" t="str">
        <f>LOOKUP(J390,Lookups!$A$27:$A$42,Lookups!$B$27:$B$42)</f>
        <v>t</v>
      </c>
      <c r="N390">
        <f t="shared" si="88"/>
        <v>51</v>
      </c>
      <c r="O390">
        <f t="shared" si="89"/>
        <v>20</v>
      </c>
      <c r="P390">
        <f t="shared" si="90"/>
        <v>3284</v>
      </c>
    </row>
    <row r="391" spans="1:16" x14ac:dyDescent="0.35">
      <c r="A391" t="s">
        <v>707</v>
      </c>
      <c r="C391" t="str">
        <f t="shared" si="79"/>
        <v>3269</v>
      </c>
      <c r="D391" t="str">
        <f t="shared" si="80"/>
        <v>000a3344</v>
      </c>
      <c r="E391" t="str">
        <f t="shared" si="81"/>
        <v>00000000</v>
      </c>
      <c r="F391" t="str">
        <f t="shared" si="82"/>
        <v>00001010</v>
      </c>
      <c r="G391" t="str">
        <f t="shared" si="83"/>
        <v>00110011</v>
      </c>
      <c r="H391" t="str">
        <f t="shared" si="84"/>
        <v>01000100</v>
      </c>
      <c r="I391" t="str">
        <f t="shared" si="85"/>
        <v>00000000000010100011001101000100</v>
      </c>
      <c r="J391" t="str">
        <f t="shared" si="78"/>
        <v>a</v>
      </c>
      <c r="K391" t="str">
        <f t="shared" si="86"/>
        <v>110011</v>
      </c>
      <c r="L391" t="str">
        <f t="shared" si="87"/>
        <v>010001</v>
      </c>
      <c r="M391" t="str">
        <f>LOOKUP(J391,Lookups!$A$27:$A$42,Lookups!$B$27:$B$42)</f>
        <v>u</v>
      </c>
      <c r="N391">
        <f t="shared" si="88"/>
        <v>51</v>
      </c>
      <c r="O391">
        <f t="shared" si="89"/>
        <v>17</v>
      </c>
      <c r="P391">
        <f t="shared" si="90"/>
        <v>3281</v>
      </c>
    </row>
    <row r="392" spans="1:16" x14ac:dyDescent="0.35">
      <c r="A392" t="s">
        <v>708</v>
      </c>
      <c r="C392" t="str">
        <f t="shared" si="79"/>
        <v>3270</v>
      </c>
      <c r="D392" t="str">
        <f t="shared" si="80"/>
        <v>7e000000</v>
      </c>
      <c r="E392" t="str">
        <f t="shared" si="81"/>
        <v>01111110</v>
      </c>
      <c r="F392" t="str">
        <f t="shared" si="82"/>
        <v>00000000</v>
      </c>
      <c r="G392" t="str">
        <f t="shared" si="83"/>
        <v>00000000</v>
      </c>
      <c r="H392" t="str">
        <f t="shared" si="84"/>
        <v>00000000</v>
      </c>
      <c r="I392" t="str">
        <f t="shared" si="85"/>
        <v>01111110000000000000000000000000</v>
      </c>
      <c r="J392" t="str">
        <f t="shared" si="78"/>
        <v>0</v>
      </c>
      <c r="K392" t="str">
        <f t="shared" si="86"/>
        <v>000000</v>
      </c>
      <c r="L392" t="str">
        <f t="shared" si="87"/>
        <v>000000</v>
      </c>
      <c r="M392" t="str">
        <f>LOOKUP(J392,Lookups!$A$27:$A$42,Lookups!$B$27:$B$42)</f>
        <v>z</v>
      </c>
      <c r="N392">
        <f t="shared" si="88"/>
        <v>0</v>
      </c>
      <c r="O392">
        <f t="shared" si="89"/>
        <v>0</v>
      </c>
      <c r="P392">
        <f t="shared" si="90"/>
        <v>0</v>
      </c>
    </row>
    <row r="393" spans="1:16" x14ac:dyDescent="0.35">
      <c r="A393" t="s">
        <v>709</v>
      </c>
      <c r="C393" t="str">
        <f t="shared" si="79"/>
        <v>3271</v>
      </c>
      <c r="D393" t="str">
        <f t="shared" si="80"/>
        <v>047e0000</v>
      </c>
      <c r="E393" t="str">
        <f t="shared" si="81"/>
        <v>00000100</v>
      </c>
      <c r="F393" t="str">
        <f t="shared" si="82"/>
        <v>01111110</v>
      </c>
      <c r="G393" t="str">
        <f t="shared" si="83"/>
        <v>00000000</v>
      </c>
      <c r="H393" t="str">
        <f t="shared" si="84"/>
        <v>00000000</v>
      </c>
      <c r="I393" t="str">
        <f t="shared" si="85"/>
        <v>00000100011111100000000000000000</v>
      </c>
      <c r="J393" t="str">
        <f t="shared" si="78"/>
        <v>e</v>
      </c>
      <c r="K393" t="str">
        <f t="shared" si="86"/>
        <v>000000</v>
      </c>
      <c r="L393" t="str">
        <f t="shared" si="87"/>
        <v>000000</v>
      </c>
      <c r="M393" t="str">
        <f>LOOKUP(J393,Lookups!$A$27:$A$42,Lookups!$B$27:$B$42)</f>
        <v>a</v>
      </c>
      <c r="N393">
        <f t="shared" si="88"/>
        <v>0</v>
      </c>
      <c r="O393">
        <f t="shared" si="89"/>
        <v>0</v>
      </c>
      <c r="P393">
        <f t="shared" si="90"/>
        <v>0</v>
      </c>
    </row>
    <row r="394" spans="1:16" x14ac:dyDescent="0.35">
      <c r="A394" t="s">
        <v>710</v>
      </c>
      <c r="C394" t="str">
        <f t="shared" si="79"/>
        <v>3272</v>
      </c>
      <c r="D394" t="str">
        <f t="shared" si="80"/>
        <v>00004000</v>
      </c>
      <c r="E394" t="str">
        <f t="shared" si="81"/>
        <v>00000000</v>
      </c>
      <c r="F394" t="str">
        <f t="shared" si="82"/>
        <v>00000000</v>
      </c>
      <c r="G394" t="str">
        <f t="shared" si="83"/>
        <v>01000000</v>
      </c>
      <c r="H394" t="str">
        <f t="shared" si="84"/>
        <v>00000000</v>
      </c>
      <c r="I394" t="str">
        <f t="shared" si="85"/>
        <v>00000000000000000100000000000000</v>
      </c>
      <c r="J394" t="str">
        <f t="shared" si="78"/>
        <v>0</v>
      </c>
      <c r="K394" t="str">
        <f t="shared" si="86"/>
        <v>000000</v>
      </c>
      <c r="L394" t="str">
        <f t="shared" si="87"/>
        <v>000000</v>
      </c>
      <c r="M394" t="str">
        <f>LOOKUP(J394,Lookups!$A$27:$A$42,Lookups!$B$27:$B$42)</f>
        <v>z</v>
      </c>
      <c r="N394">
        <f t="shared" si="88"/>
        <v>0</v>
      </c>
      <c r="O394">
        <f t="shared" si="89"/>
        <v>0</v>
      </c>
      <c r="P394">
        <f t="shared" si="90"/>
        <v>0</v>
      </c>
    </row>
    <row r="395" spans="1:16" x14ac:dyDescent="0.35">
      <c r="A395" t="s">
        <v>711</v>
      </c>
      <c r="C395" t="str">
        <f t="shared" si="79"/>
        <v>3273</v>
      </c>
      <c r="D395" t="str">
        <f t="shared" si="80"/>
        <v>00003f00</v>
      </c>
      <c r="E395" t="str">
        <f t="shared" si="81"/>
        <v>00000000</v>
      </c>
      <c r="F395" t="str">
        <f t="shared" si="82"/>
        <v>00000000</v>
      </c>
      <c r="G395" t="str">
        <f t="shared" si="83"/>
        <v>00111111</v>
      </c>
      <c r="H395" t="str">
        <f t="shared" si="84"/>
        <v>00000000</v>
      </c>
      <c r="I395" t="str">
        <f t="shared" si="85"/>
        <v>00000000000000000011111100000000</v>
      </c>
      <c r="J395" t="str">
        <f t="shared" si="78"/>
        <v>0</v>
      </c>
      <c r="K395" t="str">
        <f t="shared" si="86"/>
        <v>111111</v>
      </c>
      <c r="L395" t="str">
        <f t="shared" si="87"/>
        <v>000000</v>
      </c>
      <c r="M395" t="str">
        <f>LOOKUP(J395,Lookups!$A$27:$A$42,Lookups!$B$27:$B$42)</f>
        <v>z</v>
      </c>
      <c r="N395">
        <f t="shared" si="88"/>
        <v>63</v>
      </c>
      <c r="O395">
        <f t="shared" si="89"/>
        <v>0</v>
      </c>
      <c r="P395">
        <f t="shared" si="90"/>
        <v>4032</v>
      </c>
    </row>
    <row r="396" spans="1:16" x14ac:dyDescent="0.35">
      <c r="A396" t="s">
        <v>712</v>
      </c>
      <c r="C396" t="str">
        <f t="shared" si="79"/>
        <v>3274</v>
      </c>
      <c r="D396" t="str">
        <f t="shared" si="80"/>
        <v>00080068</v>
      </c>
      <c r="E396" t="str">
        <f t="shared" si="81"/>
        <v>00000000</v>
      </c>
      <c r="F396" t="str">
        <f t="shared" si="82"/>
        <v>00001000</v>
      </c>
      <c r="G396" t="str">
        <f t="shared" si="83"/>
        <v>00000000</v>
      </c>
      <c r="H396" t="str">
        <f t="shared" si="84"/>
        <v>01101000</v>
      </c>
      <c r="I396" t="str">
        <f t="shared" si="85"/>
        <v>00000000000010000000000001101000</v>
      </c>
      <c r="J396" t="str">
        <f t="shared" si="78"/>
        <v>8</v>
      </c>
      <c r="K396" t="str">
        <f t="shared" si="86"/>
        <v>000000</v>
      </c>
      <c r="L396" t="str">
        <f t="shared" si="87"/>
        <v>011010</v>
      </c>
      <c r="M396" t="str">
        <f>LOOKUP(J396,Lookups!$A$27:$A$42,Lookups!$B$27:$B$42)</f>
        <v>p</v>
      </c>
      <c r="N396">
        <f t="shared" si="88"/>
        <v>0</v>
      </c>
      <c r="O396">
        <f t="shared" si="89"/>
        <v>26</v>
      </c>
      <c r="P396">
        <f t="shared" si="90"/>
        <v>26</v>
      </c>
    </row>
    <row r="397" spans="1:16" x14ac:dyDescent="0.35">
      <c r="A397" t="s">
        <v>713</v>
      </c>
      <c r="C397" t="str">
        <f t="shared" si="79"/>
        <v>3275</v>
      </c>
      <c r="D397" t="str">
        <f t="shared" si="80"/>
        <v>0000000c</v>
      </c>
      <c r="E397" t="str">
        <f t="shared" si="81"/>
        <v>00000000</v>
      </c>
      <c r="F397" t="str">
        <f t="shared" si="82"/>
        <v>00000000</v>
      </c>
      <c r="G397" t="str">
        <f t="shared" si="83"/>
        <v>00000000</v>
      </c>
      <c r="H397" t="str">
        <f t="shared" si="84"/>
        <v>00001100</v>
      </c>
      <c r="I397" t="str">
        <f t="shared" si="85"/>
        <v>00000000000000000000000000001100</v>
      </c>
      <c r="J397" t="str">
        <f t="shared" si="78"/>
        <v>0</v>
      </c>
      <c r="K397" t="str">
        <f t="shared" si="86"/>
        <v>000000</v>
      </c>
      <c r="L397" t="str">
        <f t="shared" si="87"/>
        <v>000011</v>
      </c>
      <c r="M397" t="str">
        <f>LOOKUP(J397,Lookups!$A$27:$A$42,Lookups!$B$27:$B$42)</f>
        <v>z</v>
      </c>
      <c r="N397">
        <f t="shared" si="88"/>
        <v>0</v>
      </c>
      <c r="O397">
        <f t="shared" si="89"/>
        <v>3</v>
      </c>
      <c r="P397">
        <f t="shared" si="90"/>
        <v>3</v>
      </c>
    </row>
    <row r="398" spans="1:16" x14ac:dyDescent="0.35">
      <c r="A398" t="s">
        <v>714</v>
      </c>
      <c r="C398" t="str">
        <f t="shared" si="79"/>
        <v>3276</v>
      </c>
      <c r="D398" t="str">
        <f t="shared" si="80"/>
        <v>00000004</v>
      </c>
      <c r="E398" t="str">
        <f t="shared" si="81"/>
        <v>00000000</v>
      </c>
      <c r="F398" t="str">
        <f t="shared" si="82"/>
        <v>00000000</v>
      </c>
      <c r="G398" t="str">
        <f t="shared" si="83"/>
        <v>00000000</v>
      </c>
      <c r="H398" t="str">
        <f t="shared" si="84"/>
        <v>00000100</v>
      </c>
      <c r="I398" t="str">
        <f t="shared" si="85"/>
        <v>00000000000000000000000000000100</v>
      </c>
      <c r="J398" t="str">
        <f t="shared" si="78"/>
        <v>0</v>
      </c>
      <c r="K398" t="str">
        <f t="shared" si="86"/>
        <v>000000</v>
      </c>
      <c r="L398" t="str">
        <f t="shared" si="87"/>
        <v>000001</v>
      </c>
      <c r="M398" t="str">
        <f>LOOKUP(J398,Lookups!$A$27:$A$42,Lookups!$B$27:$B$42)</f>
        <v>z</v>
      </c>
      <c r="N398">
        <f t="shared" si="88"/>
        <v>0</v>
      </c>
      <c r="O398">
        <f t="shared" si="89"/>
        <v>1</v>
      </c>
      <c r="P398">
        <f t="shared" si="90"/>
        <v>1</v>
      </c>
    </row>
    <row r="399" spans="1:16" x14ac:dyDescent="0.35">
      <c r="A399" t="s">
        <v>715</v>
      </c>
      <c r="C399" t="str">
        <f t="shared" si="79"/>
        <v>3277</v>
      </c>
      <c r="D399" t="str">
        <f t="shared" si="80"/>
        <v>00000004</v>
      </c>
      <c r="E399" t="str">
        <f t="shared" si="81"/>
        <v>00000000</v>
      </c>
      <c r="F399" t="str">
        <f t="shared" si="82"/>
        <v>00000000</v>
      </c>
      <c r="G399" t="str">
        <f t="shared" si="83"/>
        <v>00000000</v>
      </c>
      <c r="H399" t="str">
        <f t="shared" si="84"/>
        <v>00000100</v>
      </c>
      <c r="I399" t="str">
        <f t="shared" si="85"/>
        <v>00000000000000000000000000000100</v>
      </c>
      <c r="J399" t="str">
        <f t="shared" si="78"/>
        <v>0</v>
      </c>
      <c r="K399" t="str">
        <f t="shared" si="86"/>
        <v>000000</v>
      </c>
      <c r="L399" t="str">
        <f t="shared" si="87"/>
        <v>000001</v>
      </c>
      <c r="M399" t="str">
        <f>LOOKUP(J399,Lookups!$A$27:$A$42,Lookups!$B$27:$B$42)</f>
        <v>z</v>
      </c>
      <c r="N399">
        <f t="shared" si="88"/>
        <v>0</v>
      </c>
      <c r="O399">
        <f t="shared" si="89"/>
        <v>1</v>
      </c>
      <c r="P399">
        <f t="shared" si="90"/>
        <v>1</v>
      </c>
    </row>
    <row r="400" spans="1:16" x14ac:dyDescent="0.35">
      <c r="A400" t="s">
        <v>716</v>
      </c>
      <c r="C400" t="str">
        <f t="shared" si="79"/>
        <v>3278</v>
      </c>
      <c r="D400" t="str">
        <f t="shared" si="80"/>
        <v>00013300</v>
      </c>
      <c r="E400" t="str">
        <f t="shared" si="81"/>
        <v>00000000</v>
      </c>
      <c r="F400" t="str">
        <f t="shared" si="82"/>
        <v>00000001</v>
      </c>
      <c r="G400" t="str">
        <f t="shared" si="83"/>
        <v>00110011</v>
      </c>
      <c r="H400" t="str">
        <f t="shared" si="84"/>
        <v>00000000</v>
      </c>
      <c r="I400" t="str">
        <f t="shared" si="85"/>
        <v>00000000000000010011001100000000</v>
      </c>
      <c r="J400" t="str">
        <f t="shared" si="78"/>
        <v>1</v>
      </c>
      <c r="K400" t="str">
        <f t="shared" si="86"/>
        <v>110011</v>
      </c>
      <c r="L400" t="str">
        <f t="shared" si="87"/>
        <v>000000</v>
      </c>
      <c r="M400" t="str">
        <f>LOOKUP(J400,Lookups!$A$27:$A$42,Lookups!$B$27:$B$42)</f>
        <v>b</v>
      </c>
      <c r="N400">
        <f t="shared" si="88"/>
        <v>51</v>
      </c>
      <c r="O400">
        <f t="shared" si="89"/>
        <v>0</v>
      </c>
      <c r="P400">
        <f t="shared" si="90"/>
        <v>3264</v>
      </c>
    </row>
    <row r="401" spans="1:16" x14ac:dyDescent="0.35">
      <c r="A401" t="s">
        <v>717</v>
      </c>
      <c r="C401" t="str">
        <f t="shared" si="79"/>
        <v>3279</v>
      </c>
      <c r="D401" t="str">
        <f t="shared" si="80"/>
        <v>000e33cc</v>
      </c>
      <c r="E401" t="str">
        <f t="shared" si="81"/>
        <v>00000000</v>
      </c>
      <c r="F401" t="str">
        <f t="shared" si="82"/>
        <v>00001110</v>
      </c>
      <c r="G401" t="str">
        <f t="shared" si="83"/>
        <v>00110011</v>
      </c>
      <c r="H401" t="str">
        <f t="shared" si="84"/>
        <v>11001100</v>
      </c>
      <c r="I401" t="str">
        <f t="shared" si="85"/>
        <v>00000000000011100011001111001100</v>
      </c>
      <c r="J401" t="str">
        <f t="shared" si="78"/>
        <v>e</v>
      </c>
      <c r="K401" t="str">
        <f t="shared" si="86"/>
        <v>110011</v>
      </c>
      <c r="L401" t="str">
        <f t="shared" si="87"/>
        <v>110011</v>
      </c>
      <c r="M401" t="str">
        <f>LOOKUP(J401,Lookups!$A$27:$A$42,Lookups!$B$27:$B$42)</f>
        <v>a</v>
      </c>
      <c r="N401">
        <f t="shared" si="88"/>
        <v>51</v>
      </c>
      <c r="O401">
        <f t="shared" si="89"/>
        <v>51</v>
      </c>
      <c r="P401">
        <f t="shared" si="90"/>
        <v>3315</v>
      </c>
    </row>
    <row r="402" spans="1:16" x14ac:dyDescent="0.35">
      <c r="A402" t="s">
        <v>718</v>
      </c>
      <c r="C402" t="str">
        <f t="shared" si="79"/>
        <v>3280</v>
      </c>
      <c r="D402" t="str">
        <f t="shared" si="80"/>
        <v>000a33a8</v>
      </c>
      <c r="E402" t="str">
        <f t="shared" si="81"/>
        <v>00000000</v>
      </c>
      <c r="F402" t="str">
        <f t="shared" si="82"/>
        <v>00001010</v>
      </c>
      <c r="G402" t="str">
        <f t="shared" si="83"/>
        <v>00110011</v>
      </c>
      <c r="H402" t="str">
        <f t="shared" si="84"/>
        <v>10101000</v>
      </c>
      <c r="I402" t="str">
        <f t="shared" si="85"/>
        <v>00000000000010100011001110101000</v>
      </c>
      <c r="J402" t="str">
        <f t="shared" si="78"/>
        <v>a</v>
      </c>
      <c r="K402" t="str">
        <f t="shared" si="86"/>
        <v>110011</v>
      </c>
      <c r="L402" t="str">
        <f t="shared" si="87"/>
        <v>101010</v>
      </c>
      <c r="M402" t="str">
        <f>LOOKUP(J402,Lookups!$A$27:$A$42,Lookups!$B$27:$B$42)</f>
        <v>u</v>
      </c>
      <c r="N402">
        <f t="shared" si="88"/>
        <v>51</v>
      </c>
      <c r="O402">
        <f t="shared" si="89"/>
        <v>42</v>
      </c>
      <c r="P402">
        <f t="shared" si="90"/>
        <v>3306</v>
      </c>
    </row>
    <row r="403" spans="1:16" x14ac:dyDescent="0.35">
      <c r="A403" t="s">
        <v>719</v>
      </c>
      <c r="C403" t="str">
        <f t="shared" si="79"/>
        <v>3281</v>
      </c>
      <c r="D403" t="str">
        <f t="shared" si="80"/>
        <v>000133cc</v>
      </c>
      <c r="E403" t="str">
        <f t="shared" si="81"/>
        <v>00000000</v>
      </c>
      <c r="F403" t="str">
        <f t="shared" si="82"/>
        <v>00000001</v>
      </c>
      <c r="G403" t="str">
        <f t="shared" si="83"/>
        <v>00110011</v>
      </c>
      <c r="H403" t="str">
        <f t="shared" si="84"/>
        <v>11001100</v>
      </c>
      <c r="I403" t="str">
        <f t="shared" si="85"/>
        <v>00000000000000010011001111001100</v>
      </c>
      <c r="J403" t="str">
        <f t="shared" si="78"/>
        <v>1</v>
      </c>
      <c r="K403" t="str">
        <f t="shared" si="86"/>
        <v>110011</v>
      </c>
      <c r="L403" t="str">
        <f t="shared" si="87"/>
        <v>110011</v>
      </c>
      <c r="M403" t="str">
        <f>LOOKUP(J403,Lookups!$A$27:$A$42,Lookups!$B$27:$B$42)</f>
        <v>b</v>
      </c>
      <c r="N403">
        <f t="shared" si="88"/>
        <v>51</v>
      </c>
      <c r="O403">
        <f t="shared" si="89"/>
        <v>51</v>
      </c>
      <c r="P403">
        <f t="shared" si="90"/>
        <v>3315</v>
      </c>
    </row>
    <row r="404" spans="1:16" x14ac:dyDescent="0.35">
      <c r="A404" t="s">
        <v>720</v>
      </c>
      <c r="C404" t="str">
        <f t="shared" si="79"/>
        <v>3282</v>
      </c>
      <c r="D404" t="str">
        <f t="shared" si="80"/>
        <v>000e3300</v>
      </c>
      <c r="E404" t="str">
        <f t="shared" si="81"/>
        <v>00000000</v>
      </c>
      <c r="F404" t="str">
        <f t="shared" si="82"/>
        <v>00001110</v>
      </c>
      <c r="G404" t="str">
        <f t="shared" si="83"/>
        <v>00110011</v>
      </c>
      <c r="H404" t="str">
        <f t="shared" si="84"/>
        <v>00000000</v>
      </c>
      <c r="I404" t="str">
        <f t="shared" si="85"/>
        <v>00000000000011100011001100000000</v>
      </c>
      <c r="J404" t="str">
        <f t="shared" si="78"/>
        <v>e</v>
      </c>
      <c r="K404" t="str">
        <f t="shared" si="86"/>
        <v>110011</v>
      </c>
      <c r="L404" t="str">
        <f t="shared" si="87"/>
        <v>000000</v>
      </c>
      <c r="M404" t="str">
        <f>LOOKUP(J404,Lookups!$A$27:$A$42,Lookups!$B$27:$B$42)</f>
        <v>a</v>
      </c>
      <c r="N404">
        <f t="shared" si="88"/>
        <v>51</v>
      </c>
      <c r="O404">
        <f t="shared" si="89"/>
        <v>0</v>
      </c>
      <c r="P404">
        <f t="shared" si="90"/>
        <v>3264</v>
      </c>
    </row>
    <row r="405" spans="1:16" x14ac:dyDescent="0.35">
      <c r="A405" t="s">
        <v>721</v>
      </c>
      <c r="C405" t="str">
        <f t="shared" si="79"/>
        <v>3283</v>
      </c>
      <c r="D405" t="str">
        <f t="shared" si="80"/>
        <v>000a33e0</v>
      </c>
      <c r="E405" t="str">
        <f t="shared" si="81"/>
        <v>00000000</v>
      </c>
      <c r="F405" t="str">
        <f t="shared" si="82"/>
        <v>00001010</v>
      </c>
      <c r="G405" t="str">
        <f t="shared" si="83"/>
        <v>00110011</v>
      </c>
      <c r="H405" t="str">
        <f t="shared" si="84"/>
        <v>11100000</v>
      </c>
      <c r="I405" t="str">
        <f t="shared" si="85"/>
        <v>00000000000010100011001111100000</v>
      </c>
      <c r="J405" t="str">
        <f t="shared" si="78"/>
        <v>a</v>
      </c>
      <c r="K405" t="str">
        <f t="shared" si="86"/>
        <v>110011</v>
      </c>
      <c r="L405" t="str">
        <f t="shared" si="87"/>
        <v>111000</v>
      </c>
      <c r="M405" t="str">
        <f>LOOKUP(J405,Lookups!$A$27:$A$42,Lookups!$B$27:$B$42)</f>
        <v>u</v>
      </c>
      <c r="N405">
        <f t="shared" si="88"/>
        <v>51</v>
      </c>
      <c r="O405">
        <f t="shared" si="89"/>
        <v>56</v>
      </c>
      <c r="P405">
        <f t="shared" si="90"/>
        <v>3320</v>
      </c>
    </row>
    <row r="406" spans="1:16" x14ac:dyDescent="0.35">
      <c r="A406" t="s">
        <v>722</v>
      </c>
      <c r="C406" t="str">
        <f t="shared" si="79"/>
        <v>3284</v>
      </c>
      <c r="D406" t="str">
        <f t="shared" si="80"/>
        <v>000e3318</v>
      </c>
      <c r="E406" t="str">
        <f t="shared" si="81"/>
        <v>00000000</v>
      </c>
      <c r="F406" t="str">
        <f t="shared" si="82"/>
        <v>00001110</v>
      </c>
      <c r="G406" t="str">
        <f t="shared" si="83"/>
        <v>00110011</v>
      </c>
      <c r="H406" t="str">
        <f t="shared" si="84"/>
        <v>00011000</v>
      </c>
      <c r="I406" t="str">
        <f t="shared" si="85"/>
        <v>00000000000011100011001100011000</v>
      </c>
      <c r="J406" t="str">
        <f t="shared" si="78"/>
        <v>e</v>
      </c>
      <c r="K406" t="str">
        <f t="shared" si="86"/>
        <v>110011</v>
      </c>
      <c r="L406" t="str">
        <f t="shared" si="87"/>
        <v>000110</v>
      </c>
      <c r="M406" t="str">
        <f>LOOKUP(J406,Lookups!$A$27:$A$42,Lookups!$B$27:$B$42)</f>
        <v>a</v>
      </c>
      <c r="N406">
        <f t="shared" si="88"/>
        <v>51</v>
      </c>
      <c r="O406">
        <f t="shared" si="89"/>
        <v>6</v>
      </c>
      <c r="P406">
        <f t="shared" si="90"/>
        <v>3270</v>
      </c>
    </row>
    <row r="407" spans="1:16" x14ac:dyDescent="0.35">
      <c r="A407" t="s">
        <v>723</v>
      </c>
      <c r="C407" t="str">
        <f t="shared" si="79"/>
        <v>3285</v>
      </c>
      <c r="D407" t="str">
        <f t="shared" si="80"/>
        <v>000c331c</v>
      </c>
      <c r="E407" t="str">
        <f t="shared" si="81"/>
        <v>00000000</v>
      </c>
      <c r="F407" t="str">
        <f t="shared" si="82"/>
        <v>00001100</v>
      </c>
      <c r="G407" t="str">
        <f t="shared" si="83"/>
        <v>00110011</v>
      </c>
      <c r="H407" t="str">
        <f t="shared" si="84"/>
        <v>00011100</v>
      </c>
      <c r="I407" t="str">
        <f t="shared" si="85"/>
        <v>00000000000011000011001100011100</v>
      </c>
      <c r="J407" t="str">
        <f t="shared" si="78"/>
        <v>c</v>
      </c>
      <c r="K407" t="str">
        <f t="shared" si="86"/>
        <v>110011</v>
      </c>
      <c r="L407" t="str">
        <f t="shared" si="87"/>
        <v>000111</v>
      </c>
      <c r="M407" t="str">
        <f>LOOKUP(J407,Lookups!$A$27:$A$42,Lookups!$B$27:$B$42)</f>
        <v>h</v>
      </c>
      <c r="N407">
        <f t="shared" si="88"/>
        <v>51</v>
      </c>
      <c r="O407">
        <f t="shared" si="89"/>
        <v>7</v>
      </c>
      <c r="P407">
        <f t="shared" si="90"/>
        <v>3271</v>
      </c>
    </row>
    <row r="408" spans="1:16" x14ac:dyDescent="0.35">
      <c r="A408" t="s">
        <v>724</v>
      </c>
      <c r="C408" t="str">
        <f t="shared" si="79"/>
        <v>3286</v>
      </c>
      <c r="D408" t="str">
        <f t="shared" si="80"/>
        <v>00073320</v>
      </c>
      <c r="E408" t="str">
        <f t="shared" si="81"/>
        <v>00000000</v>
      </c>
      <c r="F408" t="str">
        <f t="shared" si="82"/>
        <v>00000111</v>
      </c>
      <c r="G408" t="str">
        <f t="shared" si="83"/>
        <v>00110011</v>
      </c>
      <c r="H408" t="str">
        <f t="shared" si="84"/>
        <v>00100000</v>
      </c>
      <c r="I408" t="str">
        <f t="shared" si="85"/>
        <v>00000000000001110011001100100000</v>
      </c>
      <c r="J408" t="str">
        <f t="shared" si="78"/>
        <v>7</v>
      </c>
      <c r="K408" t="str">
        <f t="shared" si="86"/>
        <v>110011</v>
      </c>
      <c r="L408" t="str">
        <f t="shared" si="87"/>
        <v>001000</v>
      </c>
      <c r="M408" t="str">
        <f>LOOKUP(J408,Lookups!$A$27:$A$42,Lookups!$B$27:$B$42)</f>
        <v>m</v>
      </c>
      <c r="N408">
        <f t="shared" si="88"/>
        <v>51</v>
      </c>
      <c r="O408">
        <f t="shared" si="89"/>
        <v>8</v>
      </c>
      <c r="P408">
        <f t="shared" si="90"/>
        <v>3272</v>
      </c>
    </row>
    <row r="409" spans="1:16" x14ac:dyDescent="0.35">
      <c r="A409" t="s">
        <v>725</v>
      </c>
      <c r="C409" t="str">
        <f t="shared" si="79"/>
        <v>3287</v>
      </c>
      <c r="D409" t="str">
        <f t="shared" si="80"/>
        <v>00093324</v>
      </c>
      <c r="E409" t="str">
        <f t="shared" si="81"/>
        <v>00000000</v>
      </c>
      <c r="F409" t="str">
        <f t="shared" si="82"/>
        <v>00001001</v>
      </c>
      <c r="G409" t="str">
        <f t="shared" si="83"/>
        <v>00110011</v>
      </c>
      <c r="H409" t="str">
        <f t="shared" si="84"/>
        <v>00100100</v>
      </c>
      <c r="I409" t="str">
        <f t="shared" si="85"/>
        <v>00000000000010010011001100100100</v>
      </c>
      <c r="J409" t="str">
        <f t="shared" si="78"/>
        <v>9</v>
      </c>
      <c r="K409" t="str">
        <f t="shared" si="86"/>
        <v>110011</v>
      </c>
      <c r="L409" t="str">
        <f t="shared" si="87"/>
        <v>001001</v>
      </c>
      <c r="M409" t="str">
        <f>LOOKUP(J409,Lookups!$A$27:$A$42,Lookups!$B$27:$B$42)</f>
        <v>e</v>
      </c>
      <c r="N409">
        <f t="shared" si="88"/>
        <v>51</v>
      </c>
      <c r="O409">
        <f t="shared" si="89"/>
        <v>9</v>
      </c>
      <c r="P409">
        <f t="shared" si="90"/>
        <v>3273</v>
      </c>
    </row>
    <row r="410" spans="1:16" x14ac:dyDescent="0.35">
      <c r="A410" t="s">
        <v>726</v>
      </c>
      <c r="C410" t="str">
        <f t="shared" si="79"/>
        <v>3288</v>
      </c>
      <c r="D410" t="str">
        <f t="shared" si="80"/>
        <v>000e3328</v>
      </c>
      <c r="E410" t="str">
        <f t="shared" si="81"/>
        <v>00000000</v>
      </c>
      <c r="F410" t="str">
        <f t="shared" si="82"/>
        <v>00001110</v>
      </c>
      <c r="G410" t="str">
        <f t="shared" si="83"/>
        <v>00110011</v>
      </c>
      <c r="H410" t="str">
        <f t="shared" si="84"/>
        <v>00101000</v>
      </c>
      <c r="I410" t="str">
        <f t="shared" si="85"/>
        <v>00000000000011100011001100101000</v>
      </c>
      <c r="J410" t="str">
        <f t="shared" si="78"/>
        <v>e</v>
      </c>
      <c r="K410" t="str">
        <f t="shared" si="86"/>
        <v>110011</v>
      </c>
      <c r="L410" t="str">
        <f t="shared" si="87"/>
        <v>001010</v>
      </c>
      <c r="M410" t="str">
        <f>LOOKUP(J410,Lookups!$A$27:$A$42,Lookups!$B$27:$B$42)</f>
        <v>a</v>
      </c>
      <c r="N410">
        <f t="shared" si="88"/>
        <v>51</v>
      </c>
      <c r="O410">
        <f t="shared" si="89"/>
        <v>10</v>
      </c>
      <c r="P410">
        <f t="shared" si="90"/>
        <v>3274</v>
      </c>
    </row>
    <row r="411" spans="1:16" x14ac:dyDescent="0.35">
      <c r="A411" t="s">
        <v>727</v>
      </c>
      <c r="C411" t="str">
        <f t="shared" si="79"/>
        <v>3289</v>
      </c>
      <c r="D411" t="str">
        <f t="shared" si="80"/>
        <v>000d33bc</v>
      </c>
      <c r="E411" t="str">
        <f t="shared" si="81"/>
        <v>00000000</v>
      </c>
      <c r="F411" t="str">
        <f t="shared" si="82"/>
        <v>00001101</v>
      </c>
      <c r="G411" t="str">
        <f t="shared" si="83"/>
        <v>00110011</v>
      </c>
      <c r="H411" t="str">
        <f t="shared" si="84"/>
        <v>10111100</v>
      </c>
      <c r="I411" t="str">
        <f t="shared" si="85"/>
        <v>00000000000011010011001110111100</v>
      </c>
      <c r="J411" t="str">
        <f t="shared" si="78"/>
        <v>d</v>
      </c>
      <c r="K411" t="str">
        <f t="shared" si="86"/>
        <v>110011</v>
      </c>
      <c r="L411" t="str">
        <f t="shared" si="87"/>
        <v>101111</v>
      </c>
      <c r="M411" t="str">
        <f>LOOKUP(J411,Lookups!$A$27:$A$42,Lookups!$B$27:$B$42)</f>
        <v>c</v>
      </c>
      <c r="N411">
        <f t="shared" si="88"/>
        <v>51</v>
      </c>
      <c r="O411">
        <f t="shared" si="89"/>
        <v>47</v>
      </c>
      <c r="P411">
        <f t="shared" si="90"/>
        <v>3311</v>
      </c>
    </row>
    <row r="412" spans="1:16" x14ac:dyDescent="0.35">
      <c r="A412" t="s">
        <v>728</v>
      </c>
      <c r="C412" t="str">
        <f t="shared" si="79"/>
        <v>3290</v>
      </c>
      <c r="D412" t="str">
        <f t="shared" si="80"/>
        <v>000a3338</v>
      </c>
      <c r="E412" t="str">
        <f t="shared" si="81"/>
        <v>00000000</v>
      </c>
      <c r="F412" t="str">
        <f t="shared" si="82"/>
        <v>00001010</v>
      </c>
      <c r="G412" t="str">
        <f t="shared" si="83"/>
        <v>00110011</v>
      </c>
      <c r="H412" t="str">
        <f t="shared" si="84"/>
        <v>00111000</v>
      </c>
      <c r="I412" t="str">
        <f t="shared" si="85"/>
        <v>00000000000010100011001100111000</v>
      </c>
      <c r="J412" t="str">
        <f t="shared" si="78"/>
        <v>a</v>
      </c>
      <c r="K412" t="str">
        <f t="shared" si="86"/>
        <v>110011</v>
      </c>
      <c r="L412" t="str">
        <f t="shared" si="87"/>
        <v>001110</v>
      </c>
      <c r="M412" t="str">
        <f>LOOKUP(J412,Lookups!$A$27:$A$42,Lookups!$B$27:$B$42)</f>
        <v>u</v>
      </c>
      <c r="N412">
        <f t="shared" si="88"/>
        <v>51</v>
      </c>
      <c r="O412">
        <f t="shared" si="89"/>
        <v>14</v>
      </c>
      <c r="P412">
        <f t="shared" si="90"/>
        <v>3278</v>
      </c>
    </row>
    <row r="413" spans="1:16" x14ac:dyDescent="0.35">
      <c r="A413" t="s">
        <v>729</v>
      </c>
      <c r="C413" t="str">
        <f t="shared" si="79"/>
        <v>3291</v>
      </c>
      <c r="D413" t="str">
        <f t="shared" si="80"/>
        <v>000e3318</v>
      </c>
      <c r="E413" t="str">
        <f t="shared" si="81"/>
        <v>00000000</v>
      </c>
      <c r="F413" t="str">
        <f t="shared" si="82"/>
        <v>00001110</v>
      </c>
      <c r="G413" t="str">
        <f t="shared" si="83"/>
        <v>00110011</v>
      </c>
      <c r="H413" t="str">
        <f t="shared" si="84"/>
        <v>00011000</v>
      </c>
      <c r="I413" t="str">
        <f t="shared" si="85"/>
        <v>00000000000011100011001100011000</v>
      </c>
      <c r="J413" t="str">
        <f t="shared" si="78"/>
        <v>e</v>
      </c>
      <c r="K413" t="str">
        <f t="shared" si="86"/>
        <v>110011</v>
      </c>
      <c r="L413" t="str">
        <f t="shared" si="87"/>
        <v>000110</v>
      </c>
      <c r="M413" t="str">
        <f>LOOKUP(J413,Lookups!$A$27:$A$42,Lookups!$B$27:$B$42)</f>
        <v>a</v>
      </c>
      <c r="N413">
        <f t="shared" si="88"/>
        <v>51</v>
      </c>
      <c r="O413">
        <f t="shared" si="89"/>
        <v>6</v>
      </c>
      <c r="P413">
        <f t="shared" si="90"/>
        <v>3270</v>
      </c>
    </row>
    <row r="414" spans="1:16" x14ac:dyDescent="0.35">
      <c r="A414" t="s">
        <v>730</v>
      </c>
      <c r="C414" t="str">
        <f t="shared" si="79"/>
        <v>3292</v>
      </c>
      <c r="D414" t="str">
        <f t="shared" si="80"/>
        <v>000c331c</v>
      </c>
      <c r="E414" t="str">
        <f t="shared" si="81"/>
        <v>00000000</v>
      </c>
      <c r="F414" t="str">
        <f t="shared" si="82"/>
        <v>00001100</v>
      </c>
      <c r="G414" t="str">
        <f t="shared" si="83"/>
        <v>00110011</v>
      </c>
      <c r="H414" t="str">
        <f t="shared" si="84"/>
        <v>00011100</v>
      </c>
      <c r="I414" t="str">
        <f t="shared" si="85"/>
        <v>00000000000011000011001100011100</v>
      </c>
      <c r="J414" t="str">
        <f t="shared" si="78"/>
        <v>c</v>
      </c>
      <c r="K414" t="str">
        <f t="shared" si="86"/>
        <v>110011</v>
      </c>
      <c r="L414" t="str">
        <f t="shared" si="87"/>
        <v>000111</v>
      </c>
      <c r="M414" t="str">
        <f>LOOKUP(J414,Lookups!$A$27:$A$42,Lookups!$B$27:$B$42)</f>
        <v>h</v>
      </c>
      <c r="N414">
        <f t="shared" si="88"/>
        <v>51</v>
      </c>
      <c r="O414">
        <f t="shared" si="89"/>
        <v>7</v>
      </c>
      <c r="P414">
        <f t="shared" si="90"/>
        <v>3271</v>
      </c>
    </row>
    <row r="415" spans="1:16" x14ac:dyDescent="0.35">
      <c r="A415" t="s">
        <v>731</v>
      </c>
      <c r="C415" t="str">
        <f t="shared" si="79"/>
        <v>3293</v>
      </c>
      <c r="D415" t="str">
        <f t="shared" si="80"/>
        <v>00073320</v>
      </c>
      <c r="E415" t="str">
        <f t="shared" si="81"/>
        <v>00000000</v>
      </c>
      <c r="F415" t="str">
        <f t="shared" si="82"/>
        <v>00000111</v>
      </c>
      <c r="G415" t="str">
        <f t="shared" si="83"/>
        <v>00110011</v>
      </c>
      <c r="H415" t="str">
        <f t="shared" si="84"/>
        <v>00100000</v>
      </c>
      <c r="I415" t="str">
        <f t="shared" si="85"/>
        <v>00000000000001110011001100100000</v>
      </c>
      <c r="J415" t="str">
        <f t="shared" si="78"/>
        <v>7</v>
      </c>
      <c r="K415" t="str">
        <f t="shared" si="86"/>
        <v>110011</v>
      </c>
      <c r="L415" t="str">
        <f t="shared" si="87"/>
        <v>001000</v>
      </c>
      <c r="M415" t="str">
        <f>LOOKUP(J415,Lookups!$A$27:$A$42,Lookups!$B$27:$B$42)</f>
        <v>m</v>
      </c>
      <c r="N415">
        <f t="shared" si="88"/>
        <v>51</v>
      </c>
      <c r="O415">
        <f t="shared" si="89"/>
        <v>8</v>
      </c>
      <c r="P415">
        <f t="shared" si="90"/>
        <v>3272</v>
      </c>
    </row>
    <row r="416" spans="1:16" x14ac:dyDescent="0.35">
      <c r="A416" t="s">
        <v>732</v>
      </c>
      <c r="C416" t="str">
        <f t="shared" si="79"/>
        <v>3294</v>
      </c>
      <c r="D416" t="str">
        <f t="shared" si="80"/>
        <v>00093324</v>
      </c>
      <c r="E416" t="str">
        <f t="shared" si="81"/>
        <v>00000000</v>
      </c>
      <c r="F416" t="str">
        <f t="shared" si="82"/>
        <v>00001001</v>
      </c>
      <c r="G416" t="str">
        <f t="shared" si="83"/>
        <v>00110011</v>
      </c>
      <c r="H416" t="str">
        <f t="shared" si="84"/>
        <v>00100100</v>
      </c>
      <c r="I416" t="str">
        <f t="shared" si="85"/>
        <v>00000000000010010011001100100100</v>
      </c>
      <c r="J416" t="str">
        <f t="shared" si="78"/>
        <v>9</v>
      </c>
      <c r="K416" t="str">
        <f t="shared" si="86"/>
        <v>110011</v>
      </c>
      <c r="L416" t="str">
        <f t="shared" si="87"/>
        <v>001001</v>
      </c>
      <c r="M416" t="str">
        <f>LOOKUP(J416,Lookups!$A$27:$A$42,Lookups!$B$27:$B$42)</f>
        <v>e</v>
      </c>
      <c r="N416">
        <f t="shared" si="88"/>
        <v>51</v>
      </c>
      <c r="O416">
        <f t="shared" si="89"/>
        <v>9</v>
      </c>
      <c r="P416">
        <f t="shared" si="90"/>
        <v>3273</v>
      </c>
    </row>
    <row r="417" spans="1:16" x14ac:dyDescent="0.35">
      <c r="A417" t="s">
        <v>733</v>
      </c>
      <c r="C417" t="str">
        <f t="shared" si="79"/>
        <v>3295</v>
      </c>
      <c r="D417" t="str">
        <f t="shared" si="80"/>
        <v>000e3328</v>
      </c>
      <c r="E417" t="str">
        <f t="shared" si="81"/>
        <v>00000000</v>
      </c>
      <c r="F417" t="str">
        <f t="shared" si="82"/>
        <v>00001110</v>
      </c>
      <c r="G417" t="str">
        <f t="shared" si="83"/>
        <v>00110011</v>
      </c>
      <c r="H417" t="str">
        <f t="shared" si="84"/>
        <v>00101000</v>
      </c>
      <c r="I417" t="str">
        <f t="shared" si="85"/>
        <v>00000000000011100011001100101000</v>
      </c>
      <c r="J417" t="str">
        <f t="shared" si="78"/>
        <v>e</v>
      </c>
      <c r="K417" t="str">
        <f t="shared" si="86"/>
        <v>110011</v>
      </c>
      <c r="L417" t="str">
        <f t="shared" si="87"/>
        <v>001010</v>
      </c>
      <c r="M417" t="str">
        <f>LOOKUP(J417,Lookups!$A$27:$A$42,Lookups!$B$27:$B$42)</f>
        <v>a</v>
      </c>
      <c r="N417">
        <f t="shared" si="88"/>
        <v>51</v>
      </c>
      <c r="O417">
        <f t="shared" si="89"/>
        <v>10</v>
      </c>
      <c r="P417">
        <f t="shared" si="90"/>
        <v>3274</v>
      </c>
    </row>
    <row r="418" spans="1:16" x14ac:dyDescent="0.35">
      <c r="A418" t="s">
        <v>734</v>
      </c>
      <c r="C418" t="str">
        <f t="shared" si="79"/>
        <v>3296</v>
      </c>
      <c r="D418" t="str">
        <f t="shared" si="80"/>
        <v>000d33bc</v>
      </c>
      <c r="E418" t="str">
        <f t="shared" si="81"/>
        <v>00000000</v>
      </c>
      <c r="F418" t="str">
        <f t="shared" si="82"/>
        <v>00001101</v>
      </c>
      <c r="G418" t="str">
        <f t="shared" si="83"/>
        <v>00110011</v>
      </c>
      <c r="H418" t="str">
        <f t="shared" si="84"/>
        <v>10111100</v>
      </c>
      <c r="I418" t="str">
        <f t="shared" si="85"/>
        <v>00000000000011010011001110111100</v>
      </c>
      <c r="J418" t="str">
        <f t="shared" si="78"/>
        <v>d</v>
      </c>
      <c r="K418" t="str">
        <f t="shared" si="86"/>
        <v>110011</v>
      </c>
      <c r="L418" t="str">
        <f t="shared" si="87"/>
        <v>101111</v>
      </c>
      <c r="M418" t="str">
        <f>LOOKUP(J418,Lookups!$A$27:$A$42,Lookups!$B$27:$B$42)</f>
        <v>c</v>
      </c>
      <c r="N418">
        <f t="shared" si="88"/>
        <v>51</v>
      </c>
      <c r="O418">
        <f t="shared" si="89"/>
        <v>47</v>
      </c>
      <c r="P418">
        <f t="shared" si="90"/>
        <v>3311</v>
      </c>
    </row>
    <row r="419" spans="1:16" x14ac:dyDescent="0.35">
      <c r="A419" t="s">
        <v>735</v>
      </c>
      <c r="C419" t="str">
        <f t="shared" si="79"/>
        <v>3297</v>
      </c>
      <c r="D419" t="str">
        <f t="shared" si="80"/>
        <v>000f3330</v>
      </c>
      <c r="E419" t="str">
        <f t="shared" si="81"/>
        <v>00000000</v>
      </c>
      <c r="F419" t="str">
        <f t="shared" si="82"/>
        <v>00001111</v>
      </c>
      <c r="G419" t="str">
        <f t="shared" si="83"/>
        <v>00110011</v>
      </c>
      <c r="H419" t="str">
        <f t="shared" si="84"/>
        <v>00110000</v>
      </c>
      <c r="I419" t="str">
        <f t="shared" si="85"/>
        <v>00000000000011110011001100110000</v>
      </c>
      <c r="J419" t="str">
        <f t="shared" si="78"/>
        <v>f</v>
      </c>
      <c r="K419" t="str">
        <f t="shared" si="86"/>
        <v>110011</v>
      </c>
      <c r="L419" t="str">
        <f t="shared" si="87"/>
        <v>001100</v>
      </c>
      <c r="M419" t="str">
        <f>LOOKUP(J419,Lookups!$A$27:$A$42,Lookups!$B$27:$B$42)</f>
        <v>s</v>
      </c>
      <c r="N419">
        <f t="shared" si="88"/>
        <v>51</v>
      </c>
      <c r="O419">
        <f t="shared" si="89"/>
        <v>12</v>
      </c>
      <c r="P419">
        <f t="shared" si="90"/>
        <v>3276</v>
      </c>
    </row>
    <row r="420" spans="1:16" x14ac:dyDescent="0.35">
      <c r="A420" t="s">
        <v>736</v>
      </c>
      <c r="C420" t="str">
        <f t="shared" si="79"/>
        <v>3298</v>
      </c>
      <c r="D420" t="str">
        <f t="shared" si="80"/>
        <v>000e3334</v>
      </c>
      <c r="E420" t="str">
        <f t="shared" si="81"/>
        <v>00000000</v>
      </c>
      <c r="F420" t="str">
        <f t="shared" si="82"/>
        <v>00001110</v>
      </c>
      <c r="G420" t="str">
        <f t="shared" si="83"/>
        <v>00110011</v>
      </c>
      <c r="H420" t="str">
        <f t="shared" si="84"/>
        <v>00110100</v>
      </c>
      <c r="I420" t="str">
        <f t="shared" si="85"/>
        <v>00000000000011100011001100110100</v>
      </c>
      <c r="J420" t="str">
        <f t="shared" si="78"/>
        <v>e</v>
      </c>
      <c r="K420" t="str">
        <f t="shared" si="86"/>
        <v>110011</v>
      </c>
      <c r="L420" t="str">
        <f t="shared" si="87"/>
        <v>001101</v>
      </c>
      <c r="M420" t="str">
        <f>LOOKUP(J420,Lookups!$A$27:$A$42,Lookups!$B$27:$B$42)</f>
        <v>a</v>
      </c>
      <c r="N420">
        <f t="shared" si="88"/>
        <v>51</v>
      </c>
      <c r="O420">
        <f t="shared" si="89"/>
        <v>13</v>
      </c>
      <c r="P420">
        <f t="shared" si="90"/>
        <v>3277</v>
      </c>
    </row>
    <row r="421" spans="1:16" x14ac:dyDescent="0.35">
      <c r="A421" t="s">
        <v>737</v>
      </c>
      <c r="C421" t="str">
        <f t="shared" si="79"/>
        <v>3299</v>
      </c>
      <c r="D421" t="str">
        <f t="shared" si="80"/>
        <v>00000000</v>
      </c>
      <c r="E421" t="str">
        <f t="shared" si="81"/>
        <v>00000000</v>
      </c>
      <c r="F421" t="str">
        <f t="shared" si="82"/>
        <v>00000000</v>
      </c>
      <c r="G421" t="str">
        <f t="shared" si="83"/>
        <v>00000000</v>
      </c>
      <c r="H421" t="str">
        <f t="shared" si="84"/>
        <v>00000000</v>
      </c>
      <c r="I421" t="str">
        <f t="shared" si="85"/>
        <v>00000000000000000000000000000000</v>
      </c>
      <c r="J421" t="str">
        <f t="shared" si="78"/>
        <v>0</v>
      </c>
      <c r="K421" t="str">
        <f t="shared" si="86"/>
        <v>000000</v>
      </c>
      <c r="L421" t="str">
        <f t="shared" si="87"/>
        <v>000000</v>
      </c>
      <c r="M421" t="str">
        <f>LOOKUP(J421,Lookups!$A$27:$A$42,Lookups!$B$27:$B$42)</f>
        <v>z</v>
      </c>
      <c r="N421">
        <f t="shared" si="88"/>
        <v>0</v>
      </c>
      <c r="O421">
        <f t="shared" si="89"/>
        <v>0</v>
      </c>
      <c r="P421">
        <f t="shared" si="90"/>
        <v>0</v>
      </c>
    </row>
    <row r="422" spans="1:16" x14ac:dyDescent="0.35">
      <c r="A422" t="s">
        <v>738</v>
      </c>
      <c r="C422" t="str">
        <f t="shared" si="79"/>
        <v>3300</v>
      </c>
      <c r="D422" t="str">
        <f t="shared" si="80"/>
        <v>000b3300</v>
      </c>
      <c r="E422" t="str">
        <f t="shared" si="81"/>
        <v>00000000</v>
      </c>
      <c r="F422" t="str">
        <f t="shared" si="82"/>
        <v>00001011</v>
      </c>
      <c r="G422" t="str">
        <f t="shared" si="83"/>
        <v>00110011</v>
      </c>
      <c r="H422" t="str">
        <f t="shared" si="84"/>
        <v>00000000</v>
      </c>
      <c r="I422" t="str">
        <f t="shared" si="85"/>
        <v>00000000000010110011001100000000</v>
      </c>
      <c r="J422" t="str">
        <f t="shared" si="78"/>
        <v>b</v>
      </c>
      <c r="K422" t="str">
        <f t="shared" si="86"/>
        <v>110011</v>
      </c>
      <c r="L422" t="str">
        <f t="shared" si="87"/>
        <v>000000</v>
      </c>
      <c r="M422" t="str">
        <f>LOOKUP(J422,Lookups!$A$27:$A$42,Lookups!$B$27:$B$42)</f>
        <v>t</v>
      </c>
      <c r="N422">
        <f t="shared" si="88"/>
        <v>51</v>
      </c>
      <c r="O422">
        <f t="shared" si="89"/>
        <v>0</v>
      </c>
      <c r="P422">
        <f t="shared" si="90"/>
        <v>3264</v>
      </c>
    </row>
    <row r="423" spans="1:16" x14ac:dyDescent="0.35">
      <c r="A423" t="s">
        <v>739</v>
      </c>
      <c r="C423" t="str">
        <f t="shared" si="79"/>
        <v>3301</v>
      </c>
      <c r="D423" t="str">
        <f t="shared" si="80"/>
        <v>000a33bc</v>
      </c>
      <c r="E423" t="str">
        <f t="shared" si="81"/>
        <v>00000000</v>
      </c>
      <c r="F423" t="str">
        <f t="shared" si="82"/>
        <v>00001010</v>
      </c>
      <c r="G423" t="str">
        <f t="shared" si="83"/>
        <v>00110011</v>
      </c>
      <c r="H423" t="str">
        <f t="shared" si="84"/>
        <v>10111100</v>
      </c>
      <c r="I423" t="str">
        <f t="shared" si="85"/>
        <v>00000000000010100011001110111100</v>
      </c>
      <c r="J423" t="str">
        <f t="shared" si="78"/>
        <v>a</v>
      </c>
      <c r="K423" t="str">
        <f t="shared" si="86"/>
        <v>110011</v>
      </c>
      <c r="L423" t="str">
        <f t="shared" si="87"/>
        <v>101111</v>
      </c>
      <c r="M423" t="str">
        <f>LOOKUP(J423,Lookups!$A$27:$A$42,Lookups!$B$27:$B$42)</f>
        <v>u</v>
      </c>
      <c r="N423">
        <f t="shared" si="88"/>
        <v>51</v>
      </c>
      <c r="O423">
        <f t="shared" si="89"/>
        <v>47</v>
      </c>
      <c r="P423">
        <f t="shared" si="90"/>
        <v>3311</v>
      </c>
    </row>
    <row r="424" spans="1:16" x14ac:dyDescent="0.35">
      <c r="A424" t="s">
        <v>740</v>
      </c>
      <c r="C424" t="str">
        <f t="shared" si="79"/>
        <v>3302</v>
      </c>
      <c r="D424" t="str">
        <f t="shared" si="80"/>
        <v>00000100</v>
      </c>
      <c r="E424" t="str">
        <f t="shared" si="81"/>
        <v>00000000</v>
      </c>
      <c r="F424" t="str">
        <f t="shared" si="82"/>
        <v>00000000</v>
      </c>
      <c r="G424" t="str">
        <f t="shared" si="83"/>
        <v>00000001</v>
      </c>
      <c r="H424" t="str">
        <f t="shared" si="84"/>
        <v>00000000</v>
      </c>
      <c r="I424" t="str">
        <f t="shared" si="85"/>
        <v>00000000000000000000000100000000</v>
      </c>
      <c r="J424" t="str">
        <f t="shared" si="78"/>
        <v>0</v>
      </c>
      <c r="K424" t="str">
        <f t="shared" si="86"/>
        <v>000001</v>
      </c>
      <c r="L424" t="str">
        <f t="shared" si="87"/>
        <v>000000</v>
      </c>
      <c r="M424" t="str">
        <f>LOOKUP(J424,Lookups!$A$27:$A$42,Lookups!$B$27:$B$42)</f>
        <v>z</v>
      </c>
      <c r="N424">
        <f t="shared" si="88"/>
        <v>1</v>
      </c>
      <c r="O424">
        <f t="shared" si="89"/>
        <v>0</v>
      </c>
      <c r="P424">
        <f t="shared" si="90"/>
        <v>64</v>
      </c>
    </row>
    <row r="425" spans="1:16" x14ac:dyDescent="0.35">
      <c r="A425" t="s">
        <v>741</v>
      </c>
      <c r="C425" t="str">
        <f t="shared" si="79"/>
        <v>3303</v>
      </c>
      <c r="D425" t="str">
        <f t="shared" si="80"/>
        <v>7e000000</v>
      </c>
      <c r="E425" t="str">
        <f t="shared" si="81"/>
        <v>01111110</v>
      </c>
      <c r="F425" t="str">
        <f t="shared" si="82"/>
        <v>00000000</v>
      </c>
      <c r="G425" t="str">
        <f t="shared" si="83"/>
        <v>00000000</v>
      </c>
      <c r="H425" t="str">
        <f t="shared" si="84"/>
        <v>00000000</v>
      </c>
      <c r="I425" t="str">
        <f t="shared" si="85"/>
        <v>01111110000000000000000000000000</v>
      </c>
      <c r="J425" t="str">
        <f t="shared" si="78"/>
        <v>0</v>
      </c>
      <c r="K425" t="str">
        <f t="shared" si="86"/>
        <v>000000</v>
      </c>
      <c r="L425" t="str">
        <f t="shared" si="87"/>
        <v>000000</v>
      </c>
      <c r="M425" t="str">
        <f>LOOKUP(J425,Lookups!$A$27:$A$42,Lookups!$B$27:$B$42)</f>
        <v>z</v>
      </c>
      <c r="N425">
        <f t="shared" si="88"/>
        <v>0</v>
      </c>
      <c r="O425">
        <f t="shared" si="89"/>
        <v>0</v>
      </c>
      <c r="P425">
        <f t="shared" si="90"/>
        <v>0</v>
      </c>
    </row>
    <row r="426" spans="1:16" x14ac:dyDescent="0.35">
      <c r="A426" t="s">
        <v>742</v>
      </c>
      <c r="C426" t="str">
        <f t="shared" si="79"/>
        <v>3304</v>
      </c>
      <c r="D426" t="str">
        <f t="shared" si="80"/>
        <v>00013300</v>
      </c>
      <c r="E426" t="str">
        <f t="shared" si="81"/>
        <v>00000000</v>
      </c>
      <c r="F426" t="str">
        <f t="shared" si="82"/>
        <v>00000001</v>
      </c>
      <c r="G426" t="str">
        <f t="shared" si="83"/>
        <v>00110011</v>
      </c>
      <c r="H426" t="str">
        <f t="shared" si="84"/>
        <v>00000000</v>
      </c>
      <c r="I426" t="str">
        <f t="shared" si="85"/>
        <v>00000000000000010011001100000000</v>
      </c>
      <c r="J426" t="str">
        <f t="shared" si="78"/>
        <v>1</v>
      </c>
      <c r="K426" t="str">
        <f t="shared" si="86"/>
        <v>110011</v>
      </c>
      <c r="L426" t="str">
        <f t="shared" si="87"/>
        <v>000000</v>
      </c>
      <c r="M426" t="str">
        <f>LOOKUP(J426,Lookups!$A$27:$A$42,Lookups!$B$27:$B$42)</f>
        <v>b</v>
      </c>
      <c r="N426">
        <f t="shared" si="88"/>
        <v>51</v>
      </c>
      <c r="O426">
        <f t="shared" si="89"/>
        <v>0</v>
      </c>
      <c r="P426">
        <f t="shared" si="90"/>
        <v>3264</v>
      </c>
    </row>
    <row r="427" spans="1:16" x14ac:dyDescent="0.35">
      <c r="A427" t="s">
        <v>743</v>
      </c>
      <c r="C427" t="str">
        <f t="shared" si="79"/>
        <v>3305</v>
      </c>
      <c r="D427" t="str">
        <f t="shared" si="80"/>
        <v>000a33e0</v>
      </c>
      <c r="E427" t="str">
        <f t="shared" si="81"/>
        <v>00000000</v>
      </c>
      <c r="F427" t="str">
        <f t="shared" si="82"/>
        <v>00001010</v>
      </c>
      <c r="G427" t="str">
        <f t="shared" si="83"/>
        <v>00110011</v>
      </c>
      <c r="H427" t="str">
        <f t="shared" si="84"/>
        <v>11100000</v>
      </c>
      <c r="I427" t="str">
        <f t="shared" si="85"/>
        <v>00000000000010100011001111100000</v>
      </c>
      <c r="J427" t="str">
        <f t="shared" si="78"/>
        <v>a</v>
      </c>
      <c r="K427" t="str">
        <f t="shared" si="86"/>
        <v>110011</v>
      </c>
      <c r="L427" t="str">
        <f t="shared" si="87"/>
        <v>111000</v>
      </c>
      <c r="M427" t="str">
        <f>LOOKUP(J427,Lookups!$A$27:$A$42,Lookups!$B$27:$B$42)</f>
        <v>u</v>
      </c>
      <c r="N427">
        <f t="shared" si="88"/>
        <v>51</v>
      </c>
      <c r="O427">
        <f t="shared" si="89"/>
        <v>56</v>
      </c>
      <c r="P427">
        <f t="shared" si="90"/>
        <v>3320</v>
      </c>
    </row>
    <row r="428" spans="1:16" x14ac:dyDescent="0.35">
      <c r="A428" t="s">
        <v>744</v>
      </c>
      <c r="C428" t="str">
        <f t="shared" si="79"/>
        <v>3306</v>
      </c>
      <c r="D428" t="str">
        <f t="shared" si="80"/>
        <v>00023300</v>
      </c>
      <c r="E428" t="str">
        <f t="shared" si="81"/>
        <v>00000000</v>
      </c>
      <c r="F428" t="str">
        <f t="shared" si="82"/>
        <v>00000010</v>
      </c>
      <c r="G428" t="str">
        <f t="shared" si="83"/>
        <v>00110011</v>
      </c>
      <c r="H428" t="str">
        <f t="shared" si="84"/>
        <v>00000000</v>
      </c>
      <c r="I428" t="str">
        <f t="shared" si="85"/>
        <v>00000000000000100011001100000000</v>
      </c>
      <c r="J428" t="str">
        <f t="shared" si="78"/>
        <v>2</v>
      </c>
      <c r="K428" t="str">
        <f t="shared" si="86"/>
        <v>110011</v>
      </c>
      <c r="L428" t="str">
        <f t="shared" si="87"/>
        <v>000000</v>
      </c>
      <c r="M428" t="str">
        <f>LOOKUP(J428,Lookups!$A$27:$A$42,Lookups!$B$27:$B$42)</f>
        <v>y</v>
      </c>
      <c r="N428">
        <f t="shared" si="88"/>
        <v>51</v>
      </c>
      <c r="O428">
        <f t="shared" si="89"/>
        <v>0</v>
      </c>
      <c r="P428">
        <f t="shared" si="90"/>
        <v>3264</v>
      </c>
    </row>
    <row r="429" spans="1:16" x14ac:dyDescent="0.35">
      <c r="A429" t="s">
        <v>745</v>
      </c>
      <c r="C429" t="str">
        <f t="shared" si="79"/>
        <v>3307</v>
      </c>
      <c r="D429" t="str">
        <f t="shared" si="80"/>
        <v>000a33b8</v>
      </c>
      <c r="E429" t="str">
        <f t="shared" si="81"/>
        <v>00000000</v>
      </c>
      <c r="F429" t="str">
        <f t="shared" si="82"/>
        <v>00001010</v>
      </c>
      <c r="G429" t="str">
        <f t="shared" si="83"/>
        <v>00110011</v>
      </c>
      <c r="H429" t="str">
        <f t="shared" si="84"/>
        <v>10111000</v>
      </c>
      <c r="I429" t="str">
        <f t="shared" si="85"/>
        <v>00000000000010100011001110111000</v>
      </c>
      <c r="J429" t="str">
        <f t="shared" si="78"/>
        <v>a</v>
      </c>
      <c r="K429" t="str">
        <f t="shared" si="86"/>
        <v>110011</v>
      </c>
      <c r="L429" t="str">
        <f t="shared" si="87"/>
        <v>101110</v>
      </c>
      <c r="M429" t="str">
        <f>LOOKUP(J429,Lookups!$A$27:$A$42,Lookups!$B$27:$B$42)</f>
        <v>u</v>
      </c>
      <c r="N429">
        <f t="shared" si="88"/>
        <v>51</v>
      </c>
      <c r="O429">
        <f t="shared" si="89"/>
        <v>46</v>
      </c>
      <c r="P429">
        <f t="shared" si="90"/>
        <v>3310</v>
      </c>
    </row>
    <row r="430" spans="1:16" x14ac:dyDescent="0.35">
      <c r="A430" t="s">
        <v>746</v>
      </c>
      <c r="C430" t="str">
        <f t="shared" si="79"/>
        <v>3308</v>
      </c>
      <c r="D430" t="str">
        <f t="shared" si="80"/>
        <v>7e7e7e7e</v>
      </c>
      <c r="E430" t="str">
        <f t="shared" si="81"/>
        <v>01111110</v>
      </c>
      <c r="F430" t="str">
        <f t="shared" si="82"/>
        <v>01111110</v>
      </c>
      <c r="G430" t="str">
        <f t="shared" si="83"/>
        <v>01111110</v>
      </c>
      <c r="H430" t="str">
        <f t="shared" si="84"/>
        <v>01111110</v>
      </c>
      <c r="I430" t="str">
        <f t="shared" si="85"/>
        <v>01111110011111100111111001111110</v>
      </c>
      <c r="J430" t="str">
        <f t="shared" si="78"/>
        <v>e</v>
      </c>
      <c r="K430" t="str">
        <f t="shared" si="86"/>
        <v>111110</v>
      </c>
      <c r="L430" t="str">
        <f t="shared" si="87"/>
        <v>011111</v>
      </c>
      <c r="M430" t="str">
        <f>LOOKUP(J430,Lookups!$A$27:$A$42,Lookups!$B$27:$B$42)</f>
        <v>a</v>
      </c>
      <c r="N430">
        <f t="shared" si="88"/>
        <v>62</v>
      </c>
      <c r="O430">
        <f t="shared" si="89"/>
        <v>31</v>
      </c>
      <c r="P430">
        <f t="shared" si="90"/>
        <v>3999</v>
      </c>
    </row>
    <row r="431" spans="1:16" x14ac:dyDescent="0.35">
      <c r="A431" t="s">
        <v>747</v>
      </c>
      <c r="C431" t="str">
        <f t="shared" si="79"/>
        <v>3309</v>
      </c>
      <c r="D431" t="str">
        <f t="shared" si="80"/>
        <v>0000004c</v>
      </c>
      <c r="E431" t="str">
        <f t="shared" si="81"/>
        <v>00000000</v>
      </c>
      <c r="F431" t="str">
        <f t="shared" si="82"/>
        <v>00000000</v>
      </c>
      <c r="G431" t="str">
        <f t="shared" si="83"/>
        <v>00000000</v>
      </c>
      <c r="H431" t="str">
        <f t="shared" si="84"/>
        <v>01001100</v>
      </c>
      <c r="I431" t="str">
        <f t="shared" si="85"/>
        <v>00000000000000000000000001001100</v>
      </c>
      <c r="J431" t="str">
        <f t="shared" si="78"/>
        <v>0</v>
      </c>
      <c r="K431" t="str">
        <f t="shared" si="86"/>
        <v>000000</v>
      </c>
      <c r="L431" t="str">
        <f t="shared" si="87"/>
        <v>010011</v>
      </c>
      <c r="M431" t="str">
        <f>LOOKUP(J431,Lookups!$A$27:$A$42,Lookups!$B$27:$B$42)</f>
        <v>z</v>
      </c>
      <c r="N431">
        <f t="shared" si="88"/>
        <v>0</v>
      </c>
      <c r="O431">
        <f t="shared" si="89"/>
        <v>19</v>
      </c>
      <c r="P431">
        <f t="shared" si="90"/>
        <v>19</v>
      </c>
    </row>
    <row r="432" spans="1:16" x14ac:dyDescent="0.35">
      <c r="A432" t="s">
        <v>748</v>
      </c>
      <c r="C432" t="str">
        <f t="shared" si="79"/>
        <v>3310</v>
      </c>
      <c r="D432" t="str">
        <f t="shared" si="80"/>
        <v>0001332c</v>
      </c>
      <c r="E432" t="str">
        <f t="shared" si="81"/>
        <v>00000000</v>
      </c>
      <c r="F432" t="str">
        <f t="shared" si="82"/>
        <v>00000001</v>
      </c>
      <c r="G432" t="str">
        <f t="shared" si="83"/>
        <v>00110011</v>
      </c>
      <c r="H432" t="str">
        <f t="shared" si="84"/>
        <v>00101100</v>
      </c>
      <c r="I432" t="str">
        <f t="shared" si="85"/>
        <v>00000000000000010011001100101100</v>
      </c>
      <c r="J432" t="str">
        <f t="shared" si="78"/>
        <v>1</v>
      </c>
      <c r="K432" t="str">
        <f t="shared" si="86"/>
        <v>110011</v>
      </c>
      <c r="L432" t="str">
        <f t="shared" si="87"/>
        <v>001011</v>
      </c>
      <c r="M432" t="str">
        <f>LOOKUP(J432,Lookups!$A$27:$A$42,Lookups!$B$27:$B$42)</f>
        <v>b</v>
      </c>
      <c r="N432">
        <f t="shared" si="88"/>
        <v>51</v>
      </c>
      <c r="O432">
        <f t="shared" si="89"/>
        <v>11</v>
      </c>
      <c r="P432">
        <f t="shared" si="90"/>
        <v>3275</v>
      </c>
    </row>
    <row r="433" spans="1:16" x14ac:dyDescent="0.35">
      <c r="A433" t="s">
        <v>749</v>
      </c>
      <c r="C433" t="str">
        <f t="shared" si="79"/>
        <v>3311</v>
      </c>
      <c r="D433" t="str">
        <f t="shared" si="80"/>
        <v>00080268</v>
      </c>
      <c r="E433" t="str">
        <f t="shared" si="81"/>
        <v>00000000</v>
      </c>
      <c r="F433" t="str">
        <f t="shared" si="82"/>
        <v>00001000</v>
      </c>
      <c r="G433" t="str">
        <f t="shared" si="83"/>
        <v>00000010</v>
      </c>
      <c r="H433" t="str">
        <f t="shared" si="84"/>
        <v>01101000</v>
      </c>
      <c r="I433" t="str">
        <f t="shared" si="85"/>
        <v>00000000000010000000001001101000</v>
      </c>
      <c r="J433" t="str">
        <f t="shared" si="78"/>
        <v>8</v>
      </c>
      <c r="K433" t="str">
        <f t="shared" si="86"/>
        <v>000010</v>
      </c>
      <c r="L433" t="str">
        <f t="shared" si="87"/>
        <v>011010</v>
      </c>
      <c r="M433" t="str">
        <f>LOOKUP(J433,Lookups!$A$27:$A$42,Lookups!$B$27:$B$42)</f>
        <v>p</v>
      </c>
      <c r="N433">
        <f t="shared" si="88"/>
        <v>2</v>
      </c>
      <c r="O433">
        <f t="shared" si="89"/>
        <v>26</v>
      </c>
      <c r="P433">
        <f t="shared" si="90"/>
        <v>154</v>
      </c>
    </row>
    <row r="434" spans="1:16" x14ac:dyDescent="0.35">
      <c r="A434" t="s">
        <v>750</v>
      </c>
      <c r="C434" t="str">
        <f t="shared" si="79"/>
        <v>3312</v>
      </c>
      <c r="D434" t="str">
        <f t="shared" si="80"/>
        <v>000c3334</v>
      </c>
      <c r="E434" t="str">
        <f t="shared" si="81"/>
        <v>00000000</v>
      </c>
      <c r="F434" t="str">
        <f t="shared" si="82"/>
        <v>00001100</v>
      </c>
      <c r="G434" t="str">
        <f t="shared" si="83"/>
        <v>00110011</v>
      </c>
      <c r="H434" t="str">
        <f t="shared" si="84"/>
        <v>00110100</v>
      </c>
      <c r="I434" t="str">
        <f t="shared" si="85"/>
        <v>00000000000011000011001100110100</v>
      </c>
      <c r="J434" t="str">
        <f t="shared" si="78"/>
        <v>c</v>
      </c>
      <c r="K434" t="str">
        <f t="shared" si="86"/>
        <v>110011</v>
      </c>
      <c r="L434" t="str">
        <f t="shared" si="87"/>
        <v>001101</v>
      </c>
      <c r="M434" t="str">
        <f>LOOKUP(J434,Lookups!$A$27:$A$42,Lookups!$B$27:$B$42)</f>
        <v>h</v>
      </c>
      <c r="N434">
        <f t="shared" si="88"/>
        <v>51</v>
      </c>
      <c r="O434">
        <f t="shared" si="89"/>
        <v>13</v>
      </c>
      <c r="P434">
        <f t="shared" si="90"/>
        <v>3277</v>
      </c>
    </row>
    <row r="435" spans="1:16" x14ac:dyDescent="0.35">
      <c r="A435" t="s">
        <v>751</v>
      </c>
      <c r="C435" t="str">
        <f t="shared" si="79"/>
        <v>3313</v>
      </c>
      <c r="D435" t="str">
        <f t="shared" si="80"/>
        <v>0001331c</v>
      </c>
      <c r="E435" t="str">
        <f t="shared" si="81"/>
        <v>00000000</v>
      </c>
      <c r="F435" t="str">
        <f t="shared" si="82"/>
        <v>00000001</v>
      </c>
      <c r="G435" t="str">
        <f t="shared" si="83"/>
        <v>00110011</v>
      </c>
      <c r="H435" t="str">
        <f t="shared" si="84"/>
        <v>00011100</v>
      </c>
      <c r="I435" t="str">
        <f t="shared" si="85"/>
        <v>00000000000000010011001100011100</v>
      </c>
      <c r="J435" t="str">
        <f t="shared" si="78"/>
        <v>1</v>
      </c>
      <c r="K435" t="str">
        <f t="shared" si="86"/>
        <v>110011</v>
      </c>
      <c r="L435" t="str">
        <f t="shared" si="87"/>
        <v>000111</v>
      </c>
      <c r="M435" t="str">
        <f>LOOKUP(J435,Lookups!$A$27:$A$42,Lookups!$B$27:$B$42)</f>
        <v>b</v>
      </c>
      <c r="N435">
        <f t="shared" si="88"/>
        <v>51</v>
      </c>
      <c r="O435">
        <f t="shared" si="89"/>
        <v>7</v>
      </c>
      <c r="P435">
        <f t="shared" si="90"/>
        <v>3271</v>
      </c>
    </row>
    <row r="436" spans="1:16" x14ac:dyDescent="0.35">
      <c r="A436" t="s">
        <v>752</v>
      </c>
      <c r="C436" t="str">
        <f t="shared" si="79"/>
        <v>3314</v>
      </c>
      <c r="D436" t="str">
        <f t="shared" si="80"/>
        <v>000a33d0</v>
      </c>
      <c r="E436" t="str">
        <f t="shared" si="81"/>
        <v>00000000</v>
      </c>
      <c r="F436" t="str">
        <f t="shared" si="82"/>
        <v>00001010</v>
      </c>
      <c r="G436" t="str">
        <f t="shared" si="83"/>
        <v>00110011</v>
      </c>
      <c r="H436" t="str">
        <f t="shared" si="84"/>
        <v>11010000</v>
      </c>
      <c r="I436" t="str">
        <f t="shared" si="85"/>
        <v>00000000000010100011001111010000</v>
      </c>
      <c r="J436" t="str">
        <f t="shared" si="78"/>
        <v>a</v>
      </c>
      <c r="K436" t="str">
        <f t="shared" si="86"/>
        <v>110011</v>
      </c>
      <c r="L436" t="str">
        <f t="shared" si="87"/>
        <v>110100</v>
      </c>
      <c r="M436" t="str">
        <f>LOOKUP(J436,Lookups!$A$27:$A$42,Lookups!$B$27:$B$42)</f>
        <v>u</v>
      </c>
      <c r="N436">
        <f t="shared" si="88"/>
        <v>51</v>
      </c>
      <c r="O436">
        <f t="shared" si="89"/>
        <v>52</v>
      </c>
      <c r="P436">
        <f t="shared" si="90"/>
        <v>3316</v>
      </c>
    </row>
    <row r="437" spans="1:16" x14ac:dyDescent="0.35">
      <c r="A437" t="s">
        <v>753</v>
      </c>
      <c r="C437" t="str">
        <f t="shared" si="79"/>
        <v>3315</v>
      </c>
      <c r="D437" t="str">
        <f t="shared" si="80"/>
        <v>00000004</v>
      </c>
      <c r="E437" t="str">
        <f t="shared" si="81"/>
        <v>00000000</v>
      </c>
      <c r="F437" t="str">
        <f t="shared" si="82"/>
        <v>00000000</v>
      </c>
      <c r="G437" t="str">
        <f t="shared" si="83"/>
        <v>00000000</v>
      </c>
      <c r="H437" t="str">
        <f t="shared" si="84"/>
        <v>00000100</v>
      </c>
      <c r="I437" t="str">
        <f t="shared" si="85"/>
        <v>00000000000000000000000000000100</v>
      </c>
      <c r="J437" t="str">
        <f t="shared" si="78"/>
        <v>0</v>
      </c>
      <c r="K437" t="str">
        <f t="shared" si="86"/>
        <v>000000</v>
      </c>
      <c r="L437" t="str">
        <f t="shared" si="87"/>
        <v>000001</v>
      </c>
      <c r="M437" t="str">
        <f>LOOKUP(J437,Lookups!$A$27:$A$42,Lookups!$B$27:$B$42)</f>
        <v>z</v>
      </c>
      <c r="N437">
        <f t="shared" si="88"/>
        <v>0</v>
      </c>
      <c r="O437">
        <f t="shared" si="89"/>
        <v>1</v>
      </c>
      <c r="P437">
        <f t="shared" si="90"/>
        <v>1</v>
      </c>
    </row>
    <row r="438" spans="1:16" x14ac:dyDescent="0.35">
      <c r="A438" t="s">
        <v>754</v>
      </c>
      <c r="C438" t="str">
        <f t="shared" si="79"/>
        <v>3316</v>
      </c>
      <c r="D438" t="str">
        <f t="shared" si="80"/>
        <v>00063398</v>
      </c>
      <c r="E438" t="str">
        <f t="shared" si="81"/>
        <v>00000000</v>
      </c>
      <c r="F438" t="str">
        <f t="shared" si="82"/>
        <v>00000110</v>
      </c>
      <c r="G438" t="str">
        <f t="shared" si="83"/>
        <v>00110011</v>
      </c>
      <c r="H438" t="str">
        <f t="shared" si="84"/>
        <v>10011000</v>
      </c>
      <c r="I438" t="str">
        <f t="shared" si="85"/>
        <v>00000000000001100011001110011000</v>
      </c>
      <c r="J438" t="str">
        <f t="shared" si="78"/>
        <v>6</v>
      </c>
      <c r="K438" t="str">
        <f t="shared" si="86"/>
        <v>110011</v>
      </c>
      <c r="L438" t="str">
        <f t="shared" si="87"/>
        <v>100110</v>
      </c>
      <c r="M438" t="str">
        <f>LOOKUP(J438,Lookups!$A$27:$A$42,Lookups!$B$27:$B$42)</f>
        <v>n</v>
      </c>
      <c r="N438">
        <f t="shared" si="88"/>
        <v>51</v>
      </c>
      <c r="O438">
        <f t="shared" si="89"/>
        <v>38</v>
      </c>
      <c r="P438">
        <f t="shared" si="90"/>
        <v>3302</v>
      </c>
    </row>
    <row r="439" spans="1:16" x14ac:dyDescent="0.35">
      <c r="A439" t="s">
        <v>755</v>
      </c>
      <c r="C439" t="str">
        <f t="shared" si="79"/>
        <v>3317</v>
      </c>
      <c r="D439" t="str">
        <f t="shared" si="80"/>
        <v>000f339c</v>
      </c>
      <c r="E439" t="str">
        <f t="shared" si="81"/>
        <v>00000000</v>
      </c>
      <c r="F439" t="str">
        <f t="shared" si="82"/>
        <v>00001111</v>
      </c>
      <c r="G439" t="str">
        <f t="shared" si="83"/>
        <v>00110011</v>
      </c>
      <c r="H439" t="str">
        <f t="shared" si="84"/>
        <v>10011100</v>
      </c>
      <c r="I439" t="str">
        <f t="shared" si="85"/>
        <v>00000000000011110011001110011100</v>
      </c>
      <c r="J439" t="str">
        <f t="shared" si="78"/>
        <v>f</v>
      </c>
      <c r="K439" t="str">
        <f t="shared" si="86"/>
        <v>110011</v>
      </c>
      <c r="L439" t="str">
        <f t="shared" si="87"/>
        <v>100111</v>
      </c>
      <c r="M439" t="str">
        <f>LOOKUP(J439,Lookups!$A$27:$A$42,Lookups!$B$27:$B$42)</f>
        <v>s</v>
      </c>
      <c r="N439">
        <f t="shared" si="88"/>
        <v>51</v>
      </c>
      <c r="O439">
        <f t="shared" si="89"/>
        <v>39</v>
      </c>
      <c r="P439">
        <f t="shared" si="90"/>
        <v>3303</v>
      </c>
    </row>
    <row r="440" spans="1:16" x14ac:dyDescent="0.35">
      <c r="A440" t="s">
        <v>756</v>
      </c>
      <c r="C440" t="str">
        <f t="shared" si="79"/>
        <v>3318</v>
      </c>
      <c r="D440" t="str">
        <f t="shared" si="80"/>
        <v>000b336c</v>
      </c>
      <c r="E440" t="str">
        <f t="shared" si="81"/>
        <v>00000000</v>
      </c>
      <c r="F440" t="str">
        <f t="shared" si="82"/>
        <v>00001011</v>
      </c>
      <c r="G440" t="str">
        <f t="shared" si="83"/>
        <v>00110011</v>
      </c>
      <c r="H440" t="str">
        <f t="shared" si="84"/>
        <v>01101100</v>
      </c>
      <c r="I440" t="str">
        <f t="shared" si="85"/>
        <v>00000000000010110011001101101100</v>
      </c>
      <c r="J440" t="str">
        <f t="shared" si="78"/>
        <v>b</v>
      </c>
      <c r="K440" t="str">
        <f t="shared" si="86"/>
        <v>110011</v>
      </c>
      <c r="L440" t="str">
        <f t="shared" si="87"/>
        <v>011011</v>
      </c>
      <c r="M440" t="str">
        <f>LOOKUP(J440,Lookups!$A$27:$A$42,Lookups!$B$27:$B$42)</f>
        <v>t</v>
      </c>
      <c r="N440">
        <f t="shared" si="88"/>
        <v>51</v>
      </c>
      <c r="O440">
        <f t="shared" si="89"/>
        <v>27</v>
      </c>
      <c r="P440">
        <f t="shared" si="90"/>
        <v>3291</v>
      </c>
    </row>
    <row r="441" spans="1:16" x14ac:dyDescent="0.35">
      <c r="A441" t="s">
        <v>757</v>
      </c>
      <c r="C441" t="str">
        <f t="shared" si="79"/>
        <v>3319</v>
      </c>
      <c r="D441" t="str">
        <f t="shared" si="80"/>
        <v>000a339c</v>
      </c>
      <c r="E441" t="str">
        <f t="shared" si="81"/>
        <v>00000000</v>
      </c>
      <c r="F441" t="str">
        <f t="shared" si="82"/>
        <v>00001010</v>
      </c>
      <c r="G441" t="str">
        <f t="shared" si="83"/>
        <v>00110011</v>
      </c>
      <c r="H441" t="str">
        <f t="shared" si="84"/>
        <v>10011100</v>
      </c>
      <c r="I441" t="str">
        <f t="shared" si="85"/>
        <v>00000000000010100011001110011100</v>
      </c>
      <c r="J441" t="str">
        <f t="shared" si="78"/>
        <v>a</v>
      </c>
      <c r="K441" t="str">
        <f t="shared" si="86"/>
        <v>110011</v>
      </c>
      <c r="L441" t="str">
        <f t="shared" si="87"/>
        <v>100111</v>
      </c>
      <c r="M441" t="str">
        <f>LOOKUP(J441,Lookups!$A$27:$A$42,Lookups!$B$27:$B$42)</f>
        <v>u</v>
      </c>
      <c r="N441">
        <f t="shared" si="88"/>
        <v>51</v>
      </c>
      <c r="O441">
        <f t="shared" si="89"/>
        <v>39</v>
      </c>
      <c r="P441">
        <f t="shared" si="90"/>
        <v>3303</v>
      </c>
    </row>
    <row r="442" spans="1:16" x14ac:dyDescent="0.35">
      <c r="A442" t="s">
        <v>758</v>
      </c>
      <c r="C442" t="str">
        <f t="shared" si="79"/>
        <v>3320</v>
      </c>
      <c r="D442" t="str">
        <f t="shared" si="80"/>
        <v>000233e4</v>
      </c>
      <c r="E442" t="str">
        <f t="shared" si="81"/>
        <v>00000000</v>
      </c>
      <c r="F442" t="str">
        <f t="shared" si="82"/>
        <v>00000010</v>
      </c>
      <c r="G442" t="str">
        <f t="shared" si="83"/>
        <v>00110011</v>
      </c>
      <c r="H442" t="str">
        <f t="shared" si="84"/>
        <v>11100100</v>
      </c>
      <c r="I442" t="str">
        <f t="shared" si="85"/>
        <v>00000000000000100011001111100100</v>
      </c>
      <c r="J442" t="str">
        <f t="shared" si="78"/>
        <v>2</v>
      </c>
      <c r="K442" t="str">
        <f t="shared" si="86"/>
        <v>110011</v>
      </c>
      <c r="L442" t="str">
        <f t="shared" si="87"/>
        <v>111001</v>
      </c>
      <c r="M442" t="str">
        <f>LOOKUP(J442,Lookups!$A$27:$A$42,Lookups!$B$27:$B$42)</f>
        <v>y</v>
      </c>
      <c r="N442">
        <f t="shared" si="88"/>
        <v>51</v>
      </c>
      <c r="O442">
        <f t="shared" si="89"/>
        <v>57</v>
      </c>
      <c r="P442">
        <f t="shared" si="90"/>
        <v>3321</v>
      </c>
    </row>
    <row r="443" spans="1:16" x14ac:dyDescent="0.35">
      <c r="A443" t="s">
        <v>759</v>
      </c>
      <c r="C443" t="str">
        <f t="shared" si="79"/>
        <v>3321</v>
      </c>
      <c r="D443" t="str">
        <f t="shared" si="80"/>
        <v>000a31bc</v>
      </c>
      <c r="E443" t="str">
        <f t="shared" si="81"/>
        <v>00000000</v>
      </c>
      <c r="F443" t="str">
        <f t="shared" si="82"/>
        <v>00001010</v>
      </c>
      <c r="G443" t="str">
        <f t="shared" si="83"/>
        <v>00110001</v>
      </c>
      <c r="H443" t="str">
        <f t="shared" si="84"/>
        <v>10111100</v>
      </c>
      <c r="I443" t="str">
        <f t="shared" si="85"/>
        <v>00000000000010100011000110111100</v>
      </c>
      <c r="J443" t="str">
        <f t="shared" si="78"/>
        <v>a</v>
      </c>
      <c r="K443" t="str">
        <f t="shared" si="86"/>
        <v>110001</v>
      </c>
      <c r="L443" t="str">
        <f t="shared" si="87"/>
        <v>101111</v>
      </c>
      <c r="M443" t="str">
        <f>LOOKUP(J443,Lookups!$A$27:$A$42,Lookups!$B$27:$B$42)</f>
        <v>u</v>
      </c>
      <c r="N443">
        <f t="shared" si="88"/>
        <v>49</v>
      </c>
      <c r="O443">
        <f t="shared" si="89"/>
        <v>47</v>
      </c>
      <c r="P443">
        <f t="shared" si="90"/>
        <v>3183</v>
      </c>
    </row>
    <row r="444" spans="1:16" x14ac:dyDescent="0.35">
      <c r="A444" t="s">
        <v>760</v>
      </c>
      <c r="C444" t="str">
        <f t="shared" si="79"/>
        <v>3322</v>
      </c>
      <c r="D444" t="str">
        <f t="shared" si="80"/>
        <v>00013278</v>
      </c>
      <c r="E444" t="str">
        <f t="shared" si="81"/>
        <v>00000000</v>
      </c>
      <c r="F444" t="str">
        <f t="shared" si="82"/>
        <v>00000001</v>
      </c>
      <c r="G444" t="str">
        <f t="shared" si="83"/>
        <v>00110010</v>
      </c>
      <c r="H444" t="str">
        <f t="shared" si="84"/>
        <v>01111000</v>
      </c>
      <c r="I444" t="str">
        <f t="shared" si="85"/>
        <v>00000000000000010011001001111000</v>
      </c>
      <c r="J444" t="str">
        <f t="shared" si="78"/>
        <v>1</v>
      </c>
      <c r="K444" t="str">
        <f t="shared" si="86"/>
        <v>110010</v>
      </c>
      <c r="L444" t="str">
        <f t="shared" si="87"/>
        <v>011110</v>
      </c>
      <c r="M444" t="str">
        <f>LOOKUP(J444,Lookups!$A$27:$A$42,Lookups!$B$27:$B$42)</f>
        <v>b</v>
      </c>
      <c r="N444">
        <f t="shared" si="88"/>
        <v>50</v>
      </c>
      <c r="O444">
        <f t="shared" si="89"/>
        <v>30</v>
      </c>
      <c r="P444">
        <f t="shared" si="90"/>
        <v>3230</v>
      </c>
    </row>
    <row r="445" spans="1:16" x14ac:dyDescent="0.35">
      <c r="A445" t="s">
        <v>761</v>
      </c>
      <c r="C445" t="str">
        <f t="shared" si="79"/>
        <v>3323</v>
      </c>
      <c r="D445" t="str">
        <f t="shared" si="80"/>
        <v>000f2e8c</v>
      </c>
      <c r="E445" t="str">
        <f t="shared" si="81"/>
        <v>00000000</v>
      </c>
      <c r="F445" t="str">
        <f t="shared" si="82"/>
        <v>00001111</v>
      </c>
      <c r="G445" t="str">
        <f t="shared" si="83"/>
        <v>00101110</v>
      </c>
      <c r="H445" t="str">
        <f t="shared" si="84"/>
        <v>10001100</v>
      </c>
      <c r="I445" t="str">
        <f t="shared" si="85"/>
        <v>00000000000011110010111010001100</v>
      </c>
      <c r="J445" t="str">
        <f t="shared" si="78"/>
        <v>f</v>
      </c>
      <c r="K445" t="str">
        <f t="shared" si="86"/>
        <v>101110</v>
      </c>
      <c r="L445" t="str">
        <f t="shared" si="87"/>
        <v>100011</v>
      </c>
      <c r="M445" t="str">
        <f>LOOKUP(J445,Lookups!$A$27:$A$42,Lookups!$B$27:$B$42)</f>
        <v>s</v>
      </c>
      <c r="N445">
        <f t="shared" si="88"/>
        <v>46</v>
      </c>
      <c r="O445">
        <f t="shared" si="89"/>
        <v>35</v>
      </c>
      <c r="P445">
        <f t="shared" si="90"/>
        <v>2979</v>
      </c>
    </row>
    <row r="446" spans="1:16" x14ac:dyDescent="0.35">
      <c r="A446" t="s">
        <v>762</v>
      </c>
      <c r="C446" t="str">
        <f t="shared" si="79"/>
        <v>3324</v>
      </c>
      <c r="D446" t="str">
        <f t="shared" si="80"/>
        <v>000d3278</v>
      </c>
      <c r="E446" t="str">
        <f t="shared" si="81"/>
        <v>00000000</v>
      </c>
      <c r="F446" t="str">
        <f t="shared" si="82"/>
        <v>00001101</v>
      </c>
      <c r="G446" t="str">
        <f t="shared" si="83"/>
        <v>00110010</v>
      </c>
      <c r="H446" t="str">
        <f t="shared" si="84"/>
        <v>01111000</v>
      </c>
      <c r="I446" t="str">
        <f t="shared" si="85"/>
        <v>00000000000011010011001001111000</v>
      </c>
      <c r="J446" t="str">
        <f t="shared" si="78"/>
        <v>d</v>
      </c>
      <c r="K446" t="str">
        <f t="shared" si="86"/>
        <v>110010</v>
      </c>
      <c r="L446" t="str">
        <f t="shared" si="87"/>
        <v>011110</v>
      </c>
      <c r="M446" t="str">
        <f>LOOKUP(J446,Lookups!$A$27:$A$42,Lookups!$B$27:$B$42)</f>
        <v>c</v>
      </c>
      <c r="N446">
        <f t="shared" si="88"/>
        <v>50</v>
      </c>
      <c r="O446">
        <f t="shared" si="89"/>
        <v>30</v>
      </c>
      <c r="P446">
        <f t="shared" si="90"/>
        <v>3230</v>
      </c>
    </row>
    <row r="447" spans="1:16" x14ac:dyDescent="0.35">
      <c r="A447" t="s">
        <v>763</v>
      </c>
      <c r="C447" t="str">
        <f t="shared" si="79"/>
        <v>3325</v>
      </c>
      <c r="D447" t="str">
        <f t="shared" si="80"/>
        <v>00012e78</v>
      </c>
      <c r="E447" t="str">
        <f t="shared" si="81"/>
        <v>00000000</v>
      </c>
      <c r="F447" t="str">
        <f t="shared" si="82"/>
        <v>00000001</v>
      </c>
      <c r="G447" t="str">
        <f t="shared" si="83"/>
        <v>00101110</v>
      </c>
      <c r="H447" t="str">
        <f t="shared" si="84"/>
        <v>01111000</v>
      </c>
      <c r="I447" t="str">
        <f t="shared" si="85"/>
        <v>00000000000000010010111001111000</v>
      </c>
      <c r="J447" t="str">
        <f t="shared" si="78"/>
        <v>1</v>
      </c>
      <c r="K447" t="str">
        <f t="shared" si="86"/>
        <v>101110</v>
      </c>
      <c r="L447" t="str">
        <f t="shared" si="87"/>
        <v>011110</v>
      </c>
      <c r="M447" t="str">
        <f>LOOKUP(J447,Lookups!$A$27:$A$42,Lookups!$B$27:$B$42)</f>
        <v>b</v>
      </c>
      <c r="N447">
        <f t="shared" si="88"/>
        <v>46</v>
      </c>
      <c r="O447">
        <f t="shared" si="89"/>
        <v>30</v>
      </c>
      <c r="P447">
        <f t="shared" si="90"/>
        <v>2974</v>
      </c>
    </row>
    <row r="448" spans="1:16" x14ac:dyDescent="0.35">
      <c r="A448" t="s">
        <v>764</v>
      </c>
      <c r="C448" t="str">
        <f t="shared" si="79"/>
        <v>3326</v>
      </c>
      <c r="D448" t="str">
        <f t="shared" si="80"/>
        <v>000d2f8c</v>
      </c>
      <c r="E448" t="str">
        <f t="shared" si="81"/>
        <v>00000000</v>
      </c>
      <c r="F448" t="str">
        <f t="shared" si="82"/>
        <v>00001101</v>
      </c>
      <c r="G448" t="str">
        <f t="shared" si="83"/>
        <v>00101111</v>
      </c>
      <c r="H448" t="str">
        <f t="shared" si="84"/>
        <v>10001100</v>
      </c>
      <c r="I448" t="str">
        <f t="shared" si="85"/>
        <v>00000000000011010010111110001100</v>
      </c>
      <c r="J448" t="str">
        <f t="shared" si="78"/>
        <v>d</v>
      </c>
      <c r="K448" t="str">
        <f t="shared" si="86"/>
        <v>101111</v>
      </c>
      <c r="L448" t="str">
        <f t="shared" si="87"/>
        <v>100011</v>
      </c>
      <c r="M448" t="str">
        <f>LOOKUP(J448,Lookups!$A$27:$A$42,Lookups!$B$27:$B$42)</f>
        <v>c</v>
      </c>
      <c r="N448">
        <f t="shared" si="88"/>
        <v>47</v>
      </c>
      <c r="O448">
        <f t="shared" si="89"/>
        <v>35</v>
      </c>
      <c r="P448">
        <f t="shared" si="90"/>
        <v>3043</v>
      </c>
    </row>
    <row r="449" spans="1:16" x14ac:dyDescent="0.35">
      <c r="A449" t="s">
        <v>765</v>
      </c>
      <c r="C449" t="str">
        <f t="shared" si="79"/>
        <v>3327</v>
      </c>
      <c r="D449" t="str">
        <f t="shared" si="80"/>
        <v>000a316c</v>
      </c>
      <c r="E449" t="str">
        <f t="shared" si="81"/>
        <v>00000000</v>
      </c>
      <c r="F449" t="str">
        <f t="shared" si="82"/>
        <v>00001010</v>
      </c>
      <c r="G449" t="str">
        <f t="shared" si="83"/>
        <v>00110001</v>
      </c>
      <c r="H449" t="str">
        <f t="shared" si="84"/>
        <v>01101100</v>
      </c>
      <c r="I449" t="str">
        <f t="shared" si="85"/>
        <v>00000000000010100011000101101100</v>
      </c>
      <c r="J449" t="str">
        <f t="shared" si="78"/>
        <v>a</v>
      </c>
      <c r="K449" t="str">
        <f t="shared" si="86"/>
        <v>110001</v>
      </c>
      <c r="L449" t="str">
        <f t="shared" si="87"/>
        <v>011011</v>
      </c>
      <c r="M449" t="str">
        <f>LOOKUP(J449,Lookups!$A$27:$A$42,Lookups!$B$27:$B$42)</f>
        <v>u</v>
      </c>
      <c r="N449">
        <f t="shared" si="88"/>
        <v>49</v>
      </c>
      <c r="O449">
        <f t="shared" si="89"/>
        <v>27</v>
      </c>
      <c r="P449">
        <f t="shared" si="90"/>
        <v>3163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2B8F-453A-4741-A37A-7A18B5AD7860}">
  <dimension ref="A1:G449"/>
  <sheetViews>
    <sheetView workbookViewId="0"/>
  </sheetViews>
  <sheetFormatPr defaultRowHeight="14.5" x14ac:dyDescent="0.35"/>
  <cols>
    <col min="1" max="1" width="9.81640625" bestFit="1" customWidth="1"/>
    <col min="2" max="2" width="10.54296875" bestFit="1" customWidth="1"/>
    <col min="3" max="3" width="7.54296875" bestFit="1" customWidth="1"/>
    <col min="4" max="4" width="45.08984375" bestFit="1" customWidth="1"/>
    <col min="5" max="5" width="7.26953125" bestFit="1" customWidth="1"/>
    <col min="6" max="6" width="5.26953125" bestFit="1" customWidth="1"/>
    <col min="7" max="7" width="6" bestFit="1" customWidth="1"/>
  </cols>
  <sheetData>
    <row r="1" spans="1:7" x14ac:dyDescent="0.35">
      <c r="A1" t="s">
        <v>1223</v>
      </c>
      <c r="B1" t="s">
        <v>1224</v>
      </c>
      <c r="C1" t="s">
        <v>306</v>
      </c>
      <c r="D1" t="s">
        <v>1225</v>
      </c>
      <c r="E1" t="s">
        <v>305</v>
      </c>
      <c r="F1" t="s">
        <v>307</v>
      </c>
      <c r="G1" t="s">
        <v>308</v>
      </c>
    </row>
    <row r="2" spans="1:7" x14ac:dyDescent="0.35">
      <c r="A2">
        <v>45</v>
      </c>
      <c r="B2">
        <v>0</v>
      </c>
      <c r="C2">
        <f>A2*64+B2</f>
        <v>2880</v>
      </c>
      <c r="D2" t="s">
        <v>785</v>
      </c>
      <c r="E2" t="str">
        <f>MID(D2,4,1)</f>
        <v>c</v>
      </c>
      <c r="F2" t="str">
        <f>MID(D2,6,2)</f>
        <v>47</v>
      </c>
      <c r="G2" t="str">
        <f>MID(D2,9,2)</f>
        <v xml:space="preserve"> 6</v>
      </c>
    </row>
    <row r="3" spans="1:7" x14ac:dyDescent="0.35">
      <c r="A3">
        <v>45</v>
      </c>
      <c r="B3">
        <v>1</v>
      </c>
      <c r="C3">
        <f t="shared" ref="C3:C66" si="0">A3*64+B3</f>
        <v>2881</v>
      </c>
      <c r="D3" t="s">
        <v>786</v>
      </c>
      <c r="E3" t="str">
        <f t="shared" ref="E3:E66" si="1">MID(D3,4,1)</f>
        <v>c</v>
      </c>
      <c r="F3" t="str">
        <f t="shared" ref="F3:F66" si="2">MID(D3,6,2)</f>
        <v>50</v>
      </c>
      <c r="G3" t="str">
        <f t="shared" ref="G3:G66" si="3">MID(D3,9,2)</f>
        <v>60</v>
      </c>
    </row>
    <row r="4" spans="1:7" x14ac:dyDescent="0.35">
      <c r="A4">
        <v>45</v>
      </c>
      <c r="B4">
        <v>2</v>
      </c>
      <c r="C4">
        <f t="shared" si="0"/>
        <v>2882</v>
      </c>
      <c r="D4" t="s">
        <v>787</v>
      </c>
      <c r="E4" t="str">
        <f t="shared" si="1"/>
        <v>u</v>
      </c>
      <c r="F4" t="str">
        <f t="shared" si="2"/>
        <v>49</v>
      </c>
      <c r="G4" t="str">
        <f t="shared" si="3"/>
        <v>34</v>
      </c>
    </row>
    <row r="5" spans="1:7" x14ac:dyDescent="0.35">
      <c r="A5">
        <v>45</v>
      </c>
      <c r="B5">
        <v>3</v>
      </c>
      <c r="C5">
        <f t="shared" si="0"/>
        <v>2883</v>
      </c>
      <c r="D5" t="s">
        <v>788</v>
      </c>
      <c r="E5" t="str">
        <f t="shared" si="1"/>
        <v>a</v>
      </c>
      <c r="F5" t="str">
        <f t="shared" si="2"/>
        <v>45</v>
      </c>
      <c r="G5" t="str">
        <f t="shared" si="3"/>
        <v>12</v>
      </c>
    </row>
    <row r="6" spans="1:7" x14ac:dyDescent="0.35">
      <c r="A6">
        <v>45</v>
      </c>
      <c r="B6">
        <v>4</v>
      </c>
      <c r="C6">
        <f t="shared" si="0"/>
        <v>2884</v>
      </c>
      <c r="D6" t="s">
        <v>789</v>
      </c>
      <c r="E6" t="str">
        <f t="shared" si="1"/>
        <v>y</v>
      </c>
      <c r="F6" t="str">
        <f t="shared" si="2"/>
        <v>45</v>
      </c>
      <c r="G6" t="str">
        <f t="shared" si="3"/>
        <v>60</v>
      </c>
    </row>
    <row r="7" spans="1:7" x14ac:dyDescent="0.35">
      <c r="A7">
        <v>45</v>
      </c>
      <c r="B7">
        <v>5</v>
      </c>
      <c r="C7">
        <f t="shared" si="0"/>
        <v>2885</v>
      </c>
      <c r="D7" t="s">
        <v>790</v>
      </c>
      <c r="E7" t="str">
        <f t="shared" si="1"/>
        <v>a</v>
      </c>
      <c r="F7" t="str">
        <f t="shared" si="2"/>
        <v>46</v>
      </c>
      <c r="G7" t="str">
        <f t="shared" si="3"/>
        <v>62</v>
      </c>
    </row>
    <row r="8" spans="1:7" x14ac:dyDescent="0.35">
      <c r="A8">
        <v>45</v>
      </c>
      <c r="B8">
        <v>6</v>
      </c>
      <c r="C8">
        <f t="shared" si="0"/>
        <v>2886</v>
      </c>
      <c r="D8" t="s">
        <v>791</v>
      </c>
      <c r="E8" t="str">
        <f t="shared" si="1"/>
        <v>y</v>
      </c>
      <c r="F8" t="str">
        <f t="shared" si="2"/>
        <v>45</v>
      </c>
      <c r="G8" t="str">
        <f t="shared" si="3"/>
        <v>42</v>
      </c>
    </row>
    <row r="9" spans="1:7" x14ac:dyDescent="0.35">
      <c r="A9">
        <v>45</v>
      </c>
      <c r="B9">
        <v>7</v>
      </c>
      <c r="C9">
        <f t="shared" si="0"/>
        <v>2887</v>
      </c>
      <c r="D9" t="s">
        <v>792</v>
      </c>
      <c r="E9" t="str">
        <f t="shared" si="1"/>
        <v>y</v>
      </c>
      <c r="F9" t="str">
        <f t="shared" si="2"/>
        <v>45</v>
      </c>
      <c r="G9" t="str">
        <f t="shared" si="3"/>
        <v>44</v>
      </c>
    </row>
    <row r="10" spans="1:7" x14ac:dyDescent="0.35">
      <c r="A10">
        <v>45</v>
      </c>
      <c r="B10">
        <v>8</v>
      </c>
      <c r="C10">
        <f t="shared" si="0"/>
        <v>2888</v>
      </c>
      <c r="D10" t="s">
        <v>793</v>
      </c>
      <c r="E10" t="str">
        <f t="shared" si="1"/>
        <v>y</v>
      </c>
      <c r="F10" t="str">
        <f t="shared" si="2"/>
        <v>45</v>
      </c>
      <c r="G10" t="str">
        <f t="shared" si="3"/>
        <v>54</v>
      </c>
    </row>
    <row r="11" spans="1:7" x14ac:dyDescent="0.35">
      <c r="A11">
        <v>45</v>
      </c>
      <c r="B11">
        <v>9</v>
      </c>
      <c r="C11">
        <f t="shared" si="0"/>
        <v>2889</v>
      </c>
      <c r="D11" t="s">
        <v>794</v>
      </c>
      <c r="E11" t="str">
        <f t="shared" si="1"/>
        <v>r</v>
      </c>
      <c r="F11" t="str">
        <f t="shared" si="2"/>
        <v>50</v>
      </c>
      <c r="G11" t="str">
        <f t="shared" si="3"/>
        <v>56</v>
      </c>
    </row>
    <row r="12" spans="1:7" x14ac:dyDescent="0.35">
      <c r="A12">
        <v>45</v>
      </c>
      <c r="B12">
        <v>10</v>
      </c>
      <c r="C12">
        <f t="shared" si="0"/>
        <v>2890</v>
      </c>
      <c r="D12" t="s">
        <v>795</v>
      </c>
      <c r="E12" t="str">
        <f t="shared" si="1"/>
        <v>u</v>
      </c>
      <c r="F12" t="str">
        <f t="shared" si="2"/>
        <v>50</v>
      </c>
      <c r="G12" t="str">
        <f t="shared" si="3"/>
        <v>44</v>
      </c>
    </row>
    <row r="13" spans="1:7" x14ac:dyDescent="0.35">
      <c r="A13">
        <v>45</v>
      </c>
      <c r="B13">
        <v>11</v>
      </c>
      <c r="C13">
        <f t="shared" si="0"/>
        <v>2891</v>
      </c>
      <c r="D13" t="s">
        <v>796</v>
      </c>
      <c r="E13" t="str">
        <f t="shared" si="1"/>
        <v>e</v>
      </c>
      <c r="F13" t="str">
        <f t="shared" si="2"/>
        <v>49</v>
      </c>
      <c r="G13" t="str">
        <f t="shared" si="3"/>
        <v>56</v>
      </c>
    </row>
    <row r="14" spans="1:7" x14ac:dyDescent="0.35">
      <c r="A14">
        <v>45</v>
      </c>
      <c r="B14">
        <v>12</v>
      </c>
      <c r="C14">
        <f t="shared" si="0"/>
        <v>2892</v>
      </c>
      <c r="D14" t="s">
        <v>797</v>
      </c>
      <c r="E14" t="str">
        <f t="shared" si="1"/>
        <v>s</v>
      </c>
      <c r="F14" t="str">
        <f t="shared" si="2"/>
        <v>49</v>
      </c>
      <c r="G14" t="str">
        <f t="shared" si="3"/>
        <v>48</v>
      </c>
    </row>
    <row r="15" spans="1:7" x14ac:dyDescent="0.35">
      <c r="A15">
        <v>45</v>
      </c>
      <c r="B15">
        <v>13</v>
      </c>
      <c r="C15">
        <f t="shared" si="0"/>
        <v>2893</v>
      </c>
      <c r="D15" t="s">
        <v>798</v>
      </c>
      <c r="E15" t="str">
        <f t="shared" si="1"/>
        <v>t</v>
      </c>
      <c r="F15" t="str">
        <f t="shared" si="2"/>
        <v>45</v>
      </c>
      <c r="G15" t="str">
        <f t="shared" si="3"/>
        <v>18</v>
      </c>
    </row>
    <row r="16" spans="1:7" x14ac:dyDescent="0.35">
      <c r="A16">
        <v>45</v>
      </c>
      <c r="B16">
        <v>14</v>
      </c>
      <c r="C16">
        <f t="shared" si="0"/>
        <v>2894</v>
      </c>
      <c r="D16" t="s">
        <v>799</v>
      </c>
      <c r="E16" t="str">
        <f t="shared" si="1"/>
        <v>a</v>
      </c>
      <c r="F16" t="str">
        <f t="shared" si="2"/>
        <v>46</v>
      </c>
      <c r="G16" t="str">
        <f t="shared" si="3"/>
        <v xml:space="preserve"> 6</v>
      </c>
    </row>
    <row r="17" spans="1:7" x14ac:dyDescent="0.35">
      <c r="A17">
        <v>45</v>
      </c>
      <c r="B17">
        <v>15</v>
      </c>
      <c r="C17">
        <f t="shared" si="0"/>
        <v>2895</v>
      </c>
      <c r="D17" t="s">
        <v>800</v>
      </c>
      <c r="E17" t="str">
        <f t="shared" si="1"/>
        <v>h</v>
      </c>
      <c r="F17" t="str">
        <f t="shared" si="2"/>
        <v>45</v>
      </c>
      <c r="G17" t="str">
        <f t="shared" si="3"/>
        <v>10</v>
      </c>
    </row>
    <row r="18" spans="1:7" x14ac:dyDescent="0.35">
      <c r="A18">
        <v>45</v>
      </c>
      <c r="B18">
        <v>16</v>
      </c>
      <c r="C18">
        <f t="shared" si="0"/>
        <v>2896</v>
      </c>
      <c r="D18" t="s">
        <v>801</v>
      </c>
      <c r="E18" t="str">
        <f t="shared" si="1"/>
        <v>a</v>
      </c>
      <c r="F18" t="str">
        <f t="shared" si="2"/>
        <v>45</v>
      </c>
      <c r="G18" t="str">
        <f t="shared" si="3"/>
        <v xml:space="preserve"> 6</v>
      </c>
    </row>
    <row r="19" spans="1:7" x14ac:dyDescent="0.35">
      <c r="A19">
        <v>45</v>
      </c>
      <c r="B19">
        <v>17</v>
      </c>
      <c r="C19">
        <f t="shared" si="0"/>
        <v>2897</v>
      </c>
      <c r="D19" t="s">
        <v>802</v>
      </c>
      <c r="E19" t="str">
        <f t="shared" si="1"/>
        <v>y</v>
      </c>
      <c r="F19" t="str">
        <f t="shared" si="2"/>
        <v>45</v>
      </c>
      <c r="G19" t="str">
        <f t="shared" si="3"/>
        <v>52</v>
      </c>
    </row>
    <row r="20" spans="1:7" x14ac:dyDescent="0.35">
      <c r="A20">
        <v>45</v>
      </c>
      <c r="B20">
        <v>18</v>
      </c>
      <c r="C20">
        <f t="shared" si="0"/>
        <v>2898</v>
      </c>
      <c r="D20" t="s">
        <v>803</v>
      </c>
      <c r="E20" t="str">
        <f t="shared" si="1"/>
        <v>y</v>
      </c>
      <c r="F20" t="str">
        <f t="shared" si="2"/>
        <v>45</v>
      </c>
      <c r="G20" t="str">
        <f t="shared" si="3"/>
        <v>56</v>
      </c>
    </row>
    <row r="21" spans="1:7" x14ac:dyDescent="0.35">
      <c r="A21">
        <v>45</v>
      </c>
      <c r="B21">
        <v>19</v>
      </c>
      <c r="C21">
        <f t="shared" si="0"/>
        <v>2899</v>
      </c>
      <c r="D21" t="s">
        <v>804</v>
      </c>
      <c r="E21" t="str">
        <f t="shared" si="1"/>
        <v>y</v>
      </c>
      <c r="F21" t="str">
        <f t="shared" si="2"/>
        <v>45</v>
      </c>
      <c r="G21" t="str">
        <f t="shared" si="3"/>
        <v>40</v>
      </c>
    </row>
    <row r="22" spans="1:7" x14ac:dyDescent="0.35">
      <c r="A22">
        <v>45</v>
      </c>
      <c r="B22">
        <v>20</v>
      </c>
      <c r="C22">
        <f t="shared" si="0"/>
        <v>2900</v>
      </c>
      <c r="D22" t="s">
        <v>805</v>
      </c>
      <c r="E22" t="str">
        <f t="shared" si="1"/>
        <v>b</v>
      </c>
      <c r="F22" t="str">
        <f t="shared" si="2"/>
        <v>45</v>
      </c>
      <c r="G22" t="str">
        <f t="shared" si="3"/>
        <v>20</v>
      </c>
    </row>
    <row r="23" spans="1:7" x14ac:dyDescent="0.35">
      <c r="A23">
        <v>45</v>
      </c>
      <c r="B23">
        <v>21</v>
      </c>
      <c r="C23">
        <f t="shared" si="0"/>
        <v>2901</v>
      </c>
      <c r="D23" t="s">
        <v>806</v>
      </c>
      <c r="E23" t="str">
        <f t="shared" si="1"/>
        <v>e</v>
      </c>
      <c r="F23" t="str">
        <f t="shared" si="2"/>
        <v>45</v>
      </c>
      <c r="G23" t="str">
        <f t="shared" si="3"/>
        <v>50</v>
      </c>
    </row>
    <row r="24" spans="1:7" x14ac:dyDescent="0.35">
      <c r="A24">
        <v>45</v>
      </c>
      <c r="B24">
        <v>22</v>
      </c>
      <c r="C24">
        <f t="shared" si="0"/>
        <v>2902</v>
      </c>
      <c r="D24" t="s">
        <v>807</v>
      </c>
      <c r="E24" t="str">
        <f t="shared" si="1"/>
        <v>s</v>
      </c>
      <c r="F24" t="str">
        <f t="shared" si="2"/>
        <v>45</v>
      </c>
      <c r="G24" t="str">
        <f t="shared" si="3"/>
        <v>50</v>
      </c>
    </row>
    <row r="25" spans="1:7" x14ac:dyDescent="0.35">
      <c r="A25">
        <v>45</v>
      </c>
      <c r="B25">
        <v>23</v>
      </c>
      <c r="C25">
        <f t="shared" si="0"/>
        <v>2903</v>
      </c>
      <c r="D25" t="s">
        <v>808</v>
      </c>
      <c r="E25" t="str">
        <f t="shared" si="1"/>
        <v>t</v>
      </c>
      <c r="F25" t="str">
        <f t="shared" si="2"/>
        <v>45</v>
      </c>
      <c r="G25" t="str">
        <f t="shared" si="3"/>
        <v>52</v>
      </c>
    </row>
    <row r="26" spans="1:7" x14ac:dyDescent="0.35">
      <c r="A26">
        <v>45</v>
      </c>
      <c r="B26">
        <v>24</v>
      </c>
      <c r="C26">
        <f t="shared" si="0"/>
        <v>2904</v>
      </c>
      <c r="D26" t="s">
        <v>809</v>
      </c>
      <c r="E26" t="str">
        <f t="shared" si="1"/>
        <v>u</v>
      </c>
      <c r="F26" t="str">
        <f t="shared" si="2"/>
        <v>46</v>
      </c>
      <c r="G26" t="str">
        <f t="shared" si="3"/>
        <v>52</v>
      </c>
    </row>
    <row r="27" spans="1:7" x14ac:dyDescent="0.35">
      <c r="A27">
        <v>45</v>
      </c>
      <c r="B27">
        <v>25</v>
      </c>
      <c r="C27">
        <f t="shared" si="0"/>
        <v>2905</v>
      </c>
      <c r="D27" t="s">
        <v>810</v>
      </c>
      <c r="E27" t="str">
        <f t="shared" si="1"/>
        <v>b</v>
      </c>
      <c r="F27" t="str">
        <f t="shared" si="2"/>
        <v>45</v>
      </c>
      <c r="G27" t="str">
        <f t="shared" si="3"/>
        <v>40</v>
      </c>
    </row>
    <row r="28" spans="1:7" x14ac:dyDescent="0.35">
      <c r="A28">
        <v>45</v>
      </c>
      <c r="B28">
        <v>26</v>
      </c>
      <c r="C28">
        <f t="shared" si="0"/>
        <v>2906</v>
      </c>
      <c r="D28" t="s">
        <v>811</v>
      </c>
      <c r="E28" t="str">
        <f t="shared" si="1"/>
        <v>b</v>
      </c>
      <c r="F28" t="str">
        <f t="shared" si="2"/>
        <v>45</v>
      </c>
      <c r="G28" t="str">
        <f t="shared" si="3"/>
        <v>20</v>
      </c>
    </row>
    <row r="29" spans="1:7" x14ac:dyDescent="0.35">
      <c r="A29">
        <v>45</v>
      </c>
      <c r="B29">
        <v>27</v>
      </c>
      <c r="C29">
        <f t="shared" si="0"/>
        <v>2907</v>
      </c>
      <c r="D29" t="s">
        <v>812</v>
      </c>
      <c r="E29" t="str">
        <f t="shared" si="1"/>
        <v>a</v>
      </c>
      <c r="F29" t="str">
        <f t="shared" si="2"/>
        <v>45</v>
      </c>
      <c r="G29" t="str">
        <f t="shared" si="3"/>
        <v>50</v>
      </c>
    </row>
    <row r="30" spans="1:7" x14ac:dyDescent="0.35">
      <c r="A30">
        <v>45</v>
      </c>
      <c r="B30">
        <v>28</v>
      </c>
      <c r="C30">
        <f t="shared" si="0"/>
        <v>2908</v>
      </c>
      <c r="D30" t="s">
        <v>813</v>
      </c>
      <c r="E30" t="str">
        <f t="shared" si="1"/>
        <v>h</v>
      </c>
      <c r="F30" t="str">
        <f t="shared" si="2"/>
        <v>45</v>
      </c>
      <c r="G30" t="str">
        <f t="shared" si="3"/>
        <v>20</v>
      </c>
    </row>
    <row r="31" spans="1:7" x14ac:dyDescent="0.35">
      <c r="A31">
        <v>45</v>
      </c>
      <c r="B31">
        <v>29</v>
      </c>
      <c r="C31">
        <f t="shared" si="0"/>
        <v>2909</v>
      </c>
      <c r="D31" t="s">
        <v>814</v>
      </c>
      <c r="E31" t="str">
        <f t="shared" si="1"/>
        <v>c</v>
      </c>
      <c r="F31" t="str">
        <f t="shared" si="2"/>
        <v>45</v>
      </c>
      <c r="G31" t="str">
        <f t="shared" si="3"/>
        <v xml:space="preserve"> 4</v>
      </c>
    </row>
    <row r="32" spans="1:7" x14ac:dyDescent="0.35">
      <c r="A32">
        <v>45</v>
      </c>
      <c r="B32">
        <v>30</v>
      </c>
      <c r="C32">
        <f t="shared" si="0"/>
        <v>2910</v>
      </c>
      <c r="D32" t="s">
        <v>815</v>
      </c>
      <c r="E32" t="str">
        <f t="shared" si="1"/>
        <v>b</v>
      </c>
      <c r="F32" t="str">
        <f t="shared" si="2"/>
        <v>45</v>
      </c>
      <c r="G32" t="str">
        <f t="shared" si="3"/>
        <v>42</v>
      </c>
    </row>
    <row r="33" spans="1:7" x14ac:dyDescent="0.35">
      <c r="A33">
        <v>45</v>
      </c>
      <c r="B33">
        <v>31</v>
      </c>
      <c r="C33">
        <f t="shared" si="0"/>
        <v>2911</v>
      </c>
      <c r="D33" t="s">
        <v>816</v>
      </c>
      <c r="E33" t="str">
        <f t="shared" si="1"/>
        <v>c</v>
      </c>
      <c r="F33" t="str">
        <f t="shared" si="2"/>
        <v>45</v>
      </c>
      <c r="G33" t="str">
        <f t="shared" si="3"/>
        <v xml:space="preserve"> 6</v>
      </c>
    </row>
    <row r="34" spans="1:7" x14ac:dyDescent="0.35">
      <c r="A34">
        <v>45</v>
      </c>
      <c r="B34">
        <v>32</v>
      </c>
      <c r="C34">
        <f t="shared" si="0"/>
        <v>2912</v>
      </c>
      <c r="D34" t="s">
        <v>817</v>
      </c>
      <c r="E34" t="str">
        <f t="shared" si="1"/>
        <v>r</v>
      </c>
      <c r="F34" t="str">
        <f t="shared" si="2"/>
        <v>51</v>
      </c>
      <c r="G34" t="str">
        <f t="shared" si="3"/>
        <v xml:space="preserve"> 0</v>
      </c>
    </row>
    <row r="35" spans="1:7" x14ac:dyDescent="0.35">
      <c r="A35">
        <v>45</v>
      </c>
      <c r="B35">
        <v>33</v>
      </c>
      <c r="C35">
        <f t="shared" si="0"/>
        <v>2913</v>
      </c>
      <c r="D35" t="s">
        <v>818</v>
      </c>
      <c r="E35" t="str">
        <f t="shared" si="1"/>
        <v>u</v>
      </c>
      <c r="F35" t="str">
        <f t="shared" si="2"/>
        <v>51</v>
      </c>
      <c r="G35" t="str">
        <f t="shared" si="3"/>
        <v xml:space="preserve"> 0</v>
      </c>
    </row>
    <row r="36" spans="1:7" x14ac:dyDescent="0.35">
      <c r="A36">
        <v>45</v>
      </c>
      <c r="B36">
        <v>34</v>
      </c>
      <c r="C36">
        <f t="shared" si="0"/>
        <v>2914</v>
      </c>
      <c r="D36" t="s">
        <v>819</v>
      </c>
      <c r="E36" t="str">
        <f t="shared" si="1"/>
        <v>i</v>
      </c>
      <c r="F36" t="str">
        <f t="shared" si="2"/>
        <v xml:space="preserve"> 6</v>
      </c>
      <c r="G36" t="str">
        <f t="shared" si="3"/>
        <v>43</v>
      </c>
    </row>
    <row r="37" spans="1:7" x14ac:dyDescent="0.35">
      <c r="A37">
        <v>45</v>
      </c>
      <c r="B37">
        <v>35</v>
      </c>
      <c r="C37">
        <f t="shared" si="0"/>
        <v>2915</v>
      </c>
      <c r="D37" t="s">
        <v>820</v>
      </c>
      <c r="E37" t="str">
        <f t="shared" si="1"/>
        <v>n</v>
      </c>
      <c r="F37" t="str">
        <f t="shared" si="2"/>
        <v>34</v>
      </c>
      <c r="G37" t="str">
        <f t="shared" si="3"/>
        <v>63</v>
      </c>
    </row>
    <row r="38" spans="1:7" x14ac:dyDescent="0.35">
      <c r="A38">
        <v>45</v>
      </c>
      <c r="B38">
        <v>36</v>
      </c>
      <c r="C38">
        <f t="shared" si="0"/>
        <v>2916</v>
      </c>
      <c r="D38" t="s">
        <v>821</v>
      </c>
      <c r="E38" t="str">
        <f t="shared" si="1"/>
        <v>u</v>
      </c>
      <c r="F38" t="str">
        <f t="shared" si="2"/>
        <v>46</v>
      </c>
      <c r="G38" t="str">
        <f t="shared" si="3"/>
        <v xml:space="preserve"> 0</v>
      </c>
    </row>
    <row r="39" spans="1:7" x14ac:dyDescent="0.35">
      <c r="A39">
        <v>45</v>
      </c>
      <c r="B39">
        <v>37</v>
      </c>
      <c r="C39">
        <f t="shared" si="0"/>
        <v>2917</v>
      </c>
      <c r="D39" t="s">
        <v>822</v>
      </c>
      <c r="E39" t="str">
        <f t="shared" si="1"/>
        <v>z</v>
      </c>
      <c r="F39" t="str">
        <f t="shared" si="2"/>
        <v xml:space="preserve"> 0</v>
      </c>
      <c r="G39" t="str">
        <f t="shared" si="3"/>
        <v>12</v>
      </c>
    </row>
    <row r="40" spans="1:7" x14ac:dyDescent="0.35">
      <c r="A40">
        <v>45</v>
      </c>
      <c r="B40">
        <v>38</v>
      </c>
      <c r="C40">
        <f t="shared" si="0"/>
        <v>2918</v>
      </c>
      <c r="D40" t="s">
        <v>823</v>
      </c>
      <c r="E40" t="str">
        <f t="shared" si="1"/>
        <v>z</v>
      </c>
      <c r="F40" t="str">
        <f t="shared" si="2"/>
        <v>45</v>
      </c>
      <c r="G40" t="str">
        <f t="shared" si="3"/>
        <v>40</v>
      </c>
    </row>
    <row r="41" spans="1:7" x14ac:dyDescent="0.35">
      <c r="A41">
        <v>45</v>
      </c>
      <c r="B41">
        <v>39</v>
      </c>
      <c r="C41">
        <f t="shared" si="0"/>
        <v>2919</v>
      </c>
      <c r="D41" t="s">
        <v>824</v>
      </c>
      <c r="E41" t="str">
        <f t="shared" si="1"/>
        <v>y</v>
      </c>
      <c r="F41" t="str">
        <f t="shared" si="2"/>
        <v xml:space="preserve"> 8</v>
      </c>
      <c r="G41" t="str">
        <f t="shared" si="3"/>
        <v xml:space="preserve"> 3</v>
      </c>
    </row>
    <row r="42" spans="1:7" x14ac:dyDescent="0.35">
      <c r="A42">
        <v>45</v>
      </c>
      <c r="B42">
        <v>40</v>
      </c>
      <c r="C42">
        <f t="shared" si="0"/>
        <v>2920</v>
      </c>
      <c r="D42" t="s">
        <v>825</v>
      </c>
      <c r="E42" t="str">
        <f t="shared" si="1"/>
        <v>i</v>
      </c>
      <c r="F42" t="str">
        <f t="shared" si="2"/>
        <v xml:space="preserve"> 6</v>
      </c>
      <c r="G42" t="str">
        <f t="shared" si="3"/>
        <v>43</v>
      </c>
    </row>
    <row r="43" spans="1:7" x14ac:dyDescent="0.35">
      <c r="A43">
        <v>45</v>
      </c>
      <c r="B43">
        <v>41</v>
      </c>
      <c r="C43">
        <f t="shared" si="0"/>
        <v>2921</v>
      </c>
      <c r="D43" t="s">
        <v>826</v>
      </c>
      <c r="E43" t="str">
        <f t="shared" si="1"/>
        <v>h</v>
      </c>
      <c r="F43" t="str">
        <f t="shared" si="2"/>
        <v xml:space="preserve"> 6</v>
      </c>
      <c r="G43" t="str">
        <f t="shared" si="3"/>
        <v>43</v>
      </c>
    </row>
    <row r="44" spans="1:7" x14ac:dyDescent="0.35">
      <c r="A44">
        <v>45</v>
      </c>
      <c r="B44">
        <v>42</v>
      </c>
      <c r="C44">
        <f t="shared" si="0"/>
        <v>2922</v>
      </c>
      <c r="D44" t="s">
        <v>827</v>
      </c>
      <c r="E44" t="str">
        <f t="shared" si="1"/>
        <v>i</v>
      </c>
      <c r="F44" t="str">
        <f t="shared" si="2"/>
        <v xml:space="preserve"> 6</v>
      </c>
      <c r="G44" t="str">
        <f t="shared" si="3"/>
        <v>43</v>
      </c>
    </row>
    <row r="45" spans="1:7" x14ac:dyDescent="0.35">
      <c r="A45">
        <v>45</v>
      </c>
      <c r="B45">
        <v>43</v>
      </c>
      <c r="C45">
        <f t="shared" si="0"/>
        <v>2923</v>
      </c>
      <c r="D45" t="s">
        <v>828</v>
      </c>
      <c r="E45" t="str">
        <f t="shared" si="1"/>
        <v>h</v>
      </c>
      <c r="F45" t="str">
        <f t="shared" si="2"/>
        <v xml:space="preserve"> 6</v>
      </c>
      <c r="G45" t="str">
        <f t="shared" si="3"/>
        <v>43</v>
      </c>
    </row>
    <row r="46" spans="1:7" x14ac:dyDescent="0.35">
      <c r="A46">
        <v>45</v>
      </c>
      <c r="B46">
        <v>44</v>
      </c>
      <c r="C46">
        <f t="shared" si="0"/>
        <v>2924</v>
      </c>
      <c r="D46" t="s">
        <v>829</v>
      </c>
      <c r="E46" t="str">
        <f t="shared" si="1"/>
        <v>i</v>
      </c>
      <c r="F46" t="str">
        <f t="shared" si="2"/>
        <v xml:space="preserve"> 6</v>
      </c>
      <c r="G46" t="str">
        <f t="shared" si="3"/>
        <v>43</v>
      </c>
    </row>
    <row r="47" spans="1:7" x14ac:dyDescent="0.35">
      <c r="A47">
        <v>45</v>
      </c>
      <c r="B47">
        <v>45</v>
      </c>
      <c r="C47">
        <f t="shared" si="0"/>
        <v>2925</v>
      </c>
      <c r="D47" t="s">
        <v>830</v>
      </c>
      <c r="E47" t="str">
        <f t="shared" si="1"/>
        <v>h</v>
      </c>
      <c r="F47" t="str">
        <f t="shared" si="2"/>
        <v xml:space="preserve"> 6</v>
      </c>
      <c r="G47" t="str">
        <f t="shared" si="3"/>
        <v>43</v>
      </c>
    </row>
    <row r="48" spans="1:7" x14ac:dyDescent="0.35">
      <c r="A48">
        <v>45</v>
      </c>
      <c r="B48">
        <v>46</v>
      </c>
      <c r="C48">
        <f t="shared" si="0"/>
        <v>2926</v>
      </c>
      <c r="D48" t="s">
        <v>831</v>
      </c>
      <c r="E48" t="str">
        <f t="shared" si="1"/>
        <v>i</v>
      </c>
      <c r="F48" t="str">
        <f t="shared" si="2"/>
        <v xml:space="preserve"> 6</v>
      </c>
      <c r="G48" t="str">
        <f t="shared" si="3"/>
        <v>43</v>
      </c>
    </row>
    <row r="49" spans="1:7" x14ac:dyDescent="0.35">
      <c r="A49">
        <v>45</v>
      </c>
      <c r="B49">
        <v>47</v>
      </c>
      <c r="C49">
        <f t="shared" si="0"/>
        <v>2927</v>
      </c>
      <c r="D49" t="s">
        <v>832</v>
      </c>
      <c r="E49" t="str">
        <f t="shared" si="1"/>
        <v>h</v>
      </c>
      <c r="F49" t="str">
        <f t="shared" si="2"/>
        <v xml:space="preserve"> 6</v>
      </c>
      <c r="G49" t="str">
        <f t="shared" si="3"/>
        <v>43</v>
      </c>
    </row>
    <row r="50" spans="1:7" x14ac:dyDescent="0.35">
      <c r="A50">
        <v>45</v>
      </c>
      <c r="B50">
        <v>48</v>
      </c>
      <c r="C50">
        <f t="shared" si="0"/>
        <v>2928</v>
      </c>
      <c r="D50" t="s">
        <v>833</v>
      </c>
      <c r="E50" t="str">
        <f t="shared" si="1"/>
        <v>h</v>
      </c>
      <c r="F50" t="str">
        <f t="shared" si="2"/>
        <v xml:space="preserve"> 4</v>
      </c>
      <c r="G50" t="str">
        <f t="shared" si="3"/>
        <v xml:space="preserve"> 3</v>
      </c>
    </row>
    <row r="51" spans="1:7" x14ac:dyDescent="0.35">
      <c r="A51">
        <v>45</v>
      </c>
      <c r="B51">
        <v>49</v>
      </c>
      <c r="C51">
        <f t="shared" si="0"/>
        <v>2929</v>
      </c>
      <c r="D51" t="s">
        <v>834</v>
      </c>
      <c r="E51" t="str">
        <f t="shared" si="1"/>
        <v>i</v>
      </c>
      <c r="F51" t="str">
        <f t="shared" si="2"/>
        <v xml:space="preserve"> 8</v>
      </c>
      <c r="G51" t="str">
        <f t="shared" si="3"/>
        <v xml:space="preserve"> 3</v>
      </c>
    </row>
    <row r="52" spans="1:7" x14ac:dyDescent="0.35">
      <c r="A52">
        <v>45</v>
      </c>
      <c r="B52">
        <v>50</v>
      </c>
      <c r="C52">
        <f t="shared" si="0"/>
        <v>2930</v>
      </c>
      <c r="D52" t="s">
        <v>835</v>
      </c>
      <c r="E52" t="str">
        <f t="shared" si="1"/>
        <v>d</v>
      </c>
      <c r="F52" t="str">
        <f t="shared" si="2"/>
        <v xml:space="preserve"> 8</v>
      </c>
      <c r="G52" t="str">
        <f t="shared" si="3"/>
        <v xml:space="preserve"> 3</v>
      </c>
    </row>
    <row r="53" spans="1:7" x14ac:dyDescent="0.35">
      <c r="A53">
        <v>45</v>
      </c>
      <c r="B53">
        <v>51</v>
      </c>
      <c r="C53">
        <f t="shared" si="0"/>
        <v>2931</v>
      </c>
      <c r="D53" t="s">
        <v>836</v>
      </c>
      <c r="E53" t="str">
        <f t="shared" si="1"/>
        <v>h</v>
      </c>
      <c r="F53" t="str">
        <f t="shared" si="2"/>
        <v xml:space="preserve"> 8</v>
      </c>
      <c r="G53" t="str">
        <f t="shared" si="3"/>
        <v xml:space="preserve"> 3</v>
      </c>
    </row>
    <row r="54" spans="1:7" x14ac:dyDescent="0.35">
      <c r="A54">
        <v>45</v>
      </c>
      <c r="B54">
        <v>52</v>
      </c>
      <c r="C54">
        <f t="shared" si="0"/>
        <v>2932</v>
      </c>
      <c r="D54" t="s">
        <v>837</v>
      </c>
      <c r="E54" t="str">
        <f t="shared" si="1"/>
        <v>n</v>
      </c>
      <c r="F54" t="str">
        <f t="shared" si="2"/>
        <v>58</v>
      </c>
      <c r="G54" t="str">
        <f t="shared" si="3"/>
        <v>63</v>
      </c>
    </row>
    <row r="55" spans="1:7" x14ac:dyDescent="0.35">
      <c r="A55">
        <v>45</v>
      </c>
      <c r="B55">
        <v>53</v>
      </c>
      <c r="C55">
        <f t="shared" si="0"/>
        <v>2933</v>
      </c>
      <c r="D55" t="s">
        <v>838</v>
      </c>
      <c r="E55" t="str">
        <f t="shared" si="1"/>
        <v>n</v>
      </c>
      <c r="F55" t="str">
        <f t="shared" si="2"/>
        <v>34</v>
      </c>
      <c r="G55" t="str">
        <f t="shared" si="3"/>
        <v>63</v>
      </c>
    </row>
    <row r="56" spans="1:7" x14ac:dyDescent="0.35">
      <c r="A56">
        <v>45</v>
      </c>
      <c r="B56">
        <v>54</v>
      </c>
      <c r="C56">
        <f t="shared" si="0"/>
        <v>2934</v>
      </c>
      <c r="D56" t="s">
        <v>839</v>
      </c>
      <c r="E56" t="str">
        <f t="shared" si="1"/>
        <v>n</v>
      </c>
      <c r="F56" t="str">
        <f t="shared" si="2"/>
        <v>42</v>
      </c>
      <c r="G56" t="str">
        <f t="shared" si="3"/>
        <v>63</v>
      </c>
    </row>
    <row r="57" spans="1:7" x14ac:dyDescent="0.35">
      <c r="A57">
        <v>45</v>
      </c>
      <c r="B57">
        <v>55</v>
      </c>
      <c r="C57">
        <f t="shared" si="0"/>
        <v>2935</v>
      </c>
      <c r="D57" t="s">
        <v>840</v>
      </c>
      <c r="E57" t="str">
        <f t="shared" si="1"/>
        <v>n</v>
      </c>
      <c r="F57" t="str">
        <f t="shared" si="2"/>
        <v>42</v>
      </c>
      <c r="G57" t="str">
        <f t="shared" si="3"/>
        <v>63</v>
      </c>
    </row>
    <row r="58" spans="1:7" x14ac:dyDescent="0.35">
      <c r="A58">
        <v>45</v>
      </c>
      <c r="B58">
        <v>56</v>
      </c>
      <c r="C58">
        <f t="shared" si="0"/>
        <v>2936</v>
      </c>
      <c r="D58" t="s">
        <v>841</v>
      </c>
      <c r="E58" t="str">
        <f t="shared" si="1"/>
        <v>z</v>
      </c>
      <c r="F58" t="str">
        <f t="shared" si="2"/>
        <v xml:space="preserve"> 0</v>
      </c>
      <c r="G58" t="str">
        <f t="shared" si="3"/>
        <v xml:space="preserve"> 0</v>
      </c>
    </row>
    <row r="59" spans="1:7" x14ac:dyDescent="0.35">
      <c r="A59">
        <v>45</v>
      </c>
      <c r="B59">
        <v>57</v>
      </c>
      <c r="C59">
        <f t="shared" si="0"/>
        <v>2937</v>
      </c>
      <c r="D59" t="s">
        <v>842</v>
      </c>
      <c r="E59" t="str">
        <f t="shared" si="1"/>
        <v>z</v>
      </c>
      <c r="F59" t="str">
        <f t="shared" si="2"/>
        <v xml:space="preserve"> 0</v>
      </c>
      <c r="G59" t="str">
        <f t="shared" si="3"/>
        <v xml:space="preserve"> 0</v>
      </c>
    </row>
    <row r="60" spans="1:7" x14ac:dyDescent="0.35">
      <c r="A60">
        <v>45</v>
      </c>
      <c r="B60">
        <v>58</v>
      </c>
      <c r="C60">
        <f t="shared" si="0"/>
        <v>2938</v>
      </c>
      <c r="D60" t="s">
        <v>843</v>
      </c>
      <c r="E60" t="str">
        <f t="shared" si="1"/>
        <v>b</v>
      </c>
      <c r="F60" t="str">
        <f t="shared" si="2"/>
        <v xml:space="preserve"> 0</v>
      </c>
      <c r="G60" t="str">
        <f t="shared" si="3"/>
        <v xml:space="preserve"> 0</v>
      </c>
    </row>
    <row r="61" spans="1:7" x14ac:dyDescent="0.35">
      <c r="A61">
        <v>45</v>
      </c>
      <c r="B61">
        <v>59</v>
      </c>
      <c r="C61">
        <f t="shared" si="0"/>
        <v>2939</v>
      </c>
      <c r="D61" t="s">
        <v>844</v>
      </c>
      <c r="E61" t="str">
        <f t="shared" si="1"/>
        <v>z</v>
      </c>
      <c r="F61" t="str">
        <f t="shared" si="2"/>
        <v xml:space="preserve"> 0</v>
      </c>
      <c r="G61" t="str">
        <f t="shared" si="3"/>
        <v xml:space="preserve"> 0</v>
      </c>
    </row>
    <row r="62" spans="1:7" x14ac:dyDescent="0.35">
      <c r="A62">
        <v>45</v>
      </c>
      <c r="B62">
        <v>60</v>
      </c>
      <c r="C62">
        <f t="shared" si="0"/>
        <v>2940</v>
      </c>
      <c r="D62" t="s">
        <v>845</v>
      </c>
      <c r="E62" t="str">
        <f t="shared" si="1"/>
        <v>z</v>
      </c>
      <c r="F62" t="str">
        <f t="shared" si="2"/>
        <v xml:space="preserve"> 0</v>
      </c>
      <c r="G62" t="str">
        <f t="shared" si="3"/>
        <v xml:space="preserve"> 2</v>
      </c>
    </row>
    <row r="63" spans="1:7" x14ac:dyDescent="0.35">
      <c r="A63">
        <v>45</v>
      </c>
      <c r="B63">
        <v>61</v>
      </c>
      <c r="C63">
        <f t="shared" si="0"/>
        <v>2941</v>
      </c>
      <c r="D63" t="s">
        <v>846</v>
      </c>
      <c r="E63" t="str">
        <f t="shared" si="1"/>
        <v>a</v>
      </c>
      <c r="F63" t="str">
        <f t="shared" si="2"/>
        <v>62</v>
      </c>
      <c r="G63" t="str">
        <f t="shared" si="3"/>
        <v>63</v>
      </c>
    </row>
    <row r="64" spans="1:7" x14ac:dyDescent="0.35">
      <c r="A64">
        <v>45</v>
      </c>
      <c r="B64">
        <v>62</v>
      </c>
      <c r="C64">
        <f t="shared" si="0"/>
        <v>2942</v>
      </c>
      <c r="D64" t="s">
        <v>847</v>
      </c>
      <c r="E64" t="str">
        <f t="shared" si="1"/>
        <v>s</v>
      </c>
      <c r="F64" t="str">
        <f t="shared" si="2"/>
        <v>63</v>
      </c>
      <c r="G64" t="str">
        <f t="shared" si="3"/>
        <v>62</v>
      </c>
    </row>
    <row r="65" spans="1:7" x14ac:dyDescent="0.35">
      <c r="A65">
        <v>45</v>
      </c>
      <c r="B65">
        <v>63</v>
      </c>
      <c r="C65">
        <f t="shared" si="0"/>
        <v>2943</v>
      </c>
      <c r="D65" t="s">
        <v>848</v>
      </c>
      <c r="E65" t="str">
        <f t="shared" si="1"/>
        <v>z</v>
      </c>
      <c r="F65" t="str">
        <f t="shared" si="2"/>
        <v xml:space="preserve"> 0</v>
      </c>
      <c r="G65" t="str">
        <f t="shared" si="3"/>
        <v xml:space="preserve"> 0</v>
      </c>
    </row>
    <row r="66" spans="1:7" x14ac:dyDescent="0.35">
      <c r="A66">
        <v>46</v>
      </c>
      <c r="B66">
        <v>0</v>
      </c>
      <c r="C66">
        <f t="shared" si="0"/>
        <v>2944</v>
      </c>
      <c r="D66" t="s">
        <v>849</v>
      </c>
      <c r="E66" t="str">
        <f t="shared" si="1"/>
        <v>b</v>
      </c>
      <c r="F66" t="str">
        <f t="shared" si="2"/>
        <v>45</v>
      </c>
      <c r="G66" t="str">
        <f t="shared" si="3"/>
        <v>10</v>
      </c>
    </row>
    <row r="67" spans="1:7" x14ac:dyDescent="0.35">
      <c r="A67">
        <v>46</v>
      </c>
      <c r="B67">
        <v>1</v>
      </c>
      <c r="C67">
        <f t="shared" ref="C67:C130" si="4">A67*64+B67</f>
        <v>2945</v>
      </c>
      <c r="D67" t="s">
        <v>850</v>
      </c>
      <c r="E67" t="str">
        <f t="shared" ref="E67:E130" si="5">MID(D67,4,1)</f>
        <v>s</v>
      </c>
      <c r="F67" t="str">
        <f t="shared" ref="F67:F130" si="6">MID(D67,6,2)</f>
        <v>49</v>
      </c>
      <c r="G67" t="str">
        <f t="shared" ref="G67:G130" si="7">MID(D67,9,2)</f>
        <v>62</v>
      </c>
    </row>
    <row r="68" spans="1:7" x14ac:dyDescent="0.35">
      <c r="A68">
        <v>46</v>
      </c>
      <c r="B68">
        <v>2</v>
      </c>
      <c r="C68">
        <f t="shared" si="4"/>
        <v>2946</v>
      </c>
      <c r="D68" t="s">
        <v>851</v>
      </c>
      <c r="E68" t="str">
        <f t="shared" si="5"/>
        <v>t</v>
      </c>
      <c r="F68" t="str">
        <f t="shared" si="6"/>
        <v>46</v>
      </c>
      <c r="G68" t="str">
        <f t="shared" si="7"/>
        <v>18</v>
      </c>
    </row>
    <row r="69" spans="1:7" x14ac:dyDescent="0.35">
      <c r="A69">
        <v>46</v>
      </c>
      <c r="B69">
        <v>3</v>
      </c>
      <c r="C69">
        <f t="shared" si="4"/>
        <v>2947</v>
      </c>
      <c r="D69" t="s">
        <v>852</v>
      </c>
      <c r="E69" t="str">
        <f t="shared" si="5"/>
        <v>s</v>
      </c>
      <c r="F69" t="str">
        <f t="shared" si="6"/>
        <v>50</v>
      </c>
      <c r="G69" t="str">
        <f t="shared" si="7"/>
        <v>14</v>
      </c>
    </row>
    <row r="70" spans="1:7" x14ac:dyDescent="0.35">
      <c r="A70">
        <v>46</v>
      </c>
      <c r="B70">
        <v>4</v>
      </c>
      <c r="C70">
        <f t="shared" si="4"/>
        <v>2948</v>
      </c>
      <c r="D70" t="s">
        <v>853</v>
      </c>
      <c r="E70" t="str">
        <f t="shared" si="5"/>
        <v>t</v>
      </c>
      <c r="F70" t="str">
        <f t="shared" si="6"/>
        <v>46</v>
      </c>
      <c r="G70" t="str">
        <f t="shared" si="7"/>
        <v>14</v>
      </c>
    </row>
    <row r="71" spans="1:7" x14ac:dyDescent="0.35">
      <c r="A71">
        <v>46</v>
      </c>
      <c r="B71">
        <v>5</v>
      </c>
      <c r="C71">
        <f t="shared" si="4"/>
        <v>2949</v>
      </c>
      <c r="D71" t="s">
        <v>854</v>
      </c>
      <c r="E71" t="str">
        <f t="shared" si="5"/>
        <v>b</v>
      </c>
      <c r="F71" t="str">
        <f t="shared" si="6"/>
        <v>47</v>
      </c>
      <c r="G71" t="str">
        <f t="shared" si="7"/>
        <v>34</v>
      </c>
    </row>
    <row r="72" spans="1:7" x14ac:dyDescent="0.35">
      <c r="A72">
        <v>46</v>
      </c>
      <c r="B72">
        <v>6</v>
      </c>
      <c r="C72">
        <f t="shared" si="4"/>
        <v>2950</v>
      </c>
      <c r="D72" t="s">
        <v>855</v>
      </c>
      <c r="E72" t="str">
        <f t="shared" si="5"/>
        <v>u</v>
      </c>
      <c r="F72" t="str">
        <f t="shared" si="6"/>
        <v>46</v>
      </c>
      <c r="G72" t="str">
        <f t="shared" si="7"/>
        <v>20</v>
      </c>
    </row>
    <row r="73" spans="1:7" x14ac:dyDescent="0.35">
      <c r="A73">
        <v>46</v>
      </c>
      <c r="B73">
        <v>7</v>
      </c>
      <c r="C73">
        <f t="shared" si="4"/>
        <v>2951</v>
      </c>
      <c r="D73" t="s">
        <v>856</v>
      </c>
      <c r="E73" t="str">
        <f t="shared" si="5"/>
        <v>b</v>
      </c>
      <c r="F73" t="str">
        <f t="shared" si="6"/>
        <v>45</v>
      </c>
      <c r="G73" t="str">
        <f t="shared" si="7"/>
        <v>10</v>
      </c>
    </row>
    <row r="74" spans="1:7" x14ac:dyDescent="0.35">
      <c r="A74">
        <v>46</v>
      </c>
      <c r="B74">
        <v>8</v>
      </c>
      <c r="C74">
        <f t="shared" si="4"/>
        <v>2952</v>
      </c>
      <c r="D74" t="s">
        <v>857</v>
      </c>
      <c r="E74" t="str">
        <f t="shared" si="5"/>
        <v>u</v>
      </c>
      <c r="F74" t="str">
        <f t="shared" si="6"/>
        <v>46</v>
      </c>
      <c r="G74" t="str">
        <f t="shared" si="7"/>
        <v>20</v>
      </c>
    </row>
    <row r="75" spans="1:7" x14ac:dyDescent="0.35">
      <c r="A75">
        <v>46</v>
      </c>
      <c r="B75">
        <v>9</v>
      </c>
      <c r="C75">
        <f t="shared" si="4"/>
        <v>2953</v>
      </c>
      <c r="D75" t="s">
        <v>858</v>
      </c>
      <c r="E75" t="str">
        <f t="shared" si="5"/>
        <v>b</v>
      </c>
      <c r="F75" t="str">
        <f t="shared" si="6"/>
        <v>45</v>
      </c>
      <c r="G75" t="str">
        <f t="shared" si="7"/>
        <v>56</v>
      </c>
    </row>
    <row r="76" spans="1:7" x14ac:dyDescent="0.35">
      <c r="A76">
        <v>46</v>
      </c>
      <c r="B76">
        <v>10</v>
      </c>
      <c r="C76">
        <f t="shared" si="4"/>
        <v>2954</v>
      </c>
      <c r="D76" t="s">
        <v>859</v>
      </c>
      <c r="E76" t="str">
        <f t="shared" si="5"/>
        <v>u</v>
      </c>
      <c r="F76" t="str">
        <f t="shared" si="6"/>
        <v>47</v>
      </c>
      <c r="G76" t="str">
        <f t="shared" si="7"/>
        <v>48</v>
      </c>
    </row>
    <row r="77" spans="1:7" x14ac:dyDescent="0.35">
      <c r="A77">
        <v>46</v>
      </c>
      <c r="B77">
        <v>11</v>
      </c>
      <c r="C77">
        <f t="shared" si="4"/>
        <v>2955</v>
      </c>
      <c r="D77" t="s">
        <v>860</v>
      </c>
      <c r="E77" t="str">
        <f t="shared" si="5"/>
        <v>b</v>
      </c>
      <c r="F77" t="str">
        <f t="shared" si="6"/>
        <v>46</v>
      </c>
      <c r="G77" t="str">
        <f t="shared" si="7"/>
        <v>60</v>
      </c>
    </row>
    <row r="78" spans="1:7" x14ac:dyDescent="0.35">
      <c r="A78">
        <v>46</v>
      </c>
      <c r="B78">
        <v>12</v>
      </c>
      <c r="C78">
        <f t="shared" si="4"/>
        <v>2956</v>
      </c>
      <c r="D78" t="s">
        <v>861</v>
      </c>
      <c r="E78" t="str">
        <f t="shared" si="5"/>
        <v>y</v>
      </c>
      <c r="F78" t="str">
        <f t="shared" si="6"/>
        <v>46</v>
      </c>
      <c r="G78" t="str">
        <f t="shared" si="7"/>
        <v>28</v>
      </c>
    </row>
    <row r="79" spans="1:7" x14ac:dyDescent="0.35">
      <c r="A79">
        <v>46</v>
      </c>
      <c r="B79">
        <v>13</v>
      </c>
      <c r="C79">
        <f t="shared" si="4"/>
        <v>2957</v>
      </c>
      <c r="D79" t="s">
        <v>862</v>
      </c>
      <c r="E79" t="str">
        <f t="shared" si="5"/>
        <v>y</v>
      </c>
      <c r="F79" t="str">
        <f t="shared" si="6"/>
        <v>46</v>
      </c>
      <c r="G79" t="str">
        <f t="shared" si="7"/>
        <v>32</v>
      </c>
    </row>
    <row r="80" spans="1:7" x14ac:dyDescent="0.35">
      <c r="A80">
        <v>46</v>
      </c>
      <c r="B80">
        <v>14</v>
      </c>
      <c r="C80">
        <f t="shared" si="4"/>
        <v>2958</v>
      </c>
      <c r="D80" t="s">
        <v>863</v>
      </c>
      <c r="E80" t="str">
        <f t="shared" si="5"/>
        <v>b</v>
      </c>
      <c r="F80" t="str">
        <f t="shared" si="6"/>
        <v>45</v>
      </c>
      <c r="G80" t="str">
        <f t="shared" si="7"/>
        <v>40</v>
      </c>
    </row>
    <row r="81" spans="1:7" x14ac:dyDescent="0.35">
      <c r="A81">
        <v>46</v>
      </c>
      <c r="B81">
        <v>15</v>
      </c>
      <c r="C81">
        <f t="shared" si="4"/>
        <v>2959</v>
      </c>
      <c r="D81" t="s">
        <v>864</v>
      </c>
      <c r="E81" t="str">
        <f t="shared" si="5"/>
        <v>e</v>
      </c>
      <c r="F81" t="str">
        <f t="shared" si="6"/>
        <v>45</v>
      </c>
      <c r="G81" t="str">
        <f t="shared" si="7"/>
        <v>58</v>
      </c>
    </row>
    <row r="82" spans="1:7" x14ac:dyDescent="0.35">
      <c r="A82">
        <v>46</v>
      </c>
      <c r="B82">
        <v>16</v>
      </c>
      <c r="C82">
        <f t="shared" si="4"/>
        <v>2960</v>
      </c>
      <c r="D82" t="s">
        <v>865</v>
      </c>
      <c r="E82" t="str">
        <f t="shared" si="5"/>
        <v>c</v>
      </c>
      <c r="F82" t="str">
        <f t="shared" si="6"/>
        <v>45</v>
      </c>
      <c r="G82" t="str">
        <f t="shared" si="7"/>
        <v>40</v>
      </c>
    </row>
    <row r="83" spans="1:7" x14ac:dyDescent="0.35">
      <c r="A83">
        <v>46</v>
      </c>
      <c r="B83">
        <v>17</v>
      </c>
      <c r="C83">
        <f t="shared" si="4"/>
        <v>2961</v>
      </c>
      <c r="D83" t="s">
        <v>866</v>
      </c>
      <c r="E83" t="str">
        <f t="shared" si="5"/>
        <v>b</v>
      </c>
      <c r="F83" t="str">
        <f t="shared" si="6"/>
        <v>46</v>
      </c>
      <c r="G83" t="str">
        <f t="shared" si="7"/>
        <v>28</v>
      </c>
    </row>
    <row r="84" spans="1:7" x14ac:dyDescent="0.35">
      <c r="A84">
        <v>46</v>
      </c>
      <c r="B84">
        <v>18</v>
      </c>
      <c r="C84">
        <f t="shared" si="4"/>
        <v>2962</v>
      </c>
      <c r="D84" t="s">
        <v>867</v>
      </c>
      <c r="E84" t="str">
        <f t="shared" si="5"/>
        <v>a</v>
      </c>
      <c r="F84" t="str">
        <f t="shared" si="6"/>
        <v>46</v>
      </c>
      <c r="G84" t="str">
        <f t="shared" si="7"/>
        <v xml:space="preserve"> 6</v>
      </c>
    </row>
    <row r="85" spans="1:7" x14ac:dyDescent="0.35">
      <c r="A85">
        <v>46</v>
      </c>
      <c r="B85">
        <v>19</v>
      </c>
      <c r="C85">
        <f t="shared" si="4"/>
        <v>2963</v>
      </c>
      <c r="D85" t="s">
        <v>868</v>
      </c>
      <c r="E85" t="str">
        <f t="shared" si="5"/>
        <v>h</v>
      </c>
      <c r="F85" t="str">
        <f t="shared" si="6"/>
        <v>46</v>
      </c>
      <c r="G85" t="str">
        <f t="shared" si="7"/>
        <v>28</v>
      </c>
    </row>
    <row r="86" spans="1:7" x14ac:dyDescent="0.35">
      <c r="A86">
        <v>46</v>
      </c>
      <c r="B86">
        <v>20</v>
      </c>
      <c r="C86">
        <f t="shared" si="4"/>
        <v>2964</v>
      </c>
      <c r="D86" t="s">
        <v>869</v>
      </c>
      <c r="E86" t="str">
        <f t="shared" si="5"/>
        <v>y</v>
      </c>
      <c r="F86" t="str">
        <f t="shared" si="6"/>
        <v>46</v>
      </c>
      <c r="G86" t="str">
        <f t="shared" si="7"/>
        <v>32</v>
      </c>
    </row>
    <row r="87" spans="1:7" x14ac:dyDescent="0.35">
      <c r="A87">
        <v>46</v>
      </c>
      <c r="B87">
        <v>21</v>
      </c>
      <c r="C87">
        <f t="shared" si="4"/>
        <v>2965</v>
      </c>
      <c r="D87" t="s">
        <v>870</v>
      </c>
      <c r="E87" t="str">
        <f t="shared" si="5"/>
        <v>s</v>
      </c>
      <c r="F87" t="str">
        <f t="shared" si="6"/>
        <v>45</v>
      </c>
      <c r="G87" t="str">
        <f t="shared" si="7"/>
        <v>50</v>
      </c>
    </row>
    <row r="88" spans="1:7" x14ac:dyDescent="0.35">
      <c r="A88">
        <v>46</v>
      </c>
      <c r="B88">
        <v>22</v>
      </c>
      <c r="C88">
        <f t="shared" si="4"/>
        <v>2966</v>
      </c>
      <c r="D88" t="s">
        <v>871</v>
      </c>
      <c r="E88" t="str">
        <f t="shared" si="5"/>
        <v>t</v>
      </c>
      <c r="F88" t="str">
        <f t="shared" si="6"/>
        <v>46</v>
      </c>
      <c r="G88" t="str">
        <f t="shared" si="7"/>
        <v>28</v>
      </c>
    </row>
    <row r="89" spans="1:7" x14ac:dyDescent="0.35">
      <c r="A89">
        <v>46</v>
      </c>
      <c r="B89">
        <v>23</v>
      </c>
      <c r="C89">
        <f t="shared" si="4"/>
        <v>2967</v>
      </c>
      <c r="D89" t="s">
        <v>872</v>
      </c>
      <c r="E89" t="str">
        <f t="shared" si="5"/>
        <v>c</v>
      </c>
      <c r="F89" t="str">
        <f t="shared" si="6"/>
        <v>47</v>
      </c>
      <c r="G89" t="str">
        <f t="shared" si="7"/>
        <v xml:space="preserve"> 6</v>
      </c>
    </row>
    <row r="90" spans="1:7" x14ac:dyDescent="0.35">
      <c r="A90">
        <v>46</v>
      </c>
      <c r="B90">
        <v>24</v>
      </c>
      <c r="C90">
        <f t="shared" si="4"/>
        <v>2968</v>
      </c>
      <c r="D90" t="s">
        <v>873</v>
      </c>
      <c r="E90" t="str">
        <f t="shared" si="5"/>
        <v>c</v>
      </c>
      <c r="F90" t="str">
        <f t="shared" si="6"/>
        <v>47</v>
      </c>
      <c r="G90" t="str">
        <f t="shared" si="7"/>
        <v xml:space="preserve"> 6</v>
      </c>
    </row>
    <row r="91" spans="1:7" x14ac:dyDescent="0.35">
      <c r="A91">
        <v>46</v>
      </c>
      <c r="B91">
        <v>25</v>
      </c>
      <c r="C91">
        <f t="shared" si="4"/>
        <v>2969</v>
      </c>
      <c r="D91" t="s">
        <v>874</v>
      </c>
      <c r="E91" t="str">
        <f t="shared" si="5"/>
        <v>u</v>
      </c>
      <c r="F91" t="str">
        <f t="shared" si="6"/>
        <v>46</v>
      </c>
      <c r="G91" t="str">
        <f t="shared" si="7"/>
        <v xml:space="preserve"> 4</v>
      </c>
    </row>
    <row r="92" spans="1:7" x14ac:dyDescent="0.35">
      <c r="A92">
        <v>46</v>
      </c>
      <c r="B92">
        <v>26</v>
      </c>
      <c r="C92">
        <f t="shared" si="4"/>
        <v>2970</v>
      </c>
      <c r="D92" t="s">
        <v>875</v>
      </c>
      <c r="E92" t="str">
        <f t="shared" si="5"/>
        <v>r</v>
      </c>
      <c r="F92" t="str">
        <f t="shared" si="6"/>
        <v>50</v>
      </c>
      <c r="G92" t="str">
        <f t="shared" si="7"/>
        <v>56</v>
      </c>
    </row>
    <row r="93" spans="1:7" x14ac:dyDescent="0.35">
      <c r="A93">
        <v>46</v>
      </c>
      <c r="B93">
        <v>27</v>
      </c>
      <c r="C93">
        <f t="shared" si="4"/>
        <v>2971</v>
      </c>
      <c r="D93" t="s">
        <v>876</v>
      </c>
      <c r="E93" t="str">
        <f t="shared" si="5"/>
        <v>u</v>
      </c>
      <c r="F93" t="str">
        <f t="shared" si="6"/>
        <v>50</v>
      </c>
      <c r="G93" t="str">
        <f t="shared" si="7"/>
        <v>38</v>
      </c>
    </row>
    <row r="94" spans="1:7" x14ac:dyDescent="0.35">
      <c r="A94">
        <v>46</v>
      </c>
      <c r="B94">
        <v>28</v>
      </c>
      <c r="C94">
        <f t="shared" si="4"/>
        <v>2972</v>
      </c>
      <c r="D94" t="s">
        <v>877</v>
      </c>
      <c r="E94" t="str">
        <f t="shared" si="5"/>
        <v>e</v>
      </c>
      <c r="F94" t="str">
        <f t="shared" si="6"/>
        <v>49</v>
      </c>
      <c r="G94" t="str">
        <f t="shared" si="7"/>
        <v>48</v>
      </c>
    </row>
    <row r="95" spans="1:7" x14ac:dyDescent="0.35">
      <c r="A95">
        <v>46</v>
      </c>
      <c r="B95">
        <v>29</v>
      </c>
      <c r="C95">
        <f t="shared" si="4"/>
        <v>2973</v>
      </c>
      <c r="D95" t="s">
        <v>878</v>
      </c>
      <c r="E95" t="str">
        <f t="shared" si="5"/>
        <v>u</v>
      </c>
      <c r="F95" t="str">
        <f t="shared" si="6"/>
        <v>45</v>
      </c>
      <c r="G95" t="str">
        <f t="shared" si="7"/>
        <v xml:space="preserve"> 6</v>
      </c>
    </row>
    <row r="96" spans="1:7" x14ac:dyDescent="0.35">
      <c r="A96">
        <v>46</v>
      </c>
      <c r="B96">
        <v>30</v>
      </c>
      <c r="C96">
        <f t="shared" si="4"/>
        <v>2974</v>
      </c>
      <c r="D96" t="s">
        <v>879</v>
      </c>
      <c r="E96" t="str">
        <f t="shared" si="5"/>
        <v>z</v>
      </c>
      <c r="F96" t="str">
        <f t="shared" si="6"/>
        <v>45</v>
      </c>
      <c r="G96" t="str">
        <f t="shared" si="7"/>
        <v>14</v>
      </c>
    </row>
    <row r="97" spans="1:7" x14ac:dyDescent="0.35">
      <c r="A97">
        <v>46</v>
      </c>
      <c r="B97">
        <v>31</v>
      </c>
      <c r="C97">
        <f t="shared" si="4"/>
        <v>2975</v>
      </c>
      <c r="D97" t="s">
        <v>880</v>
      </c>
      <c r="E97" t="str">
        <f t="shared" si="5"/>
        <v>b</v>
      </c>
      <c r="F97" t="str">
        <f t="shared" si="6"/>
        <v>49</v>
      </c>
      <c r="G97" t="str">
        <f t="shared" si="7"/>
        <v>42</v>
      </c>
    </row>
    <row r="98" spans="1:7" x14ac:dyDescent="0.35">
      <c r="A98">
        <v>46</v>
      </c>
      <c r="B98">
        <v>32</v>
      </c>
      <c r="C98">
        <f t="shared" si="4"/>
        <v>2976</v>
      </c>
      <c r="D98" t="s">
        <v>881</v>
      </c>
      <c r="E98" t="str">
        <f t="shared" si="5"/>
        <v>s</v>
      </c>
      <c r="F98" t="str">
        <f t="shared" si="6"/>
        <v>47</v>
      </c>
      <c r="G98" t="str">
        <f t="shared" si="7"/>
        <v xml:space="preserve"> 6</v>
      </c>
    </row>
    <row r="99" spans="1:7" x14ac:dyDescent="0.35">
      <c r="A99">
        <v>46</v>
      </c>
      <c r="B99">
        <v>33</v>
      </c>
      <c r="C99">
        <f t="shared" si="4"/>
        <v>2977</v>
      </c>
      <c r="D99" t="s">
        <v>882</v>
      </c>
      <c r="E99" t="str">
        <f t="shared" si="5"/>
        <v>t</v>
      </c>
      <c r="F99" t="str">
        <f t="shared" si="6"/>
        <v>46</v>
      </c>
      <c r="G99" t="str">
        <f t="shared" si="7"/>
        <v>22</v>
      </c>
    </row>
    <row r="100" spans="1:7" x14ac:dyDescent="0.35">
      <c r="A100">
        <v>46</v>
      </c>
      <c r="B100">
        <v>34</v>
      </c>
      <c r="C100">
        <f t="shared" si="4"/>
        <v>2978</v>
      </c>
      <c r="D100" t="s">
        <v>883</v>
      </c>
      <c r="E100" t="str">
        <f t="shared" si="5"/>
        <v>p</v>
      </c>
      <c r="F100" t="str">
        <f t="shared" si="6"/>
        <v>16</v>
      </c>
      <c r="G100" t="str">
        <f t="shared" si="7"/>
        <v xml:space="preserve"> 0</v>
      </c>
    </row>
    <row r="101" spans="1:7" x14ac:dyDescent="0.35">
      <c r="A101">
        <v>46</v>
      </c>
      <c r="B101">
        <v>35</v>
      </c>
      <c r="C101">
        <f t="shared" si="4"/>
        <v>2979</v>
      </c>
      <c r="D101" t="s">
        <v>884</v>
      </c>
      <c r="E101" t="str">
        <f t="shared" si="5"/>
        <v>z</v>
      </c>
      <c r="F101" t="str">
        <f t="shared" si="6"/>
        <v xml:space="preserve"> 0</v>
      </c>
      <c r="G101" t="str">
        <f t="shared" si="7"/>
        <v xml:space="preserve"> 2</v>
      </c>
    </row>
    <row r="102" spans="1:7" x14ac:dyDescent="0.35">
      <c r="A102">
        <v>46</v>
      </c>
      <c r="B102">
        <v>36</v>
      </c>
      <c r="C102">
        <f t="shared" si="4"/>
        <v>2980</v>
      </c>
      <c r="D102" t="s">
        <v>885</v>
      </c>
      <c r="E102" t="str">
        <f t="shared" si="5"/>
        <v>p</v>
      </c>
      <c r="F102" t="str">
        <f t="shared" si="6"/>
        <v>24</v>
      </c>
      <c r="G102" t="str">
        <f t="shared" si="7"/>
        <v xml:space="preserve"> 0</v>
      </c>
    </row>
    <row r="103" spans="1:7" x14ac:dyDescent="0.35">
      <c r="A103">
        <v>46</v>
      </c>
      <c r="B103">
        <v>37</v>
      </c>
      <c r="C103">
        <f t="shared" si="4"/>
        <v>2981</v>
      </c>
      <c r="D103" t="s">
        <v>886</v>
      </c>
      <c r="E103" t="str">
        <f t="shared" si="5"/>
        <v>r</v>
      </c>
      <c r="F103" t="str">
        <f t="shared" si="6"/>
        <v>46</v>
      </c>
      <c r="G103" t="str">
        <f t="shared" si="7"/>
        <v>20</v>
      </c>
    </row>
    <row r="104" spans="1:7" x14ac:dyDescent="0.35">
      <c r="A104">
        <v>46</v>
      </c>
      <c r="B104">
        <v>38</v>
      </c>
      <c r="C104">
        <f t="shared" si="4"/>
        <v>2982</v>
      </c>
      <c r="D104" t="s">
        <v>887</v>
      </c>
      <c r="E104" t="str">
        <f t="shared" si="5"/>
        <v>u</v>
      </c>
      <c r="F104" t="str">
        <f t="shared" si="6"/>
        <v>46</v>
      </c>
      <c r="G104" t="str">
        <f t="shared" si="7"/>
        <v>52</v>
      </c>
    </row>
    <row r="105" spans="1:7" x14ac:dyDescent="0.35">
      <c r="A105">
        <v>46</v>
      </c>
      <c r="B105">
        <v>39</v>
      </c>
      <c r="C105">
        <f t="shared" si="4"/>
        <v>2983</v>
      </c>
      <c r="D105" t="s">
        <v>888</v>
      </c>
      <c r="E105" t="str">
        <f t="shared" si="5"/>
        <v>c</v>
      </c>
      <c r="F105" t="str">
        <f t="shared" si="6"/>
        <v>51</v>
      </c>
      <c r="G105" t="str">
        <f t="shared" si="7"/>
        <v>26</v>
      </c>
    </row>
    <row r="106" spans="1:7" x14ac:dyDescent="0.35">
      <c r="A106">
        <v>46</v>
      </c>
      <c r="B106">
        <v>40</v>
      </c>
      <c r="C106">
        <f t="shared" si="4"/>
        <v>2984</v>
      </c>
      <c r="D106" t="s">
        <v>889</v>
      </c>
      <c r="E106" t="str">
        <f t="shared" si="5"/>
        <v>p</v>
      </c>
      <c r="F106" t="str">
        <f t="shared" si="6"/>
        <v>12</v>
      </c>
      <c r="G106" t="str">
        <f t="shared" si="7"/>
        <v xml:space="preserve"> 0</v>
      </c>
    </row>
    <row r="107" spans="1:7" x14ac:dyDescent="0.35">
      <c r="A107">
        <v>46</v>
      </c>
      <c r="B107">
        <v>41</v>
      </c>
      <c r="C107">
        <f t="shared" si="4"/>
        <v>2985</v>
      </c>
      <c r="D107" t="s">
        <v>890</v>
      </c>
      <c r="E107" t="str">
        <f t="shared" si="5"/>
        <v>z</v>
      </c>
      <c r="F107" t="str">
        <f t="shared" si="6"/>
        <v xml:space="preserve"> 0</v>
      </c>
      <c r="G107" t="str">
        <f t="shared" si="7"/>
        <v>44</v>
      </c>
    </row>
    <row r="108" spans="1:7" x14ac:dyDescent="0.35">
      <c r="A108">
        <v>46</v>
      </c>
      <c r="B108">
        <v>42</v>
      </c>
      <c r="C108">
        <f t="shared" si="4"/>
        <v>2986</v>
      </c>
      <c r="D108" t="s">
        <v>891</v>
      </c>
      <c r="E108" t="str">
        <f t="shared" si="5"/>
        <v>p</v>
      </c>
      <c r="F108" t="str">
        <f t="shared" si="6"/>
        <v>24</v>
      </c>
      <c r="G108" t="str">
        <f t="shared" si="7"/>
        <v xml:space="preserve"> 0</v>
      </c>
    </row>
    <row r="109" spans="1:7" x14ac:dyDescent="0.35">
      <c r="A109">
        <v>46</v>
      </c>
      <c r="B109">
        <v>43</v>
      </c>
      <c r="C109">
        <f t="shared" si="4"/>
        <v>2987</v>
      </c>
      <c r="D109" t="s">
        <v>892</v>
      </c>
      <c r="E109" t="str">
        <f t="shared" si="5"/>
        <v>r</v>
      </c>
      <c r="F109" t="str">
        <f t="shared" si="6"/>
        <v>46</v>
      </c>
      <c r="G109" t="str">
        <f t="shared" si="7"/>
        <v>20</v>
      </c>
    </row>
    <row r="110" spans="1:7" x14ac:dyDescent="0.35">
      <c r="A110">
        <v>46</v>
      </c>
      <c r="B110">
        <v>44</v>
      </c>
      <c r="C110">
        <f t="shared" si="4"/>
        <v>2988</v>
      </c>
      <c r="D110" t="s">
        <v>893</v>
      </c>
      <c r="E110" t="str">
        <f t="shared" si="5"/>
        <v>u</v>
      </c>
      <c r="F110" t="str">
        <f t="shared" si="6"/>
        <v>46</v>
      </c>
      <c r="G110" t="str">
        <f t="shared" si="7"/>
        <v>52</v>
      </c>
    </row>
    <row r="111" spans="1:7" x14ac:dyDescent="0.35">
      <c r="A111">
        <v>46</v>
      </c>
      <c r="B111">
        <v>45</v>
      </c>
      <c r="C111">
        <f t="shared" si="4"/>
        <v>2989</v>
      </c>
      <c r="D111" t="s">
        <v>894</v>
      </c>
      <c r="E111" t="str">
        <f t="shared" si="5"/>
        <v>c</v>
      </c>
      <c r="F111" t="str">
        <f t="shared" si="6"/>
        <v>50</v>
      </c>
      <c r="G111" t="str">
        <f t="shared" si="7"/>
        <v>58</v>
      </c>
    </row>
    <row r="112" spans="1:7" x14ac:dyDescent="0.35">
      <c r="A112">
        <v>46</v>
      </c>
      <c r="B112">
        <v>46</v>
      </c>
      <c r="C112">
        <f t="shared" si="4"/>
        <v>2990</v>
      </c>
      <c r="D112" t="s">
        <v>895</v>
      </c>
      <c r="E112" t="str">
        <f t="shared" si="5"/>
        <v>r</v>
      </c>
      <c r="F112" t="str">
        <f t="shared" si="6"/>
        <v>51</v>
      </c>
      <c r="G112" t="str">
        <f t="shared" si="7"/>
        <v xml:space="preserve"> 0</v>
      </c>
    </row>
    <row r="113" spans="1:7" x14ac:dyDescent="0.35">
      <c r="A113">
        <v>46</v>
      </c>
      <c r="B113">
        <v>47</v>
      </c>
      <c r="C113">
        <f t="shared" si="4"/>
        <v>2991</v>
      </c>
      <c r="D113" t="s">
        <v>896</v>
      </c>
      <c r="E113" t="str">
        <f t="shared" si="5"/>
        <v>u</v>
      </c>
      <c r="F113" t="str">
        <f t="shared" si="6"/>
        <v>51</v>
      </c>
      <c r="G113" t="str">
        <f t="shared" si="7"/>
        <v xml:space="preserve"> 0</v>
      </c>
    </row>
    <row r="114" spans="1:7" x14ac:dyDescent="0.35">
      <c r="A114">
        <v>46</v>
      </c>
      <c r="B114">
        <v>48</v>
      </c>
      <c r="C114">
        <f t="shared" si="4"/>
        <v>2992</v>
      </c>
      <c r="D114" t="s">
        <v>897</v>
      </c>
      <c r="E114" t="str">
        <f t="shared" si="5"/>
        <v>p</v>
      </c>
      <c r="F114" t="str">
        <f t="shared" si="6"/>
        <v>62</v>
      </c>
      <c r="G114" t="str">
        <f t="shared" si="7"/>
        <v>63</v>
      </c>
    </row>
    <row r="115" spans="1:7" x14ac:dyDescent="0.35">
      <c r="A115">
        <v>46</v>
      </c>
      <c r="B115">
        <v>49</v>
      </c>
      <c r="C115">
        <f t="shared" si="4"/>
        <v>2993</v>
      </c>
      <c r="D115" t="s">
        <v>898</v>
      </c>
      <c r="E115" t="str">
        <f t="shared" si="5"/>
        <v>p</v>
      </c>
      <c r="F115" t="str">
        <f t="shared" si="6"/>
        <v>24</v>
      </c>
      <c r="G115" t="str">
        <f t="shared" si="7"/>
        <v xml:space="preserve"> 0</v>
      </c>
    </row>
    <row r="116" spans="1:7" x14ac:dyDescent="0.35">
      <c r="A116">
        <v>46</v>
      </c>
      <c r="B116">
        <v>50</v>
      </c>
      <c r="C116">
        <f t="shared" si="4"/>
        <v>2994</v>
      </c>
      <c r="D116" t="s">
        <v>899</v>
      </c>
      <c r="E116" t="str">
        <f t="shared" si="5"/>
        <v>b</v>
      </c>
      <c r="F116" t="str">
        <f t="shared" si="6"/>
        <v>50</v>
      </c>
      <c r="G116" t="str">
        <f t="shared" si="7"/>
        <v>62</v>
      </c>
    </row>
    <row r="117" spans="1:7" x14ac:dyDescent="0.35">
      <c r="A117">
        <v>46</v>
      </c>
      <c r="B117">
        <v>51</v>
      </c>
      <c r="C117">
        <f t="shared" si="4"/>
        <v>2995</v>
      </c>
      <c r="D117" t="s">
        <v>900</v>
      </c>
      <c r="E117" t="str">
        <f t="shared" si="5"/>
        <v>a</v>
      </c>
      <c r="F117" t="str">
        <f t="shared" si="6"/>
        <v>46</v>
      </c>
      <c r="G117" t="str">
        <f t="shared" si="7"/>
        <v xml:space="preserve"> 6</v>
      </c>
    </row>
    <row r="118" spans="1:7" x14ac:dyDescent="0.35">
      <c r="A118">
        <v>46</v>
      </c>
      <c r="B118">
        <v>52</v>
      </c>
      <c r="C118">
        <f t="shared" si="4"/>
        <v>2996</v>
      </c>
      <c r="D118" t="s">
        <v>901</v>
      </c>
      <c r="E118" t="str">
        <f t="shared" si="5"/>
        <v>c</v>
      </c>
      <c r="F118" t="str">
        <f t="shared" si="6"/>
        <v>50</v>
      </c>
      <c r="G118" t="str">
        <f t="shared" si="7"/>
        <v>62</v>
      </c>
    </row>
    <row r="119" spans="1:7" x14ac:dyDescent="0.35">
      <c r="A119">
        <v>46</v>
      </c>
      <c r="B119">
        <v>53</v>
      </c>
      <c r="C119">
        <f t="shared" si="4"/>
        <v>2997</v>
      </c>
      <c r="D119" t="s">
        <v>902</v>
      </c>
      <c r="E119" t="str">
        <f t="shared" si="5"/>
        <v>u</v>
      </c>
      <c r="F119" t="str">
        <f t="shared" si="6"/>
        <v>46</v>
      </c>
      <c r="G119" t="str">
        <f t="shared" si="7"/>
        <v>44</v>
      </c>
    </row>
    <row r="120" spans="1:7" x14ac:dyDescent="0.35">
      <c r="A120">
        <v>46</v>
      </c>
      <c r="B120">
        <v>54</v>
      </c>
      <c r="C120">
        <f t="shared" si="4"/>
        <v>2998</v>
      </c>
      <c r="D120" t="s">
        <v>903</v>
      </c>
      <c r="E120" t="str">
        <f t="shared" si="5"/>
        <v>r</v>
      </c>
      <c r="F120" t="str">
        <f t="shared" si="6"/>
        <v>46</v>
      </c>
      <c r="G120" t="str">
        <f t="shared" si="7"/>
        <v>20</v>
      </c>
    </row>
    <row r="121" spans="1:7" x14ac:dyDescent="0.35">
      <c r="A121">
        <v>46</v>
      </c>
      <c r="B121">
        <v>55</v>
      </c>
      <c r="C121">
        <f t="shared" si="4"/>
        <v>2999</v>
      </c>
      <c r="D121" t="s">
        <v>904</v>
      </c>
      <c r="E121" t="str">
        <f t="shared" si="5"/>
        <v>u</v>
      </c>
      <c r="F121" t="str">
        <f t="shared" si="6"/>
        <v>46</v>
      </c>
      <c r="G121" t="str">
        <f t="shared" si="7"/>
        <v>52</v>
      </c>
    </row>
    <row r="122" spans="1:7" x14ac:dyDescent="0.35">
      <c r="A122">
        <v>46</v>
      </c>
      <c r="B122">
        <v>56</v>
      </c>
      <c r="C122">
        <f t="shared" si="4"/>
        <v>3000</v>
      </c>
      <c r="D122" t="s">
        <v>905</v>
      </c>
      <c r="E122" t="str">
        <f t="shared" si="5"/>
        <v>t</v>
      </c>
      <c r="F122" t="str">
        <f t="shared" si="6"/>
        <v>47</v>
      </c>
      <c r="G122" t="str">
        <f t="shared" si="7"/>
        <v>22</v>
      </c>
    </row>
    <row r="123" spans="1:7" x14ac:dyDescent="0.35">
      <c r="A123">
        <v>46</v>
      </c>
      <c r="B123">
        <v>57</v>
      </c>
      <c r="C123">
        <f t="shared" si="4"/>
        <v>3001</v>
      </c>
      <c r="D123" t="s">
        <v>906</v>
      </c>
      <c r="E123" t="str">
        <f t="shared" si="5"/>
        <v>a</v>
      </c>
      <c r="F123" t="str">
        <f t="shared" si="6"/>
        <v>51</v>
      </c>
      <c r="G123" t="str">
        <f t="shared" si="7"/>
        <v>26</v>
      </c>
    </row>
    <row r="124" spans="1:7" x14ac:dyDescent="0.35">
      <c r="A124">
        <v>46</v>
      </c>
      <c r="B124">
        <v>58</v>
      </c>
      <c r="C124">
        <f t="shared" si="4"/>
        <v>3002</v>
      </c>
      <c r="D124" t="s">
        <v>907</v>
      </c>
      <c r="E124" t="str">
        <f t="shared" si="5"/>
        <v>h</v>
      </c>
      <c r="F124" t="str">
        <f t="shared" si="6"/>
        <v>51</v>
      </c>
      <c r="G124" t="str">
        <f t="shared" si="7"/>
        <v>26</v>
      </c>
    </row>
    <row r="125" spans="1:7" x14ac:dyDescent="0.35">
      <c r="A125">
        <v>46</v>
      </c>
      <c r="B125">
        <v>59</v>
      </c>
      <c r="C125">
        <f t="shared" si="4"/>
        <v>3003</v>
      </c>
      <c r="D125" t="s">
        <v>908</v>
      </c>
      <c r="E125" t="str">
        <f t="shared" si="5"/>
        <v>e</v>
      </c>
      <c r="F125" t="str">
        <f t="shared" si="6"/>
        <v>45</v>
      </c>
      <c r="G125" t="str">
        <f t="shared" si="7"/>
        <v>60</v>
      </c>
    </row>
    <row r="126" spans="1:7" x14ac:dyDescent="0.35">
      <c r="A126">
        <v>46</v>
      </c>
      <c r="B126">
        <v>60</v>
      </c>
      <c r="C126">
        <f t="shared" si="4"/>
        <v>3004</v>
      </c>
      <c r="D126" t="s">
        <v>909</v>
      </c>
      <c r="E126" t="str">
        <f t="shared" si="5"/>
        <v>s</v>
      </c>
      <c r="F126" t="str">
        <f t="shared" si="6"/>
        <v>46</v>
      </c>
      <c r="G126" t="str">
        <f t="shared" si="7"/>
        <v>18</v>
      </c>
    </row>
    <row r="127" spans="1:7" x14ac:dyDescent="0.35">
      <c r="A127">
        <v>46</v>
      </c>
      <c r="B127">
        <v>61</v>
      </c>
      <c r="C127">
        <f t="shared" si="4"/>
        <v>3005</v>
      </c>
      <c r="D127" t="s">
        <v>910</v>
      </c>
      <c r="E127" t="str">
        <f t="shared" si="5"/>
        <v>t</v>
      </c>
      <c r="F127" t="str">
        <f t="shared" si="6"/>
        <v>47</v>
      </c>
      <c r="G127" t="str">
        <f t="shared" si="7"/>
        <v>48</v>
      </c>
    </row>
    <row r="128" spans="1:7" x14ac:dyDescent="0.35">
      <c r="A128">
        <v>46</v>
      </c>
      <c r="B128">
        <v>62</v>
      </c>
      <c r="C128">
        <f t="shared" si="4"/>
        <v>3006</v>
      </c>
      <c r="D128" t="s">
        <v>911</v>
      </c>
      <c r="E128" t="str">
        <f t="shared" si="5"/>
        <v>p</v>
      </c>
      <c r="F128" t="str">
        <f t="shared" si="6"/>
        <v>12</v>
      </c>
      <c r="G128" t="str">
        <f t="shared" si="7"/>
        <v xml:space="preserve"> 0</v>
      </c>
    </row>
    <row r="129" spans="1:7" x14ac:dyDescent="0.35">
      <c r="A129">
        <v>46</v>
      </c>
      <c r="B129">
        <v>63</v>
      </c>
      <c r="C129">
        <f t="shared" si="4"/>
        <v>3007</v>
      </c>
      <c r="D129" t="s">
        <v>912</v>
      </c>
      <c r="E129" t="str">
        <f t="shared" si="5"/>
        <v>z</v>
      </c>
      <c r="F129" t="str">
        <f t="shared" si="6"/>
        <v xml:space="preserve"> 0</v>
      </c>
      <c r="G129" t="str">
        <f t="shared" si="7"/>
        <v xml:space="preserve"> 8</v>
      </c>
    </row>
    <row r="130" spans="1:7" x14ac:dyDescent="0.35">
      <c r="A130">
        <v>47</v>
      </c>
      <c r="B130">
        <v>0</v>
      </c>
      <c r="C130">
        <f t="shared" si="4"/>
        <v>3008</v>
      </c>
      <c r="D130" t="s">
        <v>913</v>
      </c>
      <c r="E130" t="str">
        <f t="shared" si="5"/>
        <v>p</v>
      </c>
      <c r="F130" t="str">
        <f t="shared" si="6"/>
        <v>24</v>
      </c>
      <c r="G130" t="str">
        <f t="shared" si="7"/>
        <v xml:space="preserve"> 0</v>
      </c>
    </row>
    <row r="131" spans="1:7" x14ac:dyDescent="0.35">
      <c r="A131">
        <v>47</v>
      </c>
      <c r="B131">
        <v>1</v>
      </c>
      <c r="C131">
        <f t="shared" ref="C131:C194" si="8">A131*64+B131</f>
        <v>3009</v>
      </c>
      <c r="D131" t="s">
        <v>914</v>
      </c>
      <c r="E131" t="str">
        <f t="shared" ref="E131:E194" si="9">MID(D131,4,1)</f>
        <v>b</v>
      </c>
      <c r="F131" t="str">
        <f t="shared" ref="F131:F194" si="10">MID(D131,6,2)</f>
        <v>47</v>
      </c>
      <c r="G131" t="str">
        <f t="shared" ref="G131:G194" si="11">MID(D131,9,2)</f>
        <v>46</v>
      </c>
    </row>
    <row r="132" spans="1:7" x14ac:dyDescent="0.35">
      <c r="A132">
        <v>47</v>
      </c>
      <c r="B132">
        <v>2</v>
      </c>
      <c r="C132">
        <f t="shared" si="8"/>
        <v>3010</v>
      </c>
      <c r="D132" t="s">
        <v>915</v>
      </c>
      <c r="E132" t="str">
        <f t="shared" si="9"/>
        <v>a</v>
      </c>
      <c r="F132" t="str">
        <f t="shared" si="10"/>
        <v>46</v>
      </c>
      <c r="G132" t="str">
        <f t="shared" si="11"/>
        <v xml:space="preserve"> 6</v>
      </c>
    </row>
    <row r="133" spans="1:7" x14ac:dyDescent="0.35">
      <c r="A133">
        <v>47</v>
      </c>
      <c r="B133">
        <v>3</v>
      </c>
      <c r="C133">
        <f t="shared" si="8"/>
        <v>3011</v>
      </c>
      <c r="D133" t="s">
        <v>916</v>
      </c>
      <c r="E133" t="str">
        <f t="shared" si="9"/>
        <v>c</v>
      </c>
      <c r="F133" t="str">
        <f t="shared" si="10"/>
        <v>47</v>
      </c>
      <c r="G133" t="str">
        <f t="shared" si="11"/>
        <v>46</v>
      </c>
    </row>
    <row r="134" spans="1:7" x14ac:dyDescent="0.35">
      <c r="A134">
        <v>47</v>
      </c>
      <c r="B134">
        <v>4</v>
      </c>
      <c r="C134">
        <f t="shared" si="8"/>
        <v>3012</v>
      </c>
      <c r="D134" t="s">
        <v>917</v>
      </c>
      <c r="E134" t="str">
        <f t="shared" si="9"/>
        <v>r</v>
      </c>
      <c r="F134" t="str">
        <f t="shared" si="10"/>
        <v>46</v>
      </c>
      <c r="G134" t="str">
        <f t="shared" si="11"/>
        <v>20</v>
      </c>
    </row>
    <row r="135" spans="1:7" x14ac:dyDescent="0.35">
      <c r="A135">
        <v>47</v>
      </c>
      <c r="B135">
        <v>5</v>
      </c>
      <c r="C135">
        <f t="shared" si="8"/>
        <v>3013</v>
      </c>
      <c r="D135" t="s">
        <v>918</v>
      </c>
      <c r="E135" t="str">
        <f t="shared" si="9"/>
        <v>u</v>
      </c>
      <c r="F135" t="str">
        <f t="shared" si="10"/>
        <v>46</v>
      </c>
      <c r="G135" t="str">
        <f t="shared" si="11"/>
        <v>52</v>
      </c>
    </row>
    <row r="136" spans="1:7" x14ac:dyDescent="0.35">
      <c r="A136">
        <v>47</v>
      </c>
      <c r="B136">
        <v>6</v>
      </c>
      <c r="C136">
        <f t="shared" si="8"/>
        <v>3014</v>
      </c>
      <c r="D136" t="s">
        <v>919</v>
      </c>
      <c r="E136" t="str">
        <f t="shared" si="9"/>
        <v>t</v>
      </c>
      <c r="F136" t="str">
        <f t="shared" si="10"/>
        <v>47</v>
      </c>
      <c r="G136" t="str">
        <f t="shared" si="11"/>
        <v>30</v>
      </c>
    </row>
    <row r="137" spans="1:7" x14ac:dyDescent="0.35">
      <c r="A137">
        <v>47</v>
      </c>
      <c r="B137">
        <v>7</v>
      </c>
      <c r="C137">
        <f t="shared" si="8"/>
        <v>3015</v>
      </c>
      <c r="D137" t="s">
        <v>920</v>
      </c>
      <c r="E137" t="str">
        <f t="shared" si="9"/>
        <v>a</v>
      </c>
      <c r="F137" t="str">
        <f t="shared" si="10"/>
        <v>50</v>
      </c>
      <c r="G137" t="str">
        <f t="shared" si="11"/>
        <v>58</v>
      </c>
    </row>
    <row r="138" spans="1:7" x14ac:dyDescent="0.35">
      <c r="A138">
        <v>47</v>
      </c>
      <c r="B138">
        <v>8</v>
      </c>
      <c r="C138">
        <f t="shared" si="8"/>
        <v>3016</v>
      </c>
      <c r="D138" t="s">
        <v>921</v>
      </c>
      <c r="E138" t="str">
        <f t="shared" si="9"/>
        <v>h</v>
      </c>
      <c r="F138" t="str">
        <f t="shared" si="10"/>
        <v>50</v>
      </c>
      <c r="G138" t="str">
        <f t="shared" si="11"/>
        <v>58</v>
      </c>
    </row>
    <row r="139" spans="1:7" x14ac:dyDescent="0.35">
      <c r="A139">
        <v>47</v>
      </c>
      <c r="B139">
        <v>9</v>
      </c>
      <c r="C139">
        <f t="shared" si="8"/>
        <v>3017</v>
      </c>
      <c r="D139" t="s">
        <v>922</v>
      </c>
      <c r="E139" t="str">
        <f t="shared" si="9"/>
        <v>t</v>
      </c>
      <c r="F139" t="str">
        <f t="shared" si="10"/>
        <v>48</v>
      </c>
      <c r="G139" t="str">
        <f t="shared" si="11"/>
        <v>52</v>
      </c>
    </row>
    <row r="140" spans="1:7" x14ac:dyDescent="0.35">
      <c r="A140">
        <v>47</v>
      </c>
      <c r="B140">
        <v>10</v>
      </c>
      <c r="C140">
        <f t="shared" si="8"/>
        <v>3018</v>
      </c>
      <c r="D140" t="s">
        <v>923</v>
      </c>
      <c r="E140" t="str">
        <f t="shared" si="9"/>
        <v>u</v>
      </c>
      <c r="F140" t="str">
        <f t="shared" si="10"/>
        <v>47</v>
      </c>
      <c r="G140" t="str">
        <f t="shared" si="11"/>
        <v>60</v>
      </c>
    </row>
    <row r="141" spans="1:7" x14ac:dyDescent="0.35">
      <c r="A141">
        <v>47</v>
      </c>
      <c r="B141">
        <v>11</v>
      </c>
      <c r="C141">
        <f t="shared" si="8"/>
        <v>3019</v>
      </c>
      <c r="D141" t="s">
        <v>924</v>
      </c>
      <c r="E141" t="str">
        <f t="shared" si="9"/>
        <v>b</v>
      </c>
      <c r="F141" t="str">
        <f t="shared" si="10"/>
        <v>51</v>
      </c>
      <c r="G141" t="str">
        <f t="shared" si="11"/>
        <v>26</v>
      </c>
    </row>
    <row r="142" spans="1:7" x14ac:dyDescent="0.35">
      <c r="A142">
        <v>47</v>
      </c>
      <c r="B142">
        <v>12</v>
      </c>
      <c r="C142">
        <f t="shared" si="8"/>
        <v>3020</v>
      </c>
      <c r="D142" t="s">
        <v>925</v>
      </c>
      <c r="E142" t="str">
        <f t="shared" si="9"/>
        <v>e</v>
      </c>
      <c r="F142" t="str">
        <f t="shared" si="10"/>
        <v>45</v>
      </c>
      <c r="G142" t="str">
        <f t="shared" si="11"/>
        <v>60</v>
      </c>
    </row>
    <row r="143" spans="1:7" x14ac:dyDescent="0.35">
      <c r="A143">
        <v>47</v>
      </c>
      <c r="B143">
        <v>13</v>
      </c>
      <c r="C143">
        <f t="shared" si="8"/>
        <v>3021</v>
      </c>
      <c r="D143" t="s">
        <v>926</v>
      </c>
      <c r="E143" t="str">
        <f t="shared" si="9"/>
        <v>a</v>
      </c>
      <c r="F143" t="str">
        <f t="shared" si="10"/>
        <v>45</v>
      </c>
      <c r="G143" t="str">
        <f t="shared" si="11"/>
        <v>56</v>
      </c>
    </row>
    <row r="144" spans="1:7" x14ac:dyDescent="0.35">
      <c r="A144">
        <v>47</v>
      </c>
      <c r="B144">
        <v>14</v>
      </c>
      <c r="C144">
        <f t="shared" si="8"/>
        <v>3022</v>
      </c>
      <c r="D144" t="s">
        <v>927</v>
      </c>
      <c r="E144" t="str">
        <f t="shared" si="9"/>
        <v>u</v>
      </c>
      <c r="F144" t="str">
        <f t="shared" si="10"/>
        <v>46</v>
      </c>
      <c r="G144" t="str">
        <f t="shared" si="11"/>
        <v>52</v>
      </c>
    </row>
    <row r="145" spans="1:7" x14ac:dyDescent="0.35">
      <c r="A145">
        <v>47</v>
      </c>
      <c r="B145">
        <v>15</v>
      </c>
      <c r="C145">
        <f t="shared" si="8"/>
        <v>3023</v>
      </c>
      <c r="D145" t="s">
        <v>928</v>
      </c>
      <c r="E145" t="str">
        <f t="shared" si="9"/>
        <v>b</v>
      </c>
      <c r="F145" t="str">
        <f t="shared" si="10"/>
        <v>50</v>
      </c>
      <c r="G145" t="str">
        <f t="shared" si="11"/>
        <v>58</v>
      </c>
    </row>
    <row r="146" spans="1:7" x14ac:dyDescent="0.35">
      <c r="A146">
        <v>47</v>
      </c>
      <c r="B146">
        <v>16</v>
      </c>
      <c r="C146">
        <f t="shared" si="8"/>
        <v>3024</v>
      </c>
      <c r="D146" t="s">
        <v>929</v>
      </c>
      <c r="E146" t="str">
        <f t="shared" si="9"/>
        <v>e</v>
      </c>
      <c r="F146" t="str">
        <f t="shared" si="10"/>
        <v>45</v>
      </c>
      <c r="G146" t="str">
        <f t="shared" si="11"/>
        <v>60</v>
      </c>
    </row>
    <row r="147" spans="1:7" x14ac:dyDescent="0.35">
      <c r="A147">
        <v>47</v>
      </c>
      <c r="B147">
        <v>17</v>
      </c>
      <c r="C147">
        <f t="shared" si="8"/>
        <v>3025</v>
      </c>
      <c r="D147" t="s">
        <v>930</v>
      </c>
      <c r="E147" t="str">
        <f t="shared" si="9"/>
        <v>a</v>
      </c>
      <c r="F147" t="str">
        <f t="shared" si="10"/>
        <v>45</v>
      </c>
      <c r="G147" t="str">
        <f t="shared" si="11"/>
        <v>56</v>
      </c>
    </row>
    <row r="148" spans="1:7" x14ac:dyDescent="0.35">
      <c r="A148">
        <v>47</v>
      </c>
      <c r="B148">
        <v>18</v>
      </c>
      <c r="C148">
        <f t="shared" si="8"/>
        <v>3026</v>
      </c>
      <c r="D148" t="s">
        <v>931</v>
      </c>
      <c r="E148" t="str">
        <f t="shared" si="9"/>
        <v>u</v>
      </c>
      <c r="F148" t="str">
        <f t="shared" si="10"/>
        <v>47</v>
      </c>
      <c r="G148" t="str">
        <f t="shared" si="11"/>
        <v>16</v>
      </c>
    </row>
    <row r="149" spans="1:7" x14ac:dyDescent="0.35">
      <c r="A149">
        <v>47</v>
      </c>
      <c r="B149">
        <v>19</v>
      </c>
      <c r="C149">
        <f t="shared" si="8"/>
        <v>3027</v>
      </c>
      <c r="D149" t="s">
        <v>932</v>
      </c>
      <c r="E149" t="str">
        <f t="shared" si="9"/>
        <v>b</v>
      </c>
      <c r="F149" t="str">
        <f t="shared" si="10"/>
        <v>50</v>
      </c>
      <c r="G149" t="str">
        <f t="shared" si="11"/>
        <v>58</v>
      </c>
    </row>
    <row r="150" spans="1:7" x14ac:dyDescent="0.35">
      <c r="A150">
        <v>47</v>
      </c>
      <c r="B150">
        <v>20</v>
      </c>
      <c r="C150">
        <f t="shared" si="8"/>
        <v>3028</v>
      </c>
      <c r="D150" t="s">
        <v>933</v>
      </c>
      <c r="E150" t="str">
        <f t="shared" si="9"/>
        <v>e</v>
      </c>
      <c r="F150" t="str">
        <f t="shared" si="10"/>
        <v>45</v>
      </c>
      <c r="G150" t="str">
        <f t="shared" si="11"/>
        <v>60</v>
      </c>
    </row>
    <row r="151" spans="1:7" x14ac:dyDescent="0.35">
      <c r="A151">
        <v>47</v>
      </c>
      <c r="B151">
        <v>21</v>
      </c>
      <c r="C151">
        <f t="shared" si="8"/>
        <v>3029</v>
      </c>
      <c r="D151" t="s">
        <v>934</v>
      </c>
      <c r="E151" t="str">
        <f t="shared" si="9"/>
        <v>a</v>
      </c>
      <c r="F151" t="str">
        <f t="shared" si="10"/>
        <v>45</v>
      </c>
      <c r="G151" t="str">
        <f t="shared" si="11"/>
        <v>56</v>
      </c>
    </row>
    <row r="152" spans="1:7" x14ac:dyDescent="0.35">
      <c r="A152">
        <v>47</v>
      </c>
      <c r="B152">
        <v>22</v>
      </c>
      <c r="C152">
        <f t="shared" si="8"/>
        <v>3030</v>
      </c>
      <c r="D152" t="s">
        <v>935</v>
      </c>
      <c r="E152" t="str">
        <f t="shared" si="9"/>
        <v>u</v>
      </c>
      <c r="F152" t="str">
        <f t="shared" si="10"/>
        <v>47</v>
      </c>
      <c r="G152" t="str">
        <f t="shared" si="11"/>
        <v>52</v>
      </c>
    </row>
    <row r="153" spans="1:7" x14ac:dyDescent="0.35">
      <c r="A153">
        <v>47</v>
      </c>
      <c r="B153">
        <v>23</v>
      </c>
      <c r="C153">
        <f t="shared" si="8"/>
        <v>3031</v>
      </c>
      <c r="D153" t="s">
        <v>936</v>
      </c>
      <c r="E153" t="str">
        <f t="shared" si="9"/>
        <v>z</v>
      </c>
      <c r="F153" t="str">
        <f t="shared" si="10"/>
        <v xml:space="preserve"> 0</v>
      </c>
      <c r="G153" t="str">
        <f t="shared" si="11"/>
        <v xml:space="preserve"> 0</v>
      </c>
    </row>
    <row r="154" spans="1:7" x14ac:dyDescent="0.35">
      <c r="A154">
        <v>47</v>
      </c>
      <c r="B154">
        <v>24</v>
      </c>
      <c r="C154">
        <f t="shared" si="8"/>
        <v>3032</v>
      </c>
      <c r="D154" t="s">
        <v>937</v>
      </c>
      <c r="E154" t="str">
        <f t="shared" si="9"/>
        <v>r</v>
      </c>
      <c r="F154" t="str">
        <f t="shared" si="10"/>
        <v>51</v>
      </c>
      <c r="G154" t="str">
        <f t="shared" si="11"/>
        <v xml:space="preserve"> 0</v>
      </c>
    </row>
    <row r="155" spans="1:7" x14ac:dyDescent="0.35">
      <c r="A155">
        <v>47</v>
      </c>
      <c r="B155">
        <v>25</v>
      </c>
      <c r="C155">
        <f t="shared" si="8"/>
        <v>3033</v>
      </c>
      <c r="D155" t="s">
        <v>938</v>
      </c>
      <c r="E155" t="str">
        <f t="shared" si="9"/>
        <v>u</v>
      </c>
      <c r="F155" t="str">
        <f t="shared" si="10"/>
        <v>51</v>
      </c>
      <c r="G155" t="str">
        <f t="shared" si="11"/>
        <v xml:space="preserve"> 0</v>
      </c>
    </row>
    <row r="156" spans="1:7" x14ac:dyDescent="0.35">
      <c r="A156">
        <v>47</v>
      </c>
      <c r="B156">
        <v>26</v>
      </c>
      <c r="C156">
        <f t="shared" si="8"/>
        <v>3034</v>
      </c>
      <c r="D156" t="s">
        <v>939</v>
      </c>
      <c r="E156" t="str">
        <f t="shared" si="9"/>
        <v>z</v>
      </c>
      <c r="F156" t="str">
        <f t="shared" si="10"/>
        <v>42</v>
      </c>
      <c r="G156" t="str">
        <f t="shared" si="11"/>
        <v xml:space="preserve"> 4</v>
      </c>
    </row>
    <row r="157" spans="1:7" x14ac:dyDescent="0.35">
      <c r="A157">
        <v>47</v>
      </c>
      <c r="B157">
        <v>27</v>
      </c>
      <c r="C157">
        <f t="shared" si="8"/>
        <v>3035</v>
      </c>
      <c r="D157" t="s">
        <v>940</v>
      </c>
      <c r="E157" t="str">
        <f t="shared" si="9"/>
        <v>u</v>
      </c>
      <c r="F157" t="str">
        <f t="shared" si="10"/>
        <v>42</v>
      </c>
      <c r="G157" t="str">
        <f t="shared" si="11"/>
        <v xml:space="preserve"> 8</v>
      </c>
    </row>
    <row r="158" spans="1:7" x14ac:dyDescent="0.35">
      <c r="A158">
        <v>47</v>
      </c>
      <c r="B158">
        <v>28</v>
      </c>
      <c r="C158">
        <f t="shared" si="8"/>
        <v>3036</v>
      </c>
      <c r="D158" t="s">
        <v>941</v>
      </c>
      <c r="E158" t="str">
        <f t="shared" si="9"/>
        <v>p</v>
      </c>
      <c r="F158" t="str">
        <f t="shared" si="10"/>
        <v xml:space="preserve"> 6</v>
      </c>
      <c r="G158" t="str">
        <f t="shared" si="11"/>
        <v>63</v>
      </c>
    </row>
    <row r="159" spans="1:7" x14ac:dyDescent="0.35">
      <c r="A159">
        <v>47</v>
      </c>
      <c r="B159">
        <v>29</v>
      </c>
      <c r="C159">
        <f t="shared" si="8"/>
        <v>3037</v>
      </c>
      <c r="D159" t="s">
        <v>942</v>
      </c>
      <c r="E159" t="str">
        <f t="shared" si="9"/>
        <v>p</v>
      </c>
      <c r="F159" t="str">
        <f t="shared" si="10"/>
        <v xml:space="preserve"> 0</v>
      </c>
      <c r="G159" t="str">
        <f t="shared" si="11"/>
        <v xml:space="preserve"> 0</v>
      </c>
    </row>
    <row r="160" spans="1:7" x14ac:dyDescent="0.35">
      <c r="A160">
        <v>47</v>
      </c>
      <c r="B160">
        <v>30</v>
      </c>
      <c r="C160">
        <f t="shared" si="8"/>
        <v>3038</v>
      </c>
      <c r="D160" t="s">
        <v>943</v>
      </c>
      <c r="E160" t="str">
        <f t="shared" si="9"/>
        <v>i</v>
      </c>
      <c r="F160" t="str">
        <f t="shared" si="10"/>
        <v xml:space="preserve"> 0</v>
      </c>
      <c r="G160" t="str">
        <f t="shared" si="11"/>
        <v xml:space="preserve"> 0</v>
      </c>
    </row>
    <row r="161" spans="1:7" x14ac:dyDescent="0.35">
      <c r="A161">
        <v>47</v>
      </c>
      <c r="B161">
        <v>31</v>
      </c>
      <c r="C161">
        <f t="shared" si="8"/>
        <v>3039</v>
      </c>
      <c r="D161" t="s">
        <v>944</v>
      </c>
      <c r="E161" t="str">
        <f t="shared" si="9"/>
        <v>e</v>
      </c>
      <c r="F161" t="str">
        <f t="shared" si="10"/>
        <v>46</v>
      </c>
      <c r="G161" t="str">
        <f t="shared" si="11"/>
        <v>62</v>
      </c>
    </row>
    <row r="162" spans="1:7" x14ac:dyDescent="0.35">
      <c r="A162">
        <v>47</v>
      </c>
      <c r="B162">
        <v>32</v>
      </c>
      <c r="C162">
        <f t="shared" si="8"/>
        <v>3040</v>
      </c>
      <c r="D162" t="s">
        <v>945</v>
      </c>
      <c r="E162" t="str">
        <f t="shared" si="9"/>
        <v>s</v>
      </c>
      <c r="F162" t="str">
        <f t="shared" si="10"/>
        <v>46</v>
      </c>
      <c r="G162" t="str">
        <f t="shared" si="11"/>
        <v>62</v>
      </c>
    </row>
    <row r="163" spans="1:7" x14ac:dyDescent="0.35">
      <c r="A163">
        <v>47</v>
      </c>
      <c r="B163">
        <v>33</v>
      </c>
      <c r="C163">
        <f t="shared" si="8"/>
        <v>3041</v>
      </c>
      <c r="D163" t="s">
        <v>946</v>
      </c>
      <c r="E163" t="str">
        <f t="shared" si="9"/>
        <v>t</v>
      </c>
      <c r="F163" t="str">
        <f t="shared" si="10"/>
        <v>47</v>
      </c>
      <c r="G163" t="str">
        <f t="shared" si="11"/>
        <v xml:space="preserve"> 8</v>
      </c>
    </row>
    <row r="164" spans="1:7" x14ac:dyDescent="0.35">
      <c r="A164">
        <v>47</v>
      </c>
      <c r="B164">
        <v>34</v>
      </c>
      <c r="C164">
        <f t="shared" si="8"/>
        <v>3042</v>
      </c>
      <c r="D164" t="s">
        <v>947</v>
      </c>
      <c r="E164" t="str">
        <f t="shared" si="9"/>
        <v>u</v>
      </c>
      <c r="F164" t="str">
        <f t="shared" si="10"/>
        <v>46</v>
      </c>
      <c r="G164" t="str">
        <f t="shared" si="11"/>
        <v>34</v>
      </c>
    </row>
    <row r="165" spans="1:7" x14ac:dyDescent="0.35">
      <c r="A165">
        <v>47</v>
      </c>
      <c r="B165">
        <v>35</v>
      </c>
      <c r="C165">
        <f t="shared" si="8"/>
        <v>3043</v>
      </c>
      <c r="D165" t="s">
        <v>948</v>
      </c>
      <c r="E165" t="str">
        <f t="shared" si="9"/>
        <v>z</v>
      </c>
      <c r="F165" t="str">
        <f t="shared" si="10"/>
        <v>45</v>
      </c>
      <c r="G165" t="str">
        <f t="shared" si="11"/>
        <v>14</v>
      </c>
    </row>
    <row r="166" spans="1:7" x14ac:dyDescent="0.35">
      <c r="A166">
        <v>47</v>
      </c>
      <c r="B166">
        <v>36</v>
      </c>
      <c r="C166">
        <f t="shared" si="8"/>
        <v>3044</v>
      </c>
      <c r="D166" t="s">
        <v>885</v>
      </c>
      <c r="E166" t="str">
        <f t="shared" si="9"/>
        <v>p</v>
      </c>
      <c r="F166" t="str">
        <f t="shared" si="10"/>
        <v>24</v>
      </c>
      <c r="G166" t="str">
        <f t="shared" si="11"/>
        <v xml:space="preserve"> 0</v>
      </c>
    </row>
    <row r="167" spans="1:7" x14ac:dyDescent="0.35">
      <c r="A167">
        <v>47</v>
      </c>
      <c r="B167">
        <v>37</v>
      </c>
      <c r="C167">
        <f t="shared" si="8"/>
        <v>3045</v>
      </c>
      <c r="D167" t="s">
        <v>949</v>
      </c>
      <c r="E167" t="str">
        <f t="shared" si="9"/>
        <v>z</v>
      </c>
      <c r="F167" t="str">
        <f t="shared" si="10"/>
        <v xml:space="preserve"> 0</v>
      </c>
      <c r="G167" t="str">
        <f t="shared" si="11"/>
        <v>24</v>
      </c>
    </row>
    <row r="168" spans="1:7" x14ac:dyDescent="0.35">
      <c r="A168">
        <v>47</v>
      </c>
      <c r="B168">
        <v>38</v>
      </c>
      <c r="C168">
        <f t="shared" si="8"/>
        <v>3046</v>
      </c>
      <c r="D168" t="s">
        <v>950</v>
      </c>
      <c r="E168" t="str">
        <f t="shared" si="9"/>
        <v>b</v>
      </c>
      <c r="F168" t="str">
        <f t="shared" si="10"/>
        <v>51</v>
      </c>
      <c r="G168" t="str">
        <f t="shared" si="11"/>
        <v>26</v>
      </c>
    </row>
    <row r="169" spans="1:7" x14ac:dyDescent="0.35">
      <c r="A169">
        <v>47</v>
      </c>
      <c r="B169">
        <v>39</v>
      </c>
      <c r="C169">
        <f t="shared" si="8"/>
        <v>3047</v>
      </c>
      <c r="D169" t="s">
        <v>951</v>
      </c>
      <c r="E169" t="str">
        <f t="shared" si="9"/>
        <v>t</v>
      </c>
      <c r="F169" t="str">
        <f t="shared" si="10"/>
        <v>47</v>
      </c>
      <c r="G169" t="str">
        <f t="shared" si="11"/>
        <v>18</v>
      </c>
    </row>
    <row r="170" spans="1:7" x14ac:dyDescent="0.35">
      <c r="A170">
        <v>47</v>
      </c>
      <c r="B170">
        <v>40</v>
      </c>
      <c r="C170">
        <f t="shared" si="8"/>
        <v>3048</v>
      </c>
      <c r="D170" t="s">
        <v>952</v>
      </c>
      <c r="E170" t="str">
        <f t="shared" si="9"/>
        <v>u</v>
      </c>
      <c r="F170" t="str">
        <f t="shared" si="10"/>
        <v>47</v>
      </c>
      <c r="G170" t="str">
        <f t="shared" si="11"/>
        <v>32</v>
      </c>
    </row>
    <row r="171" spans="1:7" x14ac:dyDescent="0.35">
      <c r="A171">
        <v>47</v>
      </c>
      <c r="B171">
        <v>41</v>
      </c>
      <c r="C171">
        <f t="shared" si="8"/>
        <v>3049</v>
      </c>
      <c r="D171" t="s">
        <v>953</v>
      </c>
      <c r="E171" t="str">
        <f t="shared" si="9"/>
        <v>e</v>
      </c>
      <c r="F171" t="str">
        <f t="shared" si="10"/>
        <v>45</v>
      </c>
      <c r="G171" t="str">
        <f t="shared" si="11"/>
        <v>60</v>
      </c>
    </row>
    <row r="172" spans="1:7" x14ac:dyDescent="0.35">
      <c r="A172">
        <v>47</v>
      </c>
      <c r="B172">
        <v>42</v>
      </c>
      <c r="C172">
        <f t="shared" si="8"/>
        <v>3050</v>
      </c>
      <c r="D172" t="s">
        <v>954</v>
      </c>
      <c r="E172" t="str">
        <f t="shared" si="9"/>
        <v>h</v>
      </c>
      <c r="F172" t="str">
        <f t="shared" si="10"/>
        <v>51</v>
      </c>
      <c r="G172" t="str">
        <f t="shared" si="11"/>
        <v>26</v>
      </c>
    </row>
    <row r="173" spans="1:7" x14ac:dyDescent="0.35">
      <c r="A173">
        <v>47</v>
      </c>
      <c r="B173">
        <v>43</v>
      </c>
      <c r="C173">
        <f t="shared" si="8"/>
        <v>3051</v>
      </c>
      <c r="D173" t="s">
        <v>955</v>
      </c>
      <c r="E173" t="str">
        <f t="shared" si="9"/>
        <v>s</v>
      </c>
      <c r="F173" t="str">
        <f t="shared" si="10"/>
        <v>47</v>
      </c>
      <c r="G173" t="str">
        <f t="shared" si="11"/>
        <v>10</v>
      </c>
    </row>
    <row r="174" spans="1:7" x14ac:dyDescent="0.35">
      <c r="A174">
        <v>47</v>
      </c>
      <c r="B174">
        <v>44</v>
      </c>
      <c r="C174">
        <f t="shared" si="8"/>
        <v>3052</v>
      </c>
      <c r="D174" t="s">
        <v>956</v>
      </c>
      <c r="E174" t="str">
        <f t="shared" si="9"/>
        <v>t</v>
      </c>
      <c r="F174" t="str">
        <f t="shared" si="10"/>
        <v>47</v>
      </c>
      <c r="G174" t="str">
        <f t="shared" si="11"/>
        <v>28</v>
      </c>
    </row>
    <row r="175" spans="1:7" x14ac:dyDescent="0.35">
      <c r="A175">
        <v>47</v>
      </c>
      <c r="B175">
        <v>45</v>
      </c>
      <c r="C175">
        <f t="shared" si="8"/>
        <v>3053</v>
      </c>
      <c r="D175" t="s">
        <v>957</v>
      </c>
      <c r="E175" t="str">
        <f t="shared" si="9"/>
        <v>u</v>
      </c>
      <c r="F175" t="str">
        <f t="shared" si="10"/>
        <v>47</v>
      </c>
      <c r="G175" t="str">
        <f t="shared" si="11"/>
        <v>32</v>
      </c>
    </row>
    <row r="176" spans="1:7" x14ac:dyDescent="0.35">
      <c r="A176">
        <v>47</v>
      </c>
      <c r="B176">
        <v>46</v>
      </c>
      <c r="C176">
        <f t="shared" si="8"/>
        <v>3054</v>
      </c>
      <c r="D176" t="s">
        <v>958</v>
      </c>
      <c r="E176" t="str">
        <f t="shared" si="9"/>
        <v>a</v>
      </c>
      <c r="F176" t="str">
        <f t="shared" si="10"/>
        <v>46</v>
      </c>
      <c r="G176" t="str">
        <f t="shared" si="11"/>
        <v>18</v>
      </c>
    </row>
    <row r="177" spans="1:7" x14ac:dyDescent="0.35">
      <c r="A177">
        <v>47</v>
      </c>
      <c r="B177">
        <v>47</v>
      </c>
      <c r="C177">
        <f t="shared" si="8"/>
        <v>3055</v>
      </c>
      <c r="D177" t="s">
        <v>959</v>
      </c>
      <c r="E177" t="str">
        <f t="shared" si="9"/>
        <v>c</v>
      </c>
      <c r="F177" t="str">
        <f t="shared" si="10"/>
        <v>51</v>
      </c>
      <c r="G177" t="str">
        <f t="shared" si="11"/>
        <v>26</v>
      </c>
    </row>
    <row r="178" spans="1:7" x14ac:dyDescent="0.35">
      <c r="A178">
        <v>47</v>
      </c>
      <c r="B178">
        <v>48</v>
      </c>
      <c r="C178">
        <f t="shared" si="8"/>
        <v>3056</v>
      </c>
      <c r="D178" t="s">
        <v>960</v>
      </c>
      <c r="E178" t="str">
        <f t="shared" si="9"/>
        <v>p</v>
      </c>
      <c r="F178" t="str">
        <f t="shared" si="10"/>
        <v>12</v>
      </c>
      <c r="G178" t="str">
        <f t="shared" si="11"/>
        <v xml:space="preserve"> 0</v>
      </c>
    </row>
    <row r="179" spans="1:7" x14ac:dyDescent="0.35">
      <c r="A179">
        <v>47</v>
      </c>
      <c r="B179">
        <v>49</v>
      </c>
      <c r="C179">
        <f t="shared" si="8"/>
        <v>3057</v>
      </c>
      <c r="D179" t="s">
        <v>961</v>
      </c>
      <c r="E179" t="str">
        <f t="shared" si="9"/>
        <v>z</v>
      </c>
      <c r="F179" t="str">
        <f t="shared" si="10"/>
        <v xml:space="preserve"> 0</v>
      </c>
      <c r="G179" t="str">
        <f t="shared" si="11"/>
        <v>20</v>
      </c>
    </row>
    <row r="180" spans="1:7" x14ac:dyDescent="0.35">
      <c r="A180">
        <v>47</v>
      </c>
      <c r="B180">
        <v>50</v>
      </c>
      <c r="C180">
        <f t="shared" si="8"/>
        <v>3058</v>
      </c>
      <c r="D180" t="s">
        <v>962</v>
      </c>
      <c r="E180" t="str">
        <f t="shared" si="9"/>
        <v>p</v>
      </c>
      <c r="F180" t="str">
        <f t="shared" si="10"/>
        <v>24</v>
      </c>
      <c r="G180" t="str">
        <f t="shared" si="11"/>
        <v xml:space="preserve"> 0</v>
      </c>
    </row>
    <row r="181" spans="1:7" x14ac:dyDescent="0.35">
      <c r="A181">
        <v>47</v>
      </c>
      <c r="B181">
        <v>51</v>
      </c>
      <c r="C181">
        <f t="shared" si="8"/>
        <v>3059</v>
      </c>
      <c r="D181" t="s">
        <v>963</v>
      </c>
      <c r="E181" t="str">
        <f t="shared" si="9"/>
        <v>b</v>
      </c>
      <c r="F181" t="str">
        <f t="shared" si="10"/>
        <v>47</v>
      </c>
      <c r="G181" t="str">
        <f t="shared" si="11"/>
        <v>46</v>
      </c>
    </row>
    <row r="182" spans="1:7" x14ac:dyDescent="0.35">
      <c r="A182">
        <v>47</v>
      </c>
      <c r="B182">
        <v>52</v>
      </c>
      <c r="C182">
        <f t="shared" si="8"/>
        <v>3060</v>
      </c>
      <c r="D182" t="s">
        <v>964</v>
      </c>
      <c r="E182" t="str">
        <f t="shared" si="9"/>
        <v>a</v>
      </c>
      <c r="F182" t="str">
        <f t="shared" si="10"/>
        <v>46</v>
      </c>
      <c r="G182" t="str">
        <f t="shared" si="11"/>
        <v xml:space="preserve"> 6</v>
      </c>
    </row>
    <row r="183" spans="1:7" x14ac:dyDescent="0.35">
      <c r="A183">
        <v>47</v>
      </c>
      <c r="B183">
        <v>53</v>
      </c>
      <c r="C183">
        <f t="shared" si="8"/>
        <v>3061</v>
      </c>
      <c r="D183" t="s">
        <v>965</v>
      </c>
      <c r="E183" t="str">
        <f t="shared" si="9"/>
        <v>c</v>
      </c>
      <c r="F183" t="str">
        <f t="shared" si="10"/>
        <v>47</v>
      </c>
      <c r="G183" t="str">
        <f t="shared" si="11"/>
        <v>46</v>
      </c>
    </row>
    <row r="184" spans="1:7" x14ac:dyDescent="0.35">
      <c r="A184">
        <v>47</v>
      </c>
      <c r="B184">
        <v>54</v>
      </c>
      <c r="C184">
        <f t="shared" si="8"/>
        <v>3062</v>
      </c>
      <c r="D184" t="s">
        <v>903</v>
      </c>
      <c r="E184" t="str">
        <f t="shared" si="9"/>
        <v>r</v>
      </c>
      <c r="F184" t="str">
        <f t="shared" si="10"/>
        <v>46</v>
      </c>
      <c r="G184" t="str">
        <f t="shared" si="11"/>
        <v>20</v>
      </c>
    </row>
    <row r="185" spans="1:7" x14ac:dyDescent="0.35">
      <c r="A185">
        <v>47</v>
      </c>
      <c r="B185">
        <v>55</v>
      </c>
      <c r="C185">
        <f t="shared" si="8"/>
        <v>3063</v>
      </c>
      <c r="D185" t="s">
        <v>904</v>
      </c>
      <c r="E185" t="str">
        <f t="shared" si="9"/>
        <v>u</v>
      </c>
      <c r="F185" t="str">
        <f t="shared" si="10"/>
        <v>46</v>
      </c>
      <c r="G185" t="str">
        <f t="shared" si="11"/>
        <v>52</v>
      </c>
    </row>
    <row r="186" spans="1:7" x14ac:dyDescent="0.35">
      <c r="A186">
        <v>47</v>
      </c>
      <c r="B186">
        <v>56</v>
      </c>
      <c r="C186">
        <f t="shared" si="8"/>
        <v>3064</v>
      </c>
      <c r="D186" t="s">
        <v>966</v>
      </c>
      <c r="E186" t="str">
        <f t="shared" si="9"/>
        <v>t</v>
      </c>
      <c r="F186" t="str">
        <f t="shared" si="10"/>
        <v>47</v>
      </c>
      <c r="G186" t="str">
        <f t="shared" si="11"/>
        <v>38</v>
      </c>
    </row>
    <row r="187" spans="1:7" x14ac:dyDescent="0.35">
      <c r="A187">
        <v>47</v>
      </c>
      <c r="B187">
        <v>57</v>
      </c>
      <c r="C187">
        <f t="shared" si="8"/>
        <v>3065</v>
      </c>
      <c r="D187" t="s">
        <v>967</v>
      </c>
      <c r="E187" t="str">
        <f t="shared" si="9"/>
        <v>a</v>
      </c>
      <c r="F187" t="str">
        <f t="shared" si="10"/>
        <v>50</v>
      </c>
      <c r="G187" t="str">
        <f t="shared" si="11"/>
        <v>58</v>
      </c>
    </row>
    <row r="188" spans="1:7" x14ac:dyDescent="0.35">
      <c r="A188">
        <v>47</v>
      </c>
      <c r="B188">
        <v>58</v>
      </c>
      <c r="C188">
        <f t="shared" si="8"/>
        <v>3066</v>
      </c>
      <c r="D188" t="s">
        <v>968</v>
      </c>
      <c r="E188" t="str">
        <f t="shared" si="9"/>
        <v>h</v>
      </c>
      <c r="F188" t="str">
        <f t="shared" si="10"/>
        <v>50</v>
      </c>
      <c r="G188" t="str">
        <f t="shared" si="11"/>
        <v>58</v>
      </c>
    </row>
    <row r="189" spans="1:7" x14ac:dyDescent="0.35">
      <c r="A189">
        <v>47</v>
      </c>
      <c r="B189">
        <v>59</v>
      </c>
      <c r="C189">
        <f t="shared" si="8"/>
        <v>3067</v>
      </c>
      <c r="D189" t="s">
        <v>908</v>
      </c>
      <c r="E189" t="str">
        <f t="shared" si="9"/>
        <v>e</v>
      </c>
      <c r="F189" t="str">
        <f t="shared" si="10"/>
        <v>45</v>
      </c>
      <c r="G189" t="str">
        <f t="shared" si="11"/>
        <v>60</v>
      </c>
    </row>
    <row r="190" spans="1:7" x14ac:dyDescent="0.35">
      <c r="A190">
        <v>47</v>
      </c>
      <c r="B190">
        <v>60</v>
      </c>
      <c r="C190">
        <f t="shared" si="8"/>
        <v>3068</v>
      </c>
      <c r="D190" t="s">
        <v>909</v>
      </c>
      <c r="E190" t="str">
        <f t="shared" si="9"/>
        <v>s</v>
      </c>
      <c r="F190" t="str">
        <f t="shared" si="10"/>
        <v>46</v>
      </c>
      <c r="G190" t="str">
        <f t="shared" si="11"/>
        <v>18</v>
      </c>
    </row>
    <row r="191" spans="1:7" x14ac:dyDescent="0.35">
      <c r="A191">
        <v>47</v>
      </c>
      <c r="B191">
        <v>61</v>
      </c>
      <c r="C191">
        <f t="shared" si="8"/>
        <v>3069</v>
      </c>
      <c r="D191" t="s">
        <v>969</v>
      </c>
      <c r="E191" t="str">
        <f t="shared" si="9"/>
        <v>t</v>
      </c>
      <c r="F191" t="str">
        <f t="shared" si="10"/>
        <v>48</v>
      </c>
      <c r="G191" t="str">
        <f t="shared" si="11"/>
        <v xml:space="preserve"> 2</v>
      </c>
    </row>
    <row r="192" spans="1:7" x14ac:dyDescent="0.35">
      <c r="A192">
        <v>47</v>
      </c>
      <c r="B192">
        <v>62</v>
      </c>
      <c r="C192">
        <f t="shared" si="8"/>
        <v>3070</v>
      </c>
      <c r="D192" t="s">
        <v>911</v>
      </c>
      <c r="E192" t="str">
        <f t="shared" si="9"/>
        <v>p</v>
      </c>
      <c r="F192" t="str">
        <f t="shared" si="10"/>
        <v>12</v>
      </c>
      <c r="G192" t="str">
        <f t="shared" si="11"/>
        <v xml:space="preserve"> 0</v>
      </c>
    </row>
    <row r="193" spans="1:7" x14ac:dyDescent="0.35">
      <c r="A193">
        <v>47</v>
      </c>
      <c r="B193">
        <v>63</v>
      </c>
      <c r="C193">
        <f t="shared" si="8"/>
        <v>3071</v>
      </c>
      <c r="D193" t="s">
        <v>970</v>
      </c>
      <c r="E193" t="str">
        <f t="shared" si="9"/>
        <v>b</v>
      </c>
      <c r="F193" t="str">
        <f t="shared" si="10"/>
        <v>51</v>
      </c>
      <c r="G193" t="str">
        <f t="shared" si="11"/>
        <v>26</v>
      </c>
    </row>
    <row r="194" spans="1:7" x14ac:dyDescent="0.35">
      <c r="A194">
        <v>48</v>
      </c>
      <c r="B194">
        <v>0</v>
      </c>
      <c r="C194">
        <f t="shared" si="8"/>
        <v>3072</v>
      </c>
      <c r="D194" t="s">
        <v>971</v>
      </c>
      <c r="E194" t="str">
        <f t="shared" si="9"/>
        <v>u</v>
      </c>
      <c r="F194" t="str">
        <f t="shared" si="10"/>
        <v>48</v>
      </c>
      <c r="G194" t="str">
        <f t="shared" si="11"/>
        <v>58</v>
      </c>
    </row>
    <row r="195" spans="1:7" x14ac:dyDescent="0.35">
      <c r="A195">
        <v>48</v>
      </c>
      <c r="B195">
        <v>1</v>
      </c>
      <c r="C195">
        <f t="shared" ref="C195:C258" si="12">A195*64+B195</f>
        <v>3073</v>
      </c>
      <c r="D195" t="s">
        <v>972</v>
      </c>
      <c r="E195" t="str">
        <f t="shared" ref="E195:E258" si="13">MID(D195,4,1)</f>
        <v>a</v>
      </c>
      <c r="F195" t="str">
        <f t="shared" ref="F195:F258" si="14">MID(D195,6,2)</f>
        <v>46</v>
      </c>
      <c r="G195" t="str">
        <f t="shared" ref="G195:G258" si="15">MID(D195,9,2)</f>
        <v>62</v>
      </c>
    </row>
    <row r="196" spans="1:7" x14ac:dyDescent="0.35">
      <c r="A196">
        <v>48</v>
      </c>
      <c r="B196">
        <v>2</v>
      </c>
      <c r="C196">
        <f t="shared" si="12"/>
        <v>3074</v>
      </c>
      <c r="D196" t="s">
        <v>973</v>
      </c>
      <c r="E196" t="str">
        <f t="shared" si="13"/>
        <v>t</v>
      </c>
      <c r="F196" t="str">
        <f t="shared" si="14"/>
        <v>48</v>
      </c>
      <c r="G196" t="str">
        <f t="shared" si="15"/>
        <v xml:space="preserve"> 8</v>
      </c>
    </row>
    <row r="197" spans="1:7" x14ac:dyDescent="0.35">
      <c r="A197">
        <v>48</v>
      </c>
      <c r="B197">
        <v>3</v>
      </c>
      <c r="C197">
        <f t="shared" si="12"/>
        <v>3075</v>
      </c>
      <c r="D197" t="s">
        <v>974</v>
      </c>
      <c r="E197" t="str">
        <f t="shared" si="13"/>
        <v>u</v>
      </c>
      <c r="F197" t="str">
        <f t="shared" si="14"/>
        <v>47</v>
      </c>
      <c r="G197" t="str">
        <f t="shared" si="15"/>
        <v>60</v>
      </c>
    </row>
    <row r="198" spans="1:7" x14ac:dyDescent="0.35">
      <c r="A198">
        <v>48</v>
      </c>
      <c r="B198">
        <v>4</v>
      </c>
      <c r="C198">
        <f t="shared" si="12"/>
        <v>3076</v>
      </c>
      <c r="D198" t="s">
        <v>975</v>
      </c>
      <c r="E198" t="str">
        <f t="shared" si="13"/>
        <v>a</v>
      </c>
      <c r="F198" t="str">
        <f t="shared" si="14"/>
        <v>46</v>
      </c>
      <c r="G198" t="str">
        <f t="shared" si="15"/>
        <v xml:space="preserve"> 6</v>
      </c>
    </row>
    <row r="199" spans="1:7" x14ac:dyDescent="0.35">
      <c r="A199">
        <v>48</v>
      </c>
      <c r="B199">
        <v>5</v>
      </c>
      <c r="C199">
        <f t="shared" si="12"/>
        <v>3077</v>
      </c>
      <c r="D199" t="s">
        <v>976</v>
      </c>
      <c r="E199" t="str">
        <f t="shared" si="13"/>
        <v>t</v>
      </c>
      <c r="F199" t="str">
        <f t="shared" si="14"/>
        <v>48</v>
      </c>
      <c r="G199" t="str">
        <f t="shared" si="15"/>
        <v>30</v>
      </c>
    </row>
    <row r="200" spans="1:7" x14ac:dyDescent="0.35">
      <c r="A200">
        <v>48</v>
      </c>
      <c r="B200">
        <v>6</v>
      </c>
      <c r="C200">
        <f t="shared" si="12"/>
        <v>3078</v>
      </c>
      <c r="D200" t="s">
        <v>977</v>
      </c>
      <c r="E200" t="str">
        <f t="shared" si="13"/>
        <v>r</v>
      </c>
      <c r="F200" t="str">
        <f t="shared" si="14"/>
        <v>50</v>
      </c>
      <c r="G200" t="str">
        <f t="shared" si="15"/>
        <v>56</v>
      </c>
    </row>
    <row r="201" spans="1:7" x14ac:dyDescent="0.35">
      <c r="A201">
        <v>48</v>
      </c>
      <c r="B201">
        <v>7</v>
      </c>
      <c r="C201">
        <f t="shared" si="12"/>
        <v>3079</v>
      </c>
      <c r="D201" t="s">
        <v>978</v>
      </c>
      <c r="E201" t="str">
        <f t="shared" si="13"/>
        <v>u</v>
      </c>
      <c r="F201" t="str">
        <f t="shared" si="14"/>
        <v>50</v>
      </c>
      <c r="G201" t="str">
        <f t="shared" si="15"/>
        <v>44</v>
      </c>
    </row>
    <row r="202" spans="1:7" x14ac:dyDescent="0.35">
      <c r="A202">
        <v>48</v>
      </c>
      <c r="B202">
        <v>8</v>
      </c>
      <c r="C202">
        <f t="shared" si="12"/>
        <v>3080</v>
      </c>
      <c r="D202" t="s">
        <v>979</v>
      </c>
      <c r="E202" t="str">
        <f t="shared" si="13"/>
        <v>e</v>
      </c>
      <c r="F202" t="str">
        <f t="shared" si="14"/>
        <v>47</v>
      </c>
      <c r="G202" t="str">
        <f t="shared" si="15"/>
        <v>10</v>
      </c>
    </row>
    <row r="203" spans="1:7" x14ac:dyDescent="0.35">
      <c r="A203">
        <v>48</v>
      </c>
      <c r="B203">
        <v>9</v>
      </c>
      <c r="C203">
        <f t="shared" si="12"/>
        <v>3081</v>
      </c>
      <c r="D203" t="s">
        <v>980</v>
      </c>
      <c r="E203" t="str">
        <f t="shared" si="13"/>
        <v>s</v>
      </c>
      <c r="F203" t="str">
        <f t="shared" si="14"/>
        <v>47</v>
      </c>
      <c r="G203" t="str">
        <f t="shared" si="15"/>
        <v>10</v>
      </c>
    </row>
    <row r="204" spans="1:7" x14ac:dyDescent="0.35">
      <c r="A204">
        <v>48</v>
      </c>
      <c r="B204">
        <v>10</v>
      </c>
      <c r="C204">
        <f t="shared" si="12"/>
        <v>3082</v>
      </c>
      <c r="D204" t="s">
        <v>981</v>
      </c>
      <c r="E204" t="str">
        <f t="shared" si="13"/>
        <v>t</v>
      </c>
      <c r="F204" t="str">
        <f t="shared" si="14"/>
        <v>47</v>
      </c>
      <c r="G204" t="str">
        <f t="shared" si="15"/>
        <v>60</v>
      </c>
    </row>
    <row r="205" spans="1:7" x14ac:dyDescent="0.35">
      <c r="A205">
        <v>48</v>
      </c>
      <c r="B205">
        <v>11</v>
      </c>
      <c r="C205">
        <f t="shared" si="12"/>
        <v>3083</v>
      </c>
      <c r="D205" t="s">
        <v>982</v>
      </c>
      <c r="E205" t="str">
        <f t="shared" si="13"/>
        <v>p</v>
      </c>
      <c r="F205" t="str">
        <f t="shared" si="14"/>
        <v>16</v>
      </c>
      <c r="G205" t="str">
        <f t="shared" si="15"/>
        <v xml:space="preserve"> 0</v>
      </c>
    </row>
    <row r="206" spans="1:7" x14ac:dyDescent="0.35">
      <c r="A206">
        <v>48</v>
      </c>
      <c r="B206">
        <v>12</v>
      </c>
      <c r="C206">
        <f t="shared" si="12"/>
        <v>3084</v>
      </c>
      <c r="D206" t="s">
        <v>983</v>
      </c>
      <c r="E206" t="str">
        <f t="shared" si="13"/>
        <v>z</v>
      </c>
      <c r="F206" t="str">
        <f t="shared" si="14"/>
        <v xml:space="preserve"> 0</v>
      </c>
      <c r="G206" t="str">
        <f t="shared" si="15"/>
        <v>10</v>
      </c>
    </row>
    <row r="207" spans="1:7" x14ac:dyDescent="0.35">
      <c r="A207">
        <v>48</v>
      </c>
      <c r="B207">
        <v>13</v>
      </c>
      <c r="C207">
        <f t="shared" si="12"/>
        <v>3085</v>
      </c>
      <c r="D207" t="s">
        <v>984</v>
      </c>
      <c r="E207" t="str">
        <f t="shared" si="13"/>
        <v>p</v>
      </c>
      <c r="F207" t="str">
        <f t="shared" si="14"/>
        <v>24</v>
      </c>
      <c r="G207" t="str">
        <f t="shared" si="15"/>
        <v xml:space="preserve"> 0</v>
      </c>
    </row>
    <row r="208" spans="1:7" x14ac:dyDescent="0.35">
      <c r="A208">
        <v>48</v>
      </c>
      <c r="B208">
        <v>14</v>
      </c>
      <c r="C208">
        <f t="shared" si="12"/>
        <v>3086</v>
      </c>
      <c r="D208" t="s">
        <v>985</v>
      </c>
      <c r="E208" t="str">
        <f t="shared" si="13"/>
        <v>u</v>
      </c>
      <c r="F208" t="str">
        <f t="shared" si="14"/>
        <v>47</v>
      </c>
      <c r="G208" t="str">
        <f t="shared" si="15"/>
        <v>34</v>
      </c>
    </row>
    <row r="209" spans="1:7" x14ac:dyDescent="0.35">
      <c r="A209">
        <v>48</v>
      </c>
      <c r="B209">
        <v>15</v>
      </c>
      <c r="C209">
        <f t="shared" si="12"/>
        <v>3087</v>
      </c>
      <c r="D209" t="s">
        <v>986</v>
      </c>
      <c r="E209" t="str">
        <f t="shared" si="13"/>
        <v>a</v>
      </c>
      <c r="F209" t="str">
        <f t="shared" si="14"/>
        <v>48</v>
      </c>
      <c r="G209" t="str">
        <f t="shared" si="15"/>
        <v>24</v>
      </c>
    </row>
    <row r="210" spans="1:7" x14ac:dyDescent="0.35">
      <c r="A210">
        <v>48</v>
      </c>
      <c r="B210">
        <v>16</v>
      </c>
      <c r="C210">
        <f t="shared" si="12"/>
        <v>3088</v>
      </c>
      <c r="D210" t="s">
        <v>987</v>
      </c>
      <c r="E210" t="str">
        <f t="shared" si="13"/>
        <v>t</v>
      </c>
      <c r="F210" t="str">
        <f t="shared" si="14"/>
        <v>48</v>
      </c>
      <c r="G210" t="str">
        <f t="shared" si="15"/>
        <v>38</v>
      </c>
    </row>
    <row r="211" spans="1:7" x14ac:dyDescent="0.35">
      <c r="A211">
        <v>48</v>
      </c>
      <c r="B211">
        <v>17</v>
      </c>
      <c r="C211">
        <f t="shared" si="12"/>
        <v>3089</v>
      </c>
      <c r="D211" t="s">
        <v>988</v>
      </c>
      <c r="E211" t="str">
        <f t="shared" si="13"/>
        <v>u</v>
      </c>
      <c r="F211" t="str">
        <f t="shared" si="14"/>
        <v>48</v>
      </c>
      <c r="G211" t="str">
        <f t="shared" si="15"/>
        <v>22</v>
      </c>
    </row>
    <row r="212" spans="1:7" x14ac:dyDescent="0.35">
      <c r="A212">
        <v>48</v>
      </c>
      <c r="B212">
        <v>18</v>
      </c>
      <c r="C212">
        <f t="shared" si="12"/>
        <v>3090</v>
      </c>
      <c r="D212" t="s">
        <v>989</v>
      </c>
      <c r="E212" t="str">
        <f t="shared" si="13"/>
        <v>t</v>
      </c>
      <c r="F212" t="str">
        <f t="shared" si="14"/>
        <v>24</v>
      </c>
      <c r="G212" t="str">
        <f t="shared" si="15"/>
        <v>13</v>
      </c>
    </row>
    <row r="213" spans="1:7" x14ac:dyDescent="0.35">
      <c r="A213">
        <v>48</v>
      </c>
      <c r="B213">
        <v>19</v>
      </c>
      <c r="C213">
        <f t="shared" si="12"/>
        <v>3091</v>
      </c>
      <c r="D213" t="s">
        <v>990</v>
      </c>
      <c r="E213" t="str">
        <f t="shared" si="13"/>
        <v>a</v>
      </c>
      <c r="F213" t="str">
        <f t="shared" si="14"/>
        <v>46</v>
      </c>
      <c r="G213" t="str">
        <f t="shared" si="15"/>
        <v>62</v>
      </c>
    </row>
    <row r="214" spans="1:7" x14ac:dyDescent="0.35">
      <c r="A214">
        <v>48</v>
      </c>
      <c r="B214">
        <v>20</v>
      </c>
      <c r="C214">
        <f t="shared" si="12"/>
        <v>3092</v>
      </c>
      <c r="D214" t="s">
        <v>991</v>
      </c>
      <c r="E214" t="str">
        <f t="shared" si="13"/>
        <v>t</v>
      </c>
      <c r="F214" t="str">
        <f t="shared" si="14"/>
        <v>48</v>
      </c>
      <c r="G214" t="str">
        <f t="shared" si="15"/>
        <v>22</v>
      </c>
    </row>
    <row r="215" spans="1:7" x14ac:dyDescent="0.35">
      <c r="A215">
        <v>48</v>
      </c>
      <c r="B215">
        <v>21</v>
      </c>
      <c r="C215">
        <f t="shared" si="12"/>
        <v>3093</v>
      </c>
      <c r="D215" t="s">
        <v>992</v>
      </c>
      <c r="E215" t="str">
        <f t="shared" si="13"/>
        <v>b</v>
      </c>
      <c r="F215" t="str">
        <f t="shared" si="14"/>
        <v>50</v>
      </c>
      <c r="G215" t="str">
        <f t="shared" si="15"/>
        <v>58</v>
      </c>
    </row>
    <row r="216" spans="1:7" x14ac:dyDescent="0.35">
      <c r="A216">
        <v>48</v>
      </c>
      <c r="B216">
        <v>22</v>
      </c>
      <c r="C216">
        <f t="shared" si="12"/>
        <v>3094</v>
      </c>
      <c r="D216" t="s">
        <v>993</v>
      </c>
      <c r="E216" t="str">
        <f t="shared" si="13"/>
        <v>t</v>
      </c>
      <c r="F216" t="str">
        <f t="shared" si="14"/>
        <v>48</v>
      </c>
      <c r="G216" t="str">
        <f t="shared" si="15"/>
        <v>48</v>
      </c>
    </row>
    <row r="217" spans="1:7" x14ac:dyDescent="0.35">
      <c r="A217">
        <v>48</v>
      </c>
      <c r="B217">
        <v>23</v>
      </c>
      <c r="C217">
        <f t="shared" si="12"/>
        <v>3095</v>
      </c>
      <c r="D217" t="s">
        <v>994</v>
      </c>
      <c r="E217" t="str">
        <f t="shared" si="13"/>
        <v>u</v>
      </c>
      <c r="F217" t="str">
        <f t="shared" si="14"/>
        <v>48</v>
      </c>
      <c r="G217" t="str">
        <f t="shared" si="15"/>
        <v>22</v>
      </c>
    </row>
    <row r="218" spans="1:7" x14ac:dyDescent="0.35">
      <c r="A218">
        <v>48</v>
      </c>
      <c r="B218">
        <v>24</v>
      </c>
      <c r="C218">
        <f t="shared" si="12"/>
        <v>3096</v>
      </c>
      <c r="D218" t="s">
        <v>995</v>
      </c>
      <c r="E218" t="str">
        <f t="shared" si="13"/>
        <v>a</v>
      </c>
      <c r="F218" t="str">
        <f t="shared" si="14"/>
        <v>47</v>
      </c>
      <c r="G218" t="str">
        <f t="shared" si="15"/>
        <v>34</v>
      </c>
    </row>
    <row r="219" spans="1:7" x14ac:dyDescent="0.35">
      <c r="A219">
        <v>48</v>
      </c>
      <c r="B219">
        <v>25</v>
      </c>
      <c r="C219">
        <f t="shared" si="12"/>
        <v>3097</v>
      </c>
      <c r="D219" t="s">
        <v>996</v>
      </c>
      <c r="E219" t="str">
        <f t="shared" si="13"/>
        <v>u</v>
      </c>
      <c r="F219" t="str">
        <f t="shared" si="14"/>
        <v>47</v>
      </c>
      <c r="G219" t="str">
        <f t="shared" si="15"/>
        <v>52</v>
      </c>
    </row>
    <row r="220" spans="1:7" x14ac:dyDescent="0.35">
      <c r="A220">
        <v>48</v>
      </c>
      <c r="B220">
        <v>26</v>
      </c>
      <c r="C220">
        <f t="shared" si="12"/>
        <v>3098</v>
      </c>
      <c r="D220" t="s">
        <v>997</v>
      </c>
      <c r="E220" t="str">
        <f t="shared" si="13"/>
        <v>a</v>
      </c>
      <c r="F220" t="str">
        <f t="shared" si="14"/>
        <v>47</v>
      </c>
      <c r="G220" t="str">
        <f t="shared" si="15"/>
        <v>34</v>
      </c>
    </row>
    <row r="221" spans="1:7" x14ac:dyDescent="0.35">
      <c r="A221">
        <v>48</v>
      </c>
      <c r="B221">
        <v>27</v>
      </c>
      <c r="C221">
        <f t="shared" si="12"/>
        <v>3099</v>
      </c>
      <c r="D221" t="s">
        <v>998</v>
      </c>
      <c r="E221" t="str">
        <f t="shared" si="13"/>
        <v>c</v>
      </c>
      <c r="F221" t="str">
        <f t="shared" si="14"/>
        <v>50</v>
      </c>
      <c r="G221" t="str">
        <f t="shared" si="15"/>
        <v>58</v>
      </c>
    </row>
    <row r="222" spans="1:7" x14ac:dyDescent="0.35">
      <c r="A222">
        <v>48</v>
      </c>
      <c r="B222">
        <v>28</v>
      </c>
      <c r="C222">
        <f t="shared" si="12"/>
        <v>3100</v>
      </c>
      <c r="D222" t="s">
        <v>999</v>
      </c>
      <c r="E222" t="str">
        <f t="shared" si="13"/>
        <v>u</v>
      </c>
      <c r="F222" t="str">
        <f t="shared" si="14"/>
        <v>47</v>
      </c>
      <c r="G222" t="str">
        <f t="shared" si="15"/>
        <v>60</v>
      </c>
    </row>
    <row r="223" spans="1:7" x14ac:dyDescent="0.35">
      <c r="A223">
        <v>48</v>
      </c>
      <c r="B223">
        <v>29</v>
      </c>
      <c r="C223">
        <f t="shared" si="12"/>
        <v>3101</v>
      </c>
      <c r="D223" t="s">
        <v>1000</v>
      </c>
      <c r="E223" t="str">
        <f t="shared" si="13"/>
        <v>e</v>
      </c>
      <c r="F223" t="str">
        <f t="shared" si="14"/>
        <v>45</v>
      </c>
      <c r="G223" t="str">
        <f t="shared" si="15"/>
        <v>60</v>
      </c>
    </row>
    <row r="224" spans="1:7" x14ac:dyDescent="0.35">
      <c r="A224">
        <v>48</v>
      </c>
      <c r="B224">
        <v>30</v>
      </c>
      <c r="C224">
        <f t="shared" si="12"/>
        <v>3102</v>
      </c>
      <c r="D224" t="s">
        <v>1001</v>
      </c>
      <c r="E224" t="str">
        <f t="shared" si="13"/>
        <v>h</v>
      </c>
      <c r="F224" t="str">
        <f t="shared" si="14"/>
        <v>51</v>
      </c>
      <c r="G224" t="str">
        <f t="shared" si="15"/>
        <v>26</v>
      </c>
    </row>
    <row r="225" spans="1:7" x14ac:dyDescent="0.35">
      <c r="A225">
        <v>48</v>
      </c>
      <c r="B225">
        <v>31</v>
      </c>
      <c r="C225">
        <f t="shared" si="12"/>
        <v>3103</v>
      </c>
      <c r="D225" t="s">
        <v>1002</v>
      </c>
      <c r="E225" t="str">
        <f t="shared" si="13"/>
        <v>s</v>
      </c>
      <c r="F225" t="str">
        <f t="shared" si="14"/>
        <v>46</v>
      </c>
      <c r="G225" t="str">
        <f t="shared" si="15"/>
        <v>18</v>
      </c>
    </row>
    <row r="226" spans="1:7" x14ac:dyDescent="0.35">
      <c r="A226">
        <v>48</v>
      </c>
      <c r="B226">
        <v>32</v>
      </c>
      <c r="C226">
        <f t="shared" si="12"/>
        <v>3104</v>
      </c>
      <c r="D226" t="s">
        <v>1003</v>
      </c>
      <c r="E226" t="str">
        <f t="shared" si="13"/>
        <v>t</v>
      </c>
      <c r="F226" t="str">
        <f t="shared" si="14"/>
        <v>48</v>
      </c>
      <c r="G226" t="str">
        <f t="shared" si="15"/>
        <v>16</v>
      </c>
    </row>
    <row r="227" spans="1:7" x14ac:dyDescent="0.35">
      <c r="A227">
        <v>48</v>
      </c>
      <c r="B227">
        <v>33</v>
      </c>
      <c r="C227">
        <f t="shared" si="12"/>
        <v>3105</v>
      </c>
      <c r="D227" t="s">
        <v>1004</v>
      </c>
      <c r="E227" t="str">
        <f t="shared" si="13"/>
        <v>r</v>
      </c>
      <c r="F227" t="str">
        <f t="shared" si="14"/>
        <v>51</v>
      </c>
      <c r="G227" t="str">
        <f t="shared" si="15"/>
        <v xml:space="preserve"> 0</v>
      </c>
    </row>
    <row r="228" spans="1:7" x14ac:dyDescent="0.35">
      <c r="A228">
        <v>48</v>
      </c>
      <c r="B228">
        <v>34</v>
      </c>
      <c r="C228">
        <f t="shared" si="12"/>
        <v>3106</v>
      </c>
      <c r="D228" t="s">
        <v>1005</v>
      </c>
      <c r="E228" t="str">
        <f t="shared" si="13"/>
        <v>u</v>
      </c>
      <c r="F228" t="str">
        <f t="shared" si="14"/>
        <v>51</v>
      </c>
      <c r="G228" t="str">
        <f t="shared" si="15"/>
        <v xml:space="preserve"> 0</v>
      </c>
    </row>
    <row r="229" spans="1:7" x14ac:dyDescent="0.35">
      <c r="A229">
        <v>48</v>
      </c>
      <c r="B229">
        <v>35</v>
      </c>
      <c r="C229">
        <f t="shared" si="12"/>
        <v>3107</v>
      </c>
      <c r="D229" t="s">
        <v>1006</v>
      </c>
      <c r="E229" t="str">
        <f t="shared" si="13"/>
        <v>z</v>
      </c>
      <c r="F229" t="str">
        <f t="shared" si="14"/>
        <v>10</v>
      </c>
      <c r="G229" t="str">
        <f t="shared" si="15"/>
        <v>41</v>
      </c>
    </row>
    <row r="230" spans="1:7" x14ac:dyDescent="0.35">
      <c r="A230">
        <v>48</v>
      </c>
      <c r="B230">
        <v>36</v>
      </c>
      <c r="C230">
        <f t="shared" si="12"/>
        <v>3108</v>
      </c>
      <c r="D230" t="s">
        <v>1007</v>
      </c>
      <c r="E230" t="str">
        <f t="shared" si="13"/>
        <v>u</v>
      </c>
      <c r="F230" t="str">
        <f t="shared" si="14"/>
        <v>62</v>
      </c>
      <c r="G230" t="str">
        <f t="shared" si="15"/>
        <v>63</v>
      </c>
    </row>
    <row r="231" spans="1:7" x14ac:dyDescent="0.35">
      <c r="A231">
        <v>48</v>
      </c>
      <c r="B231">
        <v>37</v>
      </c>
      <c r="C231">
        <f t="shared" si="12"/>
        <v>3109</v>
      </c>
      <c r="D231" t="s">
        <v>1008</v>
      </c>
      <c r="E231" t="str">
        <f t="shared" si="13"/>
        <v>c</v>
      </c>
      <c r="F231" t="str">
        <f t="shared" si="14"/>
        <v>51</v>
      </c>
      <c r="G231" t="str">
        <f t="shared" si="15"/>
        <v>26</v>
      </c>
    </row>
    <row r="232" spans="1:7" x14ac:dyDescent="0.35">
      <c r="A232">
        <v>48</v>
      </c>
      <c r="B232">
        <v>38</v>
      </c>
      <c r="C232">
        <f t="shared" si="12"/>
        <v>3110</v>
      </c>
      <c r="D232" t="s">
        <v>1009</v>
      </c>
      <c r="E232" t="str">
        <f t="shared" si="13"/>
        <v>c</v>
      </c>
      <c r="F232" t="str">
        <f t="shared" si="14"/>
        <v>51</v>
      </c>
      <c r="G232" t="str">
        <f t="shared" si="15"/>
        <v>26</v>
      </c>
    </row>
    <row r="233" spans="1:7" x14ac:dyDescent="0.35">
      <c r="A233">
        <v>48</v>
      </c>
      <c r="B233">
        <v>39</v>
      </c>
      <c r="C233">
        <f t="shared" si="12"/>
        <v>3111</v>
      </c>
      <c r="D233" t="s">
        <v>1010</v>
      </c>
      <c r="E233" t="str">
        <f t="shared" si="13"/>
        <v>u</v>
      </c>
      <c r="F233" t="str">
        <f t="shared" si="14"/>
        <v>49</v>
      </c>
      <c r="G233" t="str">
        <f t="shared" si="15"/>
        <v>24</v>
      </c>
    </row>
    <row r="234" spans="1:7" x14ac:dyDescent="0.35">
      <c r="A234">
        <v>48</v>
      </c>
      <c r="B234">
        <v>40</v>
      </c>
      <c r="C234">
        <f t="shared" si="12"/>
        <v>3112</v>
      </c>
      <c r="D234" t="s">
        <v>1011</v>
      </c>
      <c r="E234" t="str">
        <f t="shared" si="13"/>
        <v>a</v>
      </c>
      <c r="F234" t="str">
        <f t="shared" si="14"/>
        <v>46</v>
      </c>
      <c r="G234" t="str">
        <f t="shared" si="15"/>
        <v xml:space="preserve"> 6</v>
      </c>
    </row>
    <row r="235" spans="1:7" x14ac:dyDescent="0.35">
      <c r="A235">
        <v>48</v>
      </c>
      <c r="B235">
        <v>41</v>
      </c>
      <c r="C235">
        <f t="shared" si="12"/>
        <v>3113</v>
      </c>
      <c r="D235" t="s">
        <v>1012</v>
      </c>
      <c r="E235" t="str">
        <f t="shared" si="13"/>
        <v>t</v>
      </c>
      <c r="F235" t="str">
        <f t="shared" si="14"/>
        <v>48</v>
      </c>
      <c r="G235" t="str">
        <f t="shared" si="15"/>
        <v>42</v>
      </c>
    </row>
    <row r="236" spans="1:7" x14ac:dyDescent="0.35">
      <c r="A236">
        <v>48</v>
      </c>
      <c r="B236">
        <v>42</v>
      </c>
      <c r="C236">
        <f t="shared" si="12"/>
        <v>3114</v>
      </c>
      <c r="D236" t="s">
        <v>1013</v>
      </c>
      <c r="E236" t="str">
        <f t="shared" si="13"/>
        <v>b</v>
      </c>
      <c r="F236" t="str">
        <f t="shared" si="14"/>
        <v>46</v>
      </c>
      <c r="G236" t="str">
        <f t="shared" si="15"/>
        <v xml:space="preserve"> 6</v>
      </c>
    </row>
    <row r="237" spans="1:7" x14ac:dyDescent="0.35">
      <c r="A237">
        <v>48</v>
      </c>
      <c r="B237">
        <v>43</v>
      </c>
      <c r="C237">
        <f t="shared" si="12"/>
        <v>3115</v>
      </c>
      <c r="D237" t="s">
        <v>1014</v>
      </c>
      <c r="E237" t="str">
        <f t="shared" si="13"/>
        <v>s</v>
      </c>
      <c r="F237" t="str">
        <f t="shared" si="14"/>
        <v>50</v>
      </c>
      <c r="G237" t="str">
        <f t="shared" si="15"/>
        <v>62</v>
      </c>
    </row>
    <row r="238" spans="1:7" x14ac:dyDescent="0.35">
      <c r="A238">
        <v>48</v>
      </c>
      <c r="B238">
        <v>44</v>
      </c>
      <c r="C238">
        <f t="shared" si="12"/>
        <v>3116</v>
      </c>
      <c r="D238" t="s">
        <v>1015</v>
      </c>
      <c r="E238" t="str">
        <f t="shared" si="13"/>
        <v>t</v>
      </c>
      <c r="F238" t="str">
        <f t="shared" si="14"/>
        <v>48</v>
      </c>
      <c r="G238" t="str">
        <f t="shared" si="15"/>
        <v>42</v>
      </c>
    </row>
    <row r="239" spans="1:7" x14ac:dyDescent="0.35">
      <c r="A239">
        <v>48</v>
      </c>
      <c r="B239">
        <v>45</v>
      </c>
      <c r="C239">
        <f t="shared" si="12"/>
        <v>3117</v>
      </c>
      <c r="D239" t="s">
        <v>1016</v>
      </c>
      <c r="E239" t="str">
        <f t="shared" si="13"/>
        <v>r</v>
      </c>
      <c r="F239" t="str">
        <f t="shared" si="14"/>
        <v>51</v>
      </c>
      <c r="G239" t="str">
        <f t="shared" si="15"/>
        <v xml:space="preserve"> 0</v>
      </c>
    </row>
    <row r="240" spans="1:7" x14ac:dyDescent="0.35">
      <c r="A240">
        <v>48</v>
      </c>
      <c r="B240">
        <v>46</v>
      </c>
      <c r="C240">
        <f t="shared" si="12"/>
        <v>3118</v>
      </c>
      <c r="D240" t="s">
        <v>1017</v>
      </c>
      <c r="E240" t="str">
        <f t="shared" si="13"/>
        <v>u</v>
      </c>
      <c r="F240" t="str">
        <f t="shared" si="14"/>
        <v>51</v>
      </c>
      <c r="G240" t="str">
        <f t="shared" si="15"/>
        <v xml:space="preserve"> 0</v>
      </c>
    </row>
    <row r="241" spans="1:7" x14ac:dyDescent="0.35">
      <c r="A241">
        <v>48</v>
      </c>
      <c r="B241">
        <v>47</v>
      </c>
      <c r="C241">
        <f t="shared" si="12"/>
        <v>3119</v>
      </c>
      <c r="D241" t="s">
        <v>1018</v>
      </c>
      <c r="E241" t="str">
        <f t="shared" si="13"/>
        <v>z</v>
      </c>
      <c r="F241" t="str">
        <f t="shared" si="14"/>
        <v>10</v>
      </c>
      <c r="G241" t="str">
        <f t="shared" si="15"/>
        <v xml:space="preserve"> 6</v>
      </c>
    </row>
    <row r="242" spans="1:7" x14ac:dyDescent="0.35">
      <c r="A242">
        <v>48</v>
      </c>
      <c r="B242">
        <v>48</v>
      </c>
      <c r="C242">
        <f t="shared" si="12"/>
        <v>3120</v>
      </c>
      <c r="D242" t="s">
        <v>1019</v>
      </c>
      <c r="E242" t="str">
        <f t="shared" si="13"/>
        <v>u</v>
      </c>
      <c r="F242" t="str">
        <f t="shared" si="14"/>
        <v>44</v>
      </c>
      <c r="G242" t="str">
        <f t="shared" si="15"/>
        <v>50</v>
      </c>
    </row>
    <row r="243" spans="1:7" x14ac:dyDescent="0.35">
      <c r="A243">
        <v>48</v>
      </c>
      <c r="B243">
        <v>49</v>
      </c>
      <c r="C243">
        <f t="shared" si="12"/>
        <v>3121</v>
      </c>
      <c r="D243" t="s">
        <v>1020</v>
      </c>
      <c r="E243" t="str">
        <f t="shared" si="13"/>
        <v>u</v>
      </c>
      <c r="F243" t="str">
        <f t="shared" si="14"/>
        <v>44</v>
      </c>
      <c r="G243" t="str">
        <f t="shared" si="15"/>
        <v>63</v>
      </c>
    </row>
    <row r="244" spans="1:7" x14ac:dyDescent="0.35">
      <c r="A244">
        <v>48</v>
      </c>
      <c r="B244">
        <v>50</v>
      </c>
      <c r="C244">
        <f t="shared" si="12"/>
        <v>3122</v>
      </c>
      <c r="D244" t="s">
        <v>1021</v>
      </c>
      <c r="E244" t="str">
        <f t="shared" si="13"/>
        <v>b</v>
      </c>
      <c r="F244" t="str">
        <f t="shared" si="14"/>
        <v>46</v>
      </c>
      <c r="G244" t="str">
        <f t="shared" si="15"/>
        <v>60</v>
      </c>
    </row>
    <row r="245" spans="1:7" x14ac:dyDescent="0.35">
      <c r="A245">
        <v>48</v>
      </c>
      <c r="B245">
        <v>51</v>
      </c>
      <c r="C245">
        <f t="shared" si="12"/>
        <v>3123</v>
      </c>
      <c r="D245" t="s">
        <v>1022</v>
      </c>
      <c r="E245" t="str">
        <f t="shared" si="13"/>
        <v>c</v>
      </c>
      <c r="F245" t="str">
        <f t="shared" si="14"/>
        <v>47</v>
      </c>
      <c r="G245" t="str">
        <f t="shared" si="15"/>
        <v xml:space="preserve"> 6</v>
      </c>
    </row>
    <row r="246" spans="1:7" x14ac:dyDescent="0.35">
      <c r="A246">
        <v>48</v>
      </c>
      <c r="B246">
        <v>52</v>
      </c>
      <c r="C246">
        <f t="shared" si="12"/>
        <v>3124</v>
      </c>
      <c r="D246" t="s">
        <v>1023</v>
      </c>
      <c r="E246" t="str">
        <f t="shared" si="13"/>
        <v>u</v>
      </c>
      <c r="F246" t="str">
        <f t="shared" si="14"/>
        <v>48</v>
      </c>
      <c r="G246" t="str">
        <f t="shared" si="15"/>
        <v>58</v>
      </c>
    </row>
    <row r="247" spans="1:7" x14ac:dyDescent="0.35">
      <c r="A247">
        <v>48</v>
      </c>
      <c r="B247">
        <v>53</v>
      </c>
      <c r="C247">
        <f t="shared" si="12"/>
        <v>3125</v>
      </c>
      <c r="D247" t="s">
        <v>1024</v>
      </c>
      <c r="E247" t="str">
        <f t="shared" si="13"/>
        <v>b</v>
      </c>
      <c r="F247" t="str">
        <f t="shared" si="14"/>
        <v>50</v>
      </c>
      <c r="G247" t="str">
        <f t="shared" si="15"/>
        <v>62</v>
      </c>
    </row>
    <row r="248" spans="1:7" x14ac:dyDescent="0.35">
      <c r="A248">
        <v>48</v>
      </c>
      <c r="B248">
        <v>54</v>
      </c>
      <c r="C248">
        <f t="shared" si="12"/>
        <v>3126</v>
      </c>
      <c r="D248" t="s">
        <v>1025</v>
      </c>
      <c r="E248" t="str">
        <f t="shared" si="13"/>
        <v>s</v>
      </c>
      <c r="F248" t="str">
        <f t="shared" si="14"/>
        <v>46</v>
      </c>
      <c r="G248" t="str">
        <f t="shared" si="15"/>
        <v>62</v>
      </c>
    </row>
    <row r="249" spans="1:7" x14ac:dyDescent="0.35">
      <c r="A249">
        <v>48</v>
      </c>
      <c r="B249">
        <v>55</v>
      </c>
      <c r="C249">
        <f t="shared" si="12"/>
        <v>3127</v>
      </c>
      <c r="D249" t="s">
        <v>1026</v>
      </c>
      <c r="E249" t="str">
        <f t="shared" si="13"/>
        <v>t</v>
      </c>
      <c r="F249" t="str">
        <f t="shared" si="14"/>
        <v>49</v>
      </c>
      <c r="G249" t="str">
        <f t="shared" si="15"/>
        <v xml:space="preserve"> 8</v>
      </c>
    </row>
    <row r="250" spans="1:7" x14ac:dyDescent="0.35">
      <c r="A250">
        <v>48</v>
      </c>
      <c r="B250">
        <v>56</v>
      </c>
      <c r="C250">
        <f t="shared" si="12"/>
        <v>3128</v>
      </c>
      <c r="D250" t="s">
        <v>1027</v>
      </c>
      <c r="E250" t="str">
        <f t="shared" si="13"/>
        <v>r</v>
      </c>
      <c r="F250" t="str">
        <f t="shared" si="14"/>
        <v>51</v>
      </c>
      <c r="G250" t="str">
        <f t="shared" si="15"/>
        <v xml:space="preserve"> 0</v>
      </c>
    </row>
    <row r="251" spans="1:7" x14ac:dyDescent="0.35">
      <c r="A251">
        <v>48</v>
      </c>
      <c r="B251">
        <v>57</v>
      </c>
      <c r="C251">
        <f t="shared" si="12"/>
        <v>3129</v>
      </c>
      <c r="D251" t="s">
        <v>1028</v>
      </c>
      <c r="E251" t="str">
        <f t="shared" si="13"/>
        <v>u</v>
      </c>
      <c r="F251" t="str">
        <f t="shared" si="14"/>
        <v>51</v>
      </c>
      <c r="G251" t="str">
        <f t="shared" si="15"/>
        <v xml:space="preserve"> 0</v>
      </c>
    </row>
    <row r="252" spans="1:7" x14ac:dyDescent="0.35">
      <c r="A252">
        <v>48</v>
      </c>
      <c r="B252">
        <v>58</v>
      </c>
      <c r="C252">
        <f t="shared" si="12"/>
        <v>3130</v>
      </c>
      <c r="D252" t="s">
        <v>1029</v>
      </c>
      <c r="E252" t="str">
        <f t="shared" si="13"/>
        <v>z</v>
      </c>
      <c r="F252" t="str">
        <f t="shared" si="14"/>
        <v>44</v>
      </c>
      <c r="G252" t="str">
        <f t="shared" si="15"/>
        <v xml:space="preserve"> 3</v>
      </c>
    </row>
    <row r="253" spans="1:7" x14ac:dyDescent="0.35">
      <c r="A253">
        <v>48</v>
      </c>
      <c r="B253">
        <v>59</v>
      </c>
      <c r="C253">
        <f t="shared" si="12"/>
        <v>3131</v>
      </c>
      <c r="D253" t="s">
        <v>1030</v>
      </c>
      <c r="E253" t="str">
        <f t="shared" si="13"/>
        <v>y</v>
      </c>
      <c r="F253" t="str">
        <f t="shared" si="14"/>
        <v>26</v>
      </c>
      <c r="G253" t="str">
        <f t="shared" si="15"/>
        <v>21</v>
      </c>
    </row>
    <row r="254" spans="1:7" x14ac:dyDescent="0.35">
      <c r="A254">
        <v>48</v>
      </c>
      <c r="B254">
        <v>60</v>
      </c>
      <c r="C254">
        <f t="shared" si="12"/>
        <v>3132</v>
      </c>
      <c r="D254" t="s">
        <v>1031</v>
      </c>
      <c r="E254" t="str">
        <f t="shared" si="13"/>
        <v>a</v>
      </c>
      <c r="F254" t="str">
        <f t="shared" si="14"/>
        <v>62</v>
      </c>
      <c r="G254" t="str">
        <f t="shared" si="15"/>
        <v>63</v>
      </c>
    </row>
    <row r="255" spans="1:7" x14ac:dyDescent="0.35">
      <c r="A255">
        <v>48</v>
      </c>
      <c r="B255">
        <v>61</v>
      </c>
      <c r="C255">
        <f t="shared" si="12"/>
        <v>3133</v>
      </c>
      <c r="D255" t="s">
        <v>1032</v>
      </c>
      <c r="E255" t="str">
        <f t="shared" si="13"/>
        <v>b</v>
      </c>
      <c r="F255" t="str">
        <f t="shared" si="14"/>
        <v>46</v>
      </c>
      <c r="G255" t="str">
        <f t="shared" si="15"/>
        <v>18</v>
      </c>
    </row>
    <row r="256" spans="1:7" x14ac:dyDescent="0.35">
      <c r="A256">
        <v>48</v>
      </c>
      <c r="B256">
        <v>62</v>
      </c>
      <c r="C256">
        <f t="shared" si="12"/>
        <v>3134</v>
      </c>
      <c r="D256" t="s">
        <v>1033</v>
      </c>
      <c r="E256" t="str">
        <f t="shared" si="13"/>
        <v>c</v>
      </c>
      <c r="F256" t="str">
        <f t="shared" si="14"/>
        <v>51</v>
      </c>
      <c r="G256" t="str">
        <f t="shared" si="15"/>
        <v>26</v>
      </c>
    </row>
    <row r="257" spans="1:7" x14ac:dyDescent="0.35">
      <c r="A257">
        <v>48</v>
      </c>
      <c r="B257">
        <v>63</v>
      </c>
      <c r="C257">
        <f t="shared" si="12"/>
        <v>3135</v>
      </c>
      <c r="D257" t="s">
        <v>1034</v>
      </c>
      <c r="E257" t="str">
        <f t="shared" si="13"/>
        <v>b</v>
      </c>
      <c r="F257" t="str">
        <f t="shared" si="14"/>
        <v>50</v>
      </c>
      <c r="G257" t="str">
        <f t="shared" si="15"/>
        <v>60</v>
      </c>
    </row>
    <row r="258" spans="1:7" x14ac:dyDescent="0.35">
      <c r="A258">
        <v>49</v>
      </c>
      <c r="B258">
        <v>0</v>
      </c>
      <c r="C258">
        <f t="shared" si="12"/>
        <v>3136</v>
      </c>
      <c r="D258" t="s">
        <v>1035</v>
      </c>
      <c r="E258" t="str">
        <f t="shared" si="13"/>
        <v>a</v>
      </c>
      <c r="F258" t="str">
        <f t="shared" si="14"/>
        <v>46</v>
      </c>
      <c r="G258" t="str">
        <f t="shared" si="15"/>
        <v xml:space="preserve"> 6</v>
      </c>
    </row>
    <row r="259" spans="1:7" x14ac:dyDescent="0.35">
      <c r="A259">
        <v>49</v>
      </c>
      <c r="B259">
        <v>1</v>
      </c>
      <c r="C259">
        <f t="shared" ref="C259:C322" si="16">A259*64+B259</f>
        <v>3137</v>
      </c>
      <c r="D259" t="s">
        <v>786</v>
      </c>
      <c r="E259" t="str">
        <f t="shared" ref="E259:E322" si="17">MID(D259,4,1)</f>
        <v>c</v>
      </c>
      <c r="F259" t="str">
        <f t="shared" ref="F259:F322" si="18">MID(D259,6,2)</f>
        <v>50</v>
      </c>
      <c r="G259" t="str">
        <f t="shared" ref="G259:G322" si="19">MID(D259,9,2)</f>
        <v>60</v>
      </c>
    </row>
    <row r="260" spans="1:7" x14ac:dyDescent="0.35">
      <c r="A260">
        <v>49</v>
      </c>
      <c r="B260">
        <v>2</v>
      </c>
      <c r="C260">
        <f t="shared" si="16"/>
        <v>3138</v>
      </c>
      <c r="D260" t="s">
        <v>1036</v>
      </c>
      <c r="E260" t="str">
        <f t="shared" si="17"/>
        <v>u</v>
      </c>
      <c r="F260" t="str">
        <f t="shared" si="18"/>
        <v>49</v>
      </c>
      <c r="G260" t="str">
        <f t="shared" si="19"/>
        <v>24</v>
      </c>
    </row>
    <row r="261" spans="1:7" x14ac:dyDescent="0.35">
      <c r="A261">
        <v>49</v>
      </c>
      <c r="B261">
        <v>3</v>
      </c>
      <c r="C261">
        <f t="shared" si="16"/>
        <v>3139</v>
      </c>
      <c r="D261" t="s">
        <v>1037</v>
      </c>
      <c r="E261" t="str">
        <f t="shared" si="17"/>
        <v>z</v>
      </c>
      <c r="F261" t="str">
        <f t="shared" si="18"/>
        <v xml:space="preserve"> 1</v>
      </c>
      <c r="G261" t="str">
        <f t="shared" si="19"/>
        <v xml:space="preserve"> 0</v>
      </c>
    </row>
    <row r="262" spans="1:7" x14ac:dyDescent="0.35">
      <c r="A262">
        <v>49</v>
      </c>
      <c r="B262">
        <v>4</v>
      </c>
      <c r="C262">
        <f t="shared" si="16"/>
        <v>3140</v>
      </c>
      <c r="D262" t="s">
        <v>1038</v>
      </c>
      <c r="E262" t="str">
        <f t="shared" si="17"/>
        <v>r</v>
      </c>
      <c r="F262" t="str">
        <f t="shared" si="18"/>
        <v>51</v>
      </c>
      <c r="G262" t="str">
        <f t="shared" si="19"/>
        <v xml:space="preserve"> 0</v>
      </c>
    </row>
    <row r="263" spans="1:7" x14ac:dyDescent="0.35">
      <c r="A263">
        <v>49</v>
      </c>
      <c r="B263">
        <v>5</v>
      </c>
      <c r="C263">
        <f t="shared" si="16"/>
        <v>3141</v>
      </c>
      <c r="D263" t="s">
        <v>1039</v>
      </c>
      <c r="E263" t="str">
        <f t="shared" si="17"/>
        <v>u</v>
      </c>
      <c r="F263" t="str">
        <f t="shared" si="18"/>
        <v>51</v>
      </c>
      <c r="G263" t="str">
        <f t="shared" si="19"/>
        <v xml:space="preserve"> 0</v>
      </c>
    </row>
    <row r="264" spans="1:7" x14ac:dyDescent="0.35">
      <c r="A264">
        <v>49</v>
      </c>
      <c r="B264">
        <v>6</v>
      </c>
      <c r="C264">
        <f t="shared" si="16"/>
        <v>3142</v>
      </c>
      <c r="D264" t="s">
        <v>1040</v>
      </c>
      <c r="E264" t="str">
        <f t="shared" si="17"/>
        <v>z</v>
      </c>
      <c r="F264" t="str">
        <f t="shared" si="18"/>
        <v>26</v>
      </c>
      <c r="G264" t="str">
        <f t="shared" si="19"/>
        <v>35</v>
      </c>
    </row>
    <row r="265" spans="1:7" x14ac:dyDescent="0.35">
      <c r="A265">
        <v>49</v>
      </c>
      <c r="B265">
        <v>7</v>
      </c>
      <c r="C265">
        <f t="shared" si="16"/>
        <v>3143</v>
      </c>
      <c r="D265" t="s">
        <v>1041</v>
      </c>
      <c r="E265" t="str">
        <f t="shared" si="17"/>
        <v>y</v>
      </c>
      <c r="F265" t="str">
        <f t="shared" si="18"/>
        <v>12</v>
      </c>
      <c r="G265" t="str">
        <f t="shared" si="19"/>
        <v xml:space="preserve"> 3</v>
      </c>
    </row>
    <row r="266" spans="1:7" x14ac:dyDescent="0.35">
      <c r="A266">
        <v>49</v>
      </c>
      <c r="B266">
        <v>8</v>
      </c>
      <c r="C266">
        <f t="shared" si="16"/>
        <v>3144</v>
      </c>
      <c r="D266" t="s">
        <v>1042</v>
      </c>
      <c r="E266" t="str">
        <f t="shared" si="17"/>
        <v>n</v>
      </c>
      <c r="F266" t="str">
        <f t="shared" si="18"/>
        <v>62</v>
      </c>
      <c r="G266" t="str">
        <f t="shared" si="19"/>
        <v>63</v>
      </c>
    </row>
    <row r="267" spans="1:7" x14ac:dyDescent="0.35">
      <c r="A267">
        <v>49</v>
      </c>
      <c r="B267">
        <v>9</v>
      </c>
      <c r="C267">
        <f t="shared" si="16"/>
        <v>3145</v>
      </c>
      <c r="D267" t="s">
        <v>1043</v>
      </c>
      <c r="E267" t="str">
        <f t="shared" si="17"/>
        <v>b</v>
      </c>
      <c r="F267" t="str">
        <f t="shared" si="18"/>
        <v>51</v>
      </c>
      <c r="G267" t="str">
        <f t="shared" si="19"/>
        <v>26</v>
      </c>
    </row>
    <row r="268" spans="1:7" x14ac:dyDescent="0.35">
      <c r="A268">
        <v>49</v>
      </c>
      <c r="B268">
        <v>10</v>
      </c>
      <c r="C268">
        <f t="shared" si="16"/>
        <v>3146</v>
      </c>
      <c r="D268" t="s">
        <v>1044</v>
      </c>
      <c r="E268" t="str">
        <f t="shared" si="17"/>
        <v>r</v>
      </c>
      <c r="F268" t="str">
        <f t="shared" si="18"/>
        <v>50</v>
      </c>
      <c r="G268" t="str">
        <f t="shared" si="19"/>
        <v>28</v>
      </c>
    </row>
    <row r="269" spans="1:7" x14ac:dyDescent="0.35">
      <c r="A269">
        <v>49</v>
      </c>
      <c r="B269">
        <v>11</v>
      </c>
      <c r="C269">
        <f t="shared" si="16"/>
        <v>3147</v>
      </c>
      <c r="D269" t="s">
        <v>1045</v>
      </c>
      <c r="E269" t="str">
        <f t="shared" si="17"/>
        <v>u</v>
      </c>
      <c r="F269" t="str">
        <f t="shared" si="18"/>
        <v>50</v>
      </c>
      <c r="G269" t="str">
        <f t="shared" si="19"/>
        <v xml:space="preserve"> 0</v>
      </c>
    </row>
    <row r="270" spans="1:7" x14ac:dyDescent="0.35">
      <c r="A270">
        <v>49</v>
      </c>
      <c r="B270">
        <v>12</v>
      </c>
      <c r="C270">
        <f t="shared" si="16"/>
        <v>3148</v>
      </c>
      <c r="D270" t="s">
        <v>1046</v>
      </c>
      <c r="E270" t="str">
        <f t="shared" si="17"/>
        <v>b</v>
      </c>
      <c r="F270" t="str">
        <f t="shared" si="18"/>
        <v>50</v>
      </c>
      <c r="G270" t="str">
        <f t="shared" si="19"/>
        <v>58</v>
      </c>
    </row>
    <row r="271" spans="1:7" x14ac:dyDescent="0.35">
      <c r="A271">
        <v>49</v>
      </c>
      <c r="B271">
        <v>13</v>
      </c>
      <c r="C271">
        <f t="shared" si="16"/>
        <v>3149</v>
      </c>
      <c r="D271" t="s">
        <v>1047</v>
      </c>
      <c r="E271" t="str">
        <f t="shared" si="17"/>
        <v>e</v>
      </c>
      <c r="F271" t="str">
        <f t="shared" si="18"/>
        <v>45</v>
      </c>
      <c r="G271" t="str">
        <f t="shared" si="19"/>
        <v>60</v>
      </c>
    </row>
    <row r="272" spans="1:7" x14ac:dyDescent="0.35">
      <c r="A272">
        <v>49</v>
      </c>
      <c r="B272">
        <v>14</v>
      </c>
      <c r="C272">
        <f t="shared" si="16"/>
        <v>3150</v>
      </c>
      <c r="D272" t="s">
        <v>1048</v>
      </c>
      <c r="E272" t="str">
        <f t="shared" si="17"/>
        <v>h</v>
      </c>
      <c r="F272" t="str">
        <f t="shared" si="18"/>
        <v>50</v>
      </c>
      <c r="G272" t="str">
        <f t="shared" si="19"/>
        <v>58</v>
      </c>
    </row>
    <row r="273" spans="1:7" x14ac:dyDescent="0.35">
      <c r="A273">
        <v>49</v>
      </c>
      <c r="B273">
        <v>15</v>
      </c>
      <c r="C273">
        <f t="shared" si="16"/>
        <v>3151</v>
      </c>
      <c r="D273" t="s">
        <v>1049</v>
      </c>
      <c r="E273" t="str">
        <f t="shared" si="17"/>
        <v>s</v>
      </c>
      <c r="F273" t="str">
        <f t="shared" si="18"/>
        <v>46</v>
      </c>
      <c r="G273" t="str">
        <f t="shared" si="19"/>
        <v>18</v>
      </c>
    </row>
    <row r="274" spans="1:7" x14ac:dyDescent="0.35">
      <c r="A274">
        <v>49</v>
      </c>
      <c r="B274">
        <v>16</v>
      </c>
      <c r="C274">
        <f t="shared" si="16"/>
        <v>3152</v>
      </c>
      <c r="D274" t="s">
        <v>1050</v>
      </c>
      <c r="E274" t="str">
        <f t="shared" si="17"/>
        <v>t</v>
      </c>
      <c r="F274" t="str">
        <f t="shared" si="18"/>
        <v>50</v>
      </c>
      <c r="G274" t="str">
        <f t="shared" si="19"/>
        <v xml:space="preserve"> 2</v>
      </c>
    </row>
    <row r="275" spans="1:7" x14ac:dyDescent="0.35">
      <c r="A275">
        <v>49</v>
      </c>
      <c r="B275">
        <v>17</v>
      </c>
      <c r="C275">
        <f t="shared" si="16"/>
        <v>3153</v>
      </c>
      <c r="D275" t="s">
        <v>1051</v>
      </c>
      <c r="E275" t="str">
        <f t="shared" si="17"/>
        <v>r</v>
      </c>
      <c r="F275" t="str">
        <f t="shared" si="18"/>
        <v>51</v>
      </c>
      <c r="G275" t="str">
        <f t="shared" si="19"/>
        <v xml:space="preserve"> 0</v>
      </c>
    </row>
    <row r="276" spans="1:7" x14ac:dyDescent="0.35">
      <c r="A276">
        <v>49</v>
      </c>
      <c r="B276">
        <v>18</v>
      </c>
      <c r="C276">
        <f t="shared" si="16"/>
        <v>3154</v>
      </c>
      <c r="D276" t="s">
        <v>1052</v>
      </c>
      <c r="E276" t="str">
        <f t="shared" si="17"/>
        <v>u</v>
      </c>
      <c r="F276" t="str">
        <f t="shared" si="18"/>
        <v>51</v>
      </c>
      <c r="G276" t="str">
        <f t="shared" si="19"/>
        <v xml:space="preserve"> 0</v>
      </c>
    </row>
    <row r="277" spans="1:7" x14ac:dyDescent="0.35">
      <c r="A277">
        <v>49</v>
      </c>
      <c r="B277">
        <v>19</v>
      </c>
      <c r="C277">
        <f t="shared" si="16"/>
        <v>3155</v>
      </c>
      <c r="D277" t="s">
        <v>1053</v>
      </c>
      <c r="E277" t="str">
        <f t="shared" si="17"/>
        <v>p</v>
      </c>
      <c r="F277" t="str">
        <f t="shared" si="18"/>
        <v>10</v>
      </c>
      <c r="G277" t="str">
        <f t="shared" si="19"/>
        <v>41</v>
      </c>
    </row>
    <row r="278" spans="1:7" x14ac:dyDescent="0.35">
      <c r="A278">
        <v>49</v>
      </c>
      <c r="B278">
        <v>20</v>
      </c>
      <c r="C278">
        <f t="shared" si="16"/>
        <v>3156</v>
      </c>
      <c r="D278" t="s">
        <v>1054</v>
      </c>
      <c r="E278" t="str">
        <f t="shared" si="17"/>
        <v>u</v>
      </c>
      <c r="F278" t="str">
        <f t="shared" si="18"/>
        <v>24</v>
      </c>
      <c r="G278" t="str">
        <f t="shared" si="19"/>
        <v xml:space="preserve"> 3</v>
      </c>
    </row>
    <row r="279" spans="1:7" x14ac:dyDescent="0.35">
      <c r="A279">
        <v>49</v>
      </c>
      <c r="B279">
        <v>21</v>
      </c>
      <c r="C279">
        <f t="shared" si="16"/>
        <v>3157</v>
      </c>
      <c r="D279" t="s">
        <v>1055</v>
      </c>
      <c r="E279" t="str">
        <f t="shared" si="17"/>
        <v>n</v>
      </c>
      <c r="F279" t="str">
        <f t="shared" si="18"/>
        <v xml:space="preserve"> 6</v>
      </c>
      <c r="G279" t="str">
        <f t="shared" si="19"/>
        <v>63</v>
      </c>
    </row>
    <row r="280" spans="1:7" x14ac:dyDescent="0.35">
      <c r="A280">
        <v>49</v>
      </c>
      <c r="B280">
        <v>22</v>
      </c>
      <c r="C280">
        <f t="shared" si="16"/>
        <v>3158</v>
      </c>
      <c r="D280" t="s">
        <v>1056</v>
      </c>
      <c r="E280" t="str">
        <f t="shared" si="17"/>
        <v>c</v>
      </c>
      <c r="F280" t="str">
        <f t="shared" si="18"/>
        <v>50</v>
      </c>
      <c r="G280" t="str">
        <f t="shared" si="19"/>
        <v>58</v>
      </c>
    </row>
    <row r="281" spans="1:7" x14ac:dyDescent="0.35">
      <c r="A281">
        <v>49</v>
      </c>
      <c r="B281">
        <v>23</v>
      </c>
      <c r="C281">
        <f t="shared" si="16"/>
        <v>3159</v>
      </c>
      <c r="D281" t="s">
        <v>1057</v>
      </c>
      <c r="E281" t="str">
        <f t="shared" si="17"/>
        <v>c</v>
      </c>
      <c r="F281" t="str">
        <f t="shared" si="18"/>
        <v>50</v>
      </c>
      <c r="G281" t="str">
        <f t="shared" si="19"/>
        <v>58</v>
      </c>
    </row>
    <row r="282" spans="1:7" x14ac:dyDescent="0.35">
      <c r="A282">
        <v>49</v>
      </c>
      <c r="B282">
        <v>24</v>
      </c>
      <c r="C282">
        <f t="shared" si="16"/>
        <v>3160</v>
      </c>
      <c r="D282" t="s">
        <v>1058</v>
      </c>
      <c r="E282" t="str">
        <f t="shared" si="17"/>
        <v>b</v>
      </c>
      <c r="F282" t="str">
        <f t="shared" si="18"/>
        <v>50</v>
      </c>
      <c r="G282" t="str">
        <f t="shared" si="19"/>
        <v>58</v>
      </c>
    </row>
    <row r="283" spans="1:7" x14ac:dyDescent="0.35">
      <c r="A283">
        <v>49</v>
      </c>
      <c r="B283">
        <v>25</v>
      </c>
      <c r="C283">
        <f t="shared" si="16"/>
        <v>3161</v>
      </c>
      <c r="D283" t="s">
        <v>1059</v>
      </c>
      <c r="E283" t="str">
        <f t="shared" si="17"/>
        <v>s</v>
      </c>
      <c r="F283" t="str">
        <f t="shared" si="18"/>
        <v>51</v>
      </c>
      <c r="G283" t="str">
        <f t="shared" si="19"/>
        <v>26</v>
      </c>
    </row>
    <row r="284" spans="1:7" x14ac:dyDescent="0.35">
      <c r="A284">
        <v>49</v>
      </c>
      <c r="B284">
        <v>26</v>
      </c>
      <c r="C284">
        <f t="shared" si="16"/>
        <v>3162</v>
      </c>
      <c r="D284" t="s">
        <v>1060</v>
      </c>
      <c r="E284" t="str">
        <f t="shared" si="17"/>
        <v>t</v>
      </c>
      <c r="F284" t="str">
        <f t="shared" si="18"/>
        <v>50</v>
      </c>
      <c r="G284" t="str">
        <f t="shared" si="19"/>
        <v>52</v>
      </c>
    </row>
    <row r="285" spans="1:7" x14ac:dyDescent="0.35">
      <c r="A285">
        <v>49</v>
      </c>
      <c r="B285">
        <v>27</v>
      </c>
      <c r="C285">
        <f t="shared" si="16"/>
        <v>3163</v>
      </c>
      <c r="D285" t="s">
        <v>1061</v>
      </c>
      <c r="E285" t="str">
        <f t="shared" si="17"/>
        <v>b</v>
      </c>
      <c r="F285" t="str">
        <f t="shared" si="18"/>
        <v>50</v>
      </c>
      <c r="G285" t="str">
        <f t="shared" si="19"/>
        <v>60</v>
      </c>
    </row>
    <row r="286" spans="1:7" x14ac:dyDescent="0.35">
      <c r="A286">
        <v>49</v>
      </c>
      <c r="B286">
        <v>28</v>
      </c>
      <c r="C286">
        <f t="shared" si="16"/>
        <v>3164</v>
      </c>
      <c r="D286" t="s">
        <v>1062</v>
      </c>
      <c r="E286" t="str">
        <f t="shared" si="17"/>
        <v>s</v>
      </c>
      <c r="F286" t="str">
        <f t="shared" si="18"/>
        <v>46</v>
      </c>
      <c r="G286" t="str">
        <f t="shared" si="19"/>
        <v xml:space="preserve"> 6</v>
      </c>
    </row>
    <row r="287" spans="1:7" x14ac:dyDescent="0.35">
      <c r="A287">
        <v>49</v>
      </c>
      <c r="B287">
        <v>29</v>
      </c>
      <c r="C287">
        <f t="shared" si="16"/>
        <v>3165</v>
      </c>
      <c r="D287" t="s">
        <v>1063</v>
      </c>
      <c r="E287" t="str">
        <f t="shared" si="17"/>
        <v>c</v>
      </c>
      <c r="F287" t="str">
        <f t="shared" si="18"/>
        <v>50</v>
      </c>
      <c r="G287" t="str">
        <f t="shared" si="19"/>
        <v>60</v>
      </c>
    </row>
    <row r="288" spans="1:7" x14ac:dyDescent="0.35">
      <c r="A288">
        <v>49</v>
      </c>
      <c r="B288">
        <v>30</v>
      </c>
      <c r="C288">
        <f t="shared" si="16"/>
        <v>3166</v>
      </c>
      <c r="D288" t="s">
        <v>1064</v>
      </c>
      <c r="E288" t="str">
        <f t="shared" si="17"/>
        <v>r</v>
      </c>
      <c r="F288" t="str">
        <f t="shared" si="18"/>
        <v>51</v>
      </c>
      <c r="G288" t="str">
        <f t="shared" si="19"/>
        <v xml:space="preserve"> 0</v>
      </c>
    </row>
    <row r="289" spans="1:7" x14ac:dyDescent="0.35">
      <c r="A289">
        <v>49</v>
      </c>
      <c r="B289">
        <v>31</v>
      </c>
      <c r="C289">
        <f t="shared" si="16"/>
        <v>3167</v>
      </c>
      <c r="D289" t="s">
        <v>1065</v>
      </c>
      <c r="E289" t="str">
        <f t="shared" si="17"/>
        <v>u</v>
      </c>
      <c r="F289" t="str">
        <f t="shared" si="18"/>
        <v>51</v>
      </c>
      <c r="G289" t="str">
        <f t="shared" si="19"/>
        <v xml:space="preserve"> 0</v>
      </c>
    </row>
    <row r="290" spans="1:7" x14ac:dyDescent="0.35">
      <c r="A290">
        <v>49</v>
      </c>
      <c r="B290">
        <v>32</v>
      </c>
      <c r="C290">
        <f t="shared" si="16"/>
        <v>3168</v>
      </c>
      <c r="D290" t="s">
        <v>1066</v>
      </c>
      <c r="E290" t="str">
        <f t="shared" si="17"/>
        <v>u</v>
      </c>
      <c r="F290" t="str">
        <f t="shared" si="18"/>
        <v>42</v>
      </c>
      <c r="G290" t="str">
        <f t="shared" si="19"/>
        <v>35</v>
      </c>
    </row>
    <row r="291" spans="1:7" x14ac:dyDescent="0.35">
      <c r="A291">
        <v>49</v>
      </c>
      <c r="B291">
        <v>33</v>
      </c>
      <c r="C291">
        <f t="shared" si="16"/>
        <v>3169</v>
      </c>
      <c r="D291" t="s">
        <v>1067</v>
      </c>
      <c r="E291" t="str">
        <f t="shared" si="17"/>
        <v>u</v>
      </c>
      <c r="F291" t="str">
        <f t="shared" si="18"/>
        <v xml:space="preserve"> 6</v>
      </c>
      <c r="G291" t="str">
        <f t="shared" si="19"/>
        <v xml:space="preserve"> 8</v>
      </c>
    </row>
    <row r="292" spans="1:7" x14ac:dyDescent="0.35">
      <c r="A292">
        <v>49</v>
      </c>
      <c r="B292">
        <v>34</v>
      </c>
      <c r="C292">
        <f t="shared" si="16"/>
        <v>3170</v>
      </c>
      <c r="D292" t="s">
        <v>1068</v>
      </c>
      <c r="E292" t="str">
        <f t="shared" si="17"/>
        <v>p</v>
      </c>
      <c r="F292" t="str">
        <f t="shared" si="18"/>
        <v xml:space="preserve"> 6</v>
      </c>
      <c r="G292" t="str">
        <f t="shared" si="19"/>
        <v>63</v>
      </c>
    </row>
    <row r="293" spans="1:7" x14ac:dyDescent="0.35">
      <c r="A293">
        <v>49</v>
      </c>
      <c r="B293">
        <v>35</v>
      </c>
      <c r="C293">
        <f t="shared" si="16"/>
        <v>3171</v>
      </c>
      <c r="D293" t="s">
        <v>1069</v>
      </c>
      <c r="E293" t="str">
        <f t="shared" si="17"/>
        <v>b</v>
      </c>
      <c r="F293" t="str">
        <f t="shared" si="18"/>
        <v>50</v>
      </c>
      <c r="G293" t="str">
        <f t="shared" si="19"/>
        <v>60</v>
      </c>
    </row>
    <row r="294" spans="1:7" x14ac:dyDescent="0.35">
      <c r="A294">
        <v>49</v>
      </c>
      <c r="B294">
        <v>36</v>
      </c>
      <c r="C294">
        <f t="shared" si="16"/>
        <v>3172</v>
      </c>
      <c r="D294" t="s">
        <v>1070</v>
      </c>
      <c r="E294" t="str">
        <f t="shared" si="17"/>
        <v>t</v>
      </c>
      <c r="F294" t="str">
        <f t="shared" si="18"/>
        <v>49</v>
      </c>
      <c r="G294" t="str">
        <f t="shared" si="19"/>
        <v>46</v>
      </c>
    </row>
    <row r="295" spans="1:7" x14ac:dyDescent="0.35">
      <c r="A295">
        <v>49</v>
      </c>
      <c r="B295">
        <v>37</v>
      </c>
      <c r="C295">
        <f t="shared" si="16"/>
        <v>3173</v>
      </c>
      <c r="D295" t="s">
        <v>1071</v>
      </c>
      <c r="E295" t="str">
        <f t="shared" si="17"/>
        <v>h</v>
      </c>
      <c r="F295" t="str">
        <f t="shared" si="18"/>
        <v>45</v>
      </c>
      <c r="G295" t="str">
        <f t="shared" si="19"/>
        <v>10</v>
      </c>
    </row>
    <row r="296" spans="1:7" x14ac:dyDescent="0.35">
      <c r="A296">
        <v>49</v>
      </c>
      <c r="B296">
        <v>38</v>
      </c>
      <c r="C296">
        <f t="shared" si="16"/>
        <v>3174</v>
      </c>
      <c r="D296" t="s">
        <v>1072</v>
      </c>
      <c r="E296" t="str">
        <f t="shared" si="17"/>
        <v>r</v>
      </c>
      <c r="F296" t="str">
        <f t="shared" si="18"/>
        <v>51</v>
      </c>
      <c r="G296" t="str">
        <f t="shared" si="19"/>
        <v xml:space="preserve"> 0</v>
      </c>
    </row>
    <row r="297" spans="1:7" x14ac:dyDescent="0.35">
      <c r="A297">
        <v>49</v>
      </c>
      <c r="B297">
        <v>39</v>
      </c>
      <c r="C297">
        <f t="shared" si="16"/>
        <v>3175</v>
      </c>
      <c r="D297" t="s">
        <v>1073</v>
      </c>
      <c r="E297" t="str">
        <f t="shared" si="17"/>
        <v>u</v>
      </c>
      <c r="F297" t="str">
        <f t="shared" si="18"/>
        <v>51</v>
      </c>
      <c r="G297" t="str">
        <f t="shared" si="19"/>
        <v xml:space="preserve"> 0</v>
      </c>
    </row>
    <row r="298" spans="1:7" x14ac:dyDescent="0.35">
      <c r="A298">
        <v>49</v>
      </c>
      <c r="B298">
        <v>40</v>
      </c>
      <c r="C298">
        <f t="shared" si="16"/>
        <v>3176</v>
      </c>
      <c r="D298" t="s">
        <v>1074</v>
      </c>
      <c r="E298" t="str">
        <f t="shared" si="17"/>
        <v>i</v>
      </c>
      <c r="F298" t="str">
        <f t="shared" si="18"/>
        <v xml:space="preserve"> 8</v>
      </c>
      <c r="G298" t="str">
        <f t="shared" si="19"/>
        <v>63</v>
      </c>
    </row>
    <row r="299" spans="1:7" x14ac:dyDescent="0.35">
      <c r="A299">
        <v>49</v>
      </c>
      <c r="B299">
        <v>41</v>
      </c>
      <c r="C299">
        <f t="shared" si="16"/>
        <v>3177</v>
      </c>
      <c r="D299" t="s">
        <v>1075</v>
      </c>
      <c r="E299" t="str">
        <f t="shared" si="17"/>
        <v>b</v>
      </c>
      <c r="F299" t="str">
        <f t="shared" si="18"/>
        <v>45</v>
      </c>
      <c r="G299" t="str">
        <f t="shared" si="19"/>
        <v>10</v>
      </c>
    </row>
    <row r="300" spans="1:7" x14ac:dyDescent="0.35">
      <c r="A300">
        <v>49</v>
      </c>
      <c r="B300">
        <v>42</v>
      </c>
      <c r="C300">
        <f t="shared" si="16"/>
        <v>3178</v>
      </c>
      <c r="D300" t="s">
        <v>1076</v>
      </c>
      <c r="E300" t="str">
        <f t="shared" si="17"/>
        <v>r</v>
      </c>
      <c r="F300" t="str">
        <f t="shared" si="18"/>
        <v>50</v>
      </c>
      <c r="G300" t="str">
        <f t="shared" si="19"/>
        <v>28</v>
      </c>
    </row>
    <row r="301" spans="1:7" x14ac:dyDescent="0.35">
      <c r="A301">
        <v>49</v>
      </c>
      <c r="B301">
        <v>43</v>
      </c>
      <c r="C301">
        <f t="shared" si="16"/>
        <v>3179</v>
      </c>
      <c r="D301" t="s">
        <v>1077</v>
      </c>
      <c r="E301" t="str">
        <f t="shared" si="17"/>
        <v>u</v>
      </c>
      <c r="F301" t="str">
        <f t="shared" si="18"/>
        <v>50</v>
      </c>
      <c r="G301" t="str">
        <f t="shared" si="19"/>
        <v xml:space="preserve"> 0</v>
      </c>
    </row>
    <row r="302" spans="1:7" x14ac:dyDescent="0.35">
      <c r="A302">
        <v>49</v>
      </c>
      <c r="B302">
        <v>44</v>
      </c>
      <c r="C302">
        <f t="shared" si="16"/>
        <v>3180</v>
      </c>
      <c r="D302" t="s">
        <v>1078</v>
      </c>
      <c r="E302" t="str">
        <f t="shared" si="17"/>
        <v>r</v>
      </c>
      <c r="F302" t="str">
        <f t="shared" si="18"/>
        <v>51</v>
      </c>
      <c r="G302" t="str">
        <f t="shared" si="19"/>
        <v xml:space="preserve"> 0</v>
      </c>
    </row>
    <row r="303" spans="1:7" x14ac:dyDescent="0.35">
      <c r="A303">
        <v>49</v>
      </c>
      <c r="B303">
        <v>45</v>
      </c>
      <c r="C303">
        <f t="shared" si="16"/>
        <v>3181</v>
      </c>
      <c r="D303" t="s">
        <v>1079</v>
      </c>
      <c r="E303" t="str">
        <f t="shared" si="17"/>
        <v>u</v>
      </c>
      <c r="F303" t="str">
        <f t="shared" si="18"/>
        <v>51</v>
      </c>
      <c r="G303" t="str">
        <f t="shared" si="19"/>
        <v xml:space="preserve"> 0</v>
      </c>
    </row>
    <row r="304" spans="1:7" x14ac:dyDescent="0.35">
      <c r="A304">
        <v>49</v>
      </c>
      <c r="B304">
        <v>46</v>
      </c>
      <c r="C304">
        <f t="shared" si="16"/>
        <v>3182</v>
      </c>
      <c r="D304" t="s">
        <v>1080</v>
      </c>
      <c r="E304" t="str">
        <f t="shared" si="17"/>
        <v>i</v>
      </c>
      <c r="F304" t="str">
        <f t="shared" si="18"/>
        <v xml:space="preserve"> 4</v>
      </c>
      <c r="G304" t="str">
        <f t="shared" si="19"/>
        <v>63</v>
      </c>
    </row>
    <row r="305" spans="1:7" x14ac:dyDescent="0.35">
      <c r="A305">
        <v>49</v>
      </c>
      <c r="B305">
        <v>47</v>
      </c>
      <c r="C305">
        <f t="shared" si="16"/>
        <v>3183</v>
      </c>
      <c r="D305" t="s">
        <v>1081</v>
      </c>
      <c r="E305" t="str">
        <f t="shared" si="17"/>
        <v>b</v>
      </c>
      <c r="F305" t="str">
        <f t="shared" si="18"/>
        <v>50</v>
      </c>
      <c r="G305" t="str">
        <f t="shared" si="19"/>
        <v>60</v>
      </c>
    </row>
    <row r="306" spans="1:7" x14ac:dyDescent="0.35">
      <c r="A306">
        <v>49</v>
      </c>
      <c r="B306">
        <v>48</v>
      </c>
      <c r="C306">
        <f t="shared" si="16"/>
        <v>3184</v>
      </c>
      <c r="D306" t="s">
        <v>1082</v>
      </c>
      <c r="E306" t="str">
        <f t="shared" si="17"/>
        <v>t</v>
      </c>
      <c r="F306" t="str">
        <f t="shared" si="18"/>
        <v>49</v>
      </c>
      <c r="G306" t="str">
        <f t="shared" si="19"/>
        <v>60</v>
      </c>
    </row>
    <row r="307" spans="1:7" x14ac:dyDescent="0.35">
      <c r="A307">
        <v>49</v>
      </c>
      <c r="B307">
        <v>49</v>
      </c>
      <c r="C307">
        <f t="shared" si="16"/>
        <v>3185</v>
      </c>
      <c r="D307" t="s">
        <v>1083</v>
      </c>
      <c r="E307" t="str">
        <f t="shared" si="17"/>
        <v>p</v>
      </c>
      <c r="F307" t="str">
        <f t="shared" si="18"/>
        <v>16</v>
      </c>
      <c r="G307" t="str">
        <f t="shared" si="19"/>
        <v xml:space="preserve"> 0</v>
      </c>
    </row>
    <row r="308" spans="1:7" x14ac:dyDescent="0.35">
      <c r="A308">
        <v>49</v>
      </c>
      <c r="B308">
        <v>50</v>
      </c>
      <c r="C308">
        <f t="shared" si="16"/>
        <v>3186</v>
      </c>
      <c r="D308" t="s">
        <v>1084</v>
      </c>
      <c r="E308" t="str">
        <f t="shared" si="17"/>
        <v>c</v>
      </c>
      <c r="F308" t="str">
        <f t="shared" si="18"/>
        <v>50</v>
      </c>
      <c r="G308" t="str">
        <f t="shared" si="19"/>
        <v>62</v>
      </c>
    </row>
    <row r="309" spans="1:7" x14ac:dyDescent="0.35">
      <c r="A309">
        <v>49</v>
      </c>
      <c r="B309">
        <v>51</v>
      </c>
      <c r="C309">
        <f t="shared" si="16"/>
        <v>3187</v>
      </c>
      <c r="D309" t="s">
        <v>1085</v>
      </c>
      <c r="E309" t="str">
        <f t="shared" si="17"/>
        <v>c</v>
      </c>
      <c r="F309" t="str">
        <f t="shared" si="18"/>
        <v>50</v>
      </c>
      <c r="G309" t="str">
        <f t="shared" si="19"/>
        <v>62</v>
      </c>
    </row>
    <row r="310" spans="1:7" x14ac:dyDescent="0.35">
      <c r="A310">
        <v>49</v>
      </c>
      <c r="B310">
        <v>52</v>
      </c>
      <c r="C310">
        <f t="shared" si="16"/>
        <v>3188</v>
      </c>
      <c r="D310" t="s">
        <v>1086</v>
      </c>
      <c r="E310" t="str">
        <f t="shared" si="17"/>
        <v>c</v>
      </c>
      <c r="F310" t="str">
        <f t="shared" si="18"/>
        <v>47</v>
      </c>
      <c r="G310" t="str">
        <f t="shared" si="19"/>
        <v>46</v>
      </c>
    </row>
    <row r="311" spans="1:7" x14ac:dyDescent="0.35">
      <c r="A311">
        <v>49</v>
      </c>
      <c r="B311">
        <v>53</v>
      </c>
      <c r="C311">
        <f t="shared" si="16"/>
        <v>3189</v>
      </c>
      <c r="D311" t="s">
        <v>1087</v>
      </c>
      <c r="E311" t="str">
        <f t="shared" si="17"/>
        <v>z</v>
      </c>
      <c r="F311" t="str">
        <f t="shared" si="18"/>
        <v xml:space="preserve"> 0</v>
      </c>
      <c r="G311" t="str">
        <f t="shared" si="19"/>
        <v>52</v>
      </c>
    </row>
    <row r="312" spans="1:7" x14ac:dyDescent="0.35">
      <c r="A312">
        <v>49</v>
      </c>
      <c r="B312">
        <v>54</v>
      </c>
      <c r="C312">
        <f t="shared" si="16"/>
        <v>3190</v>
      </c>
      <c r="D312" t="s">
        <v>1088</v>
      </c>
      <c r="E312" t="str">
        <f t="shared" si="17"/>
        <v>u</v>
      </c>
      <c r="F312" t="str">
        <f t="shared" si="18"/>
        <v>50</v>
      </c>
      <c r="G312" t="str">
        <f t="shared" si="19"/>
        <v>58</v>
      </c>
    </row>
    <row r="313" spans="1:7" x14ac:dyDescent="0.35">
      <c r="A313">
        <v>49</v>
      </c>
      <c r="B313">
        <v>55</v>
      </c>
      <c r="C313">
        <f t="shared" si="16"/>
        <v>3191</v>
      </c>
      <c r="D313" t="s">
        <v>1089</v>
      </c>
      <c r="E313" t="str">
        <f t="shared" si="17"/>
        <v>p</v>
      </c>
      <c r="F313" t="str">
        <f t="shared" si="18"/>
        <v>12</v>
      </c>
      <c r="G313" t="str">
        <f t="shared" si="19"/>
        <v xml:space="preserve"> 0</v>
      </c>
    </row>
    <row r="314" spans="1:7" x14ac:dyDescent="0.35">
      <c r="A314">
        <v>49</v>
      </c>
      <c r="B314">
        <v>56</v>
      </c>
      <c r="C314">
        <f t="shared" si="16"/>
        <v>3192</v>
      </c>
      <c r="D314" t="s">
        <v>1090</v>
      </c>
      <c r="E314" t="str">
        <f t="shared" si="17"/>
        <v>z</v>
      </c>
      <c r="F314" t="str">
        <f t="shared" si="18"/>
        <v xml:space="preserve"> 0</v>
      </c>
      <c r="G314" t="str">
        <f t="shared" si="19"/>
        <v xml:space="preserve"> 6</v>
      </c>
    </row>
    <row r="315" spans="1:7" x14ac:dyDescent="0.35">
      <c r="A315">
        <v>49</v>
      </c>
      <c r="B315">
        <v>57</v>
      </c>
      <c r="C315">
        <f t="shared" si="16"/>
        <v>3193</v>
      </c>
      <c r="D315" t="s">
        <v>1091</v>
      </c>
      <c r="E315" t="str">
        <f t="shared" si="17"/>
        <v>c</v>
      </c>
      <c r="F315" t="str">
        <f t="shared" si="18"/>
        <v>50</v>
      </c>
      <c r="G315" t="str">
        <f t="shared" si="19"/>
        <v>60</v>
      </c>
    </row>
    <row r="316" spans="1:7" x14ac:dyDescent="0.35">
      <c r="A316">
        <v>49</v>
      </c>
      <c r="B316">
        <v>58</v>
      </c>
      <c r="C316">
        <f t="shared" si="16"/>
        <v>3194</v>
      </c>
      <c r="D316" t="s">
        <v>1092</v>
      </c>
      <c r="E316" t="str">
        <f t="shared" si="17"/>
        <v>s</v>
      </c>
      <c r="F316" t="str">
        <f t="shared" si="18"/>
        <v>50</v>
      </c>
      <c r="G316" t="str">
        <f t="shared" si="19"/>
        <v>60</v>
      </c>
    </row>
    <row r="317" spans="1:7" x14ac:dyDescent="0.35">
      <c r="A317">
        <v>49</v>
      </c>
      <c r="B317">
        <v>59</v>
      </c>
      <c r="C317">
        <f t="shared" si="16"/>
        <v>3195</v>
      </c>
      <c r="D317" t="s">
        <v>1093</v>
      </c>
      <c r="E317" t="str">
        <f t="shared" si="17"/>
        <v>p</v>
      </c>
      <c r="F317" t="str">
        <f t="shared" si="18"/>
        <v xml:space="preserve"> 7</v>
      </c>
      <c r="G317" t="str">
        <f t="shared" si="19"/>
        <v xml:space="preserve"> 0</v>
      </c>
    </row>
    <row r="318" spans="1:7" x14ac:dyDescent="0.35">
      <c r="A318">
        <v>49</v>
      </c>
      <c r="B318">
        <v>60</v>
      </c>
      <c r="C318">
        <f t="shared" si="16"/>
        <v>3196</v>
      </c>
      <c r="D318" t="s">
        <v>1094</v>
      </c>
      <c r="E318" t="str">
        <f t="shared" si="17"/>
        <v>z</v>
      </c>
      <c r="F318" t="str">
        <f t="shared" si="18"/>
        <v xml:space="preserve"> 0</v>
      </c>
      <c r="G318" t="str">
        <f t="shared" si="19"/>
        <v>30</v>
      </c>
    </row>
    <row r="319" spans="1:7" x14ac:dyDescent="0.35">
      <c r="A319">
        <v>49</v>
      </c>
      <c r="B319">
        <v>61</v>
      </c>
      <c r="C319">
        <f t="shared" si="16"/>
        <v>3197</v>
      </c>
      <c r="D319" t="s">
        <v>1095</v>
      </c>
      <c r="E319" t="str">
        <f t="shared" si="17"/>
        <v>u</v>
      </c>
      <c r="F319" t="str">
        <f t="shared" si="18"/>
        <v>49</v>
      </c>
      <c r="G319" t="str">
        <f t="shared" si="19"/>
        <v>10</v>
      </c>
    </row>
    <row r="320" spans="1:7" x14ac:dyDescent="0.35">
      <c r="A320">
        <v>49</v>
      </c>
      <c r="B320">
        <v>62</v>
      </c>
      <c r="C320">
        <f t="shared" si="16"/>
        <v>3198</v>
      </c>
      <c r="D320" t="s">
        <v>911</v>
      </c>
      <c r="E320" t="str">
        <f t="shared" si="17"/>
        <v>p</v>
      </c>
      <c r="F320" t="str">
        <f t="shared" si="18"/>
        <v>12</v>
      </c>
      <c r="G320" t="str">
        <f t="shared" si="19"/>
        <v xml:space="preserve"> 0</v>
      </c>
    </row>
    <row r="321" spans="1:7" x14ac:dyDescent="0.35">
      <c r="A321">
        <v>49</v>
      </c>
      <c r="B321">
        <v>63</v>
      </c>
      <c r="C321">
        <f t="shared" si="16"/>
        <v>3199</v>
      </c>
      <c r="D321" t="s">
        <v>1096</v>
      </c>
      <c r="E321" t="str">
        <f t="shared" si="17"/>
        <v>z</v>
      </c>
      <c r="F321" t="str">
        <f t="shared" si="18"/>
        <v xml:space="preserve"> 0</v>
      </c>
      <c r="G321" t="str">
        <f t="shared" si="19"/>
        <v xml:space="preserve"> 4</v>
      </c>
    </row>
    <row r="322" spans="1:7" x14ac:dyDescent="0.35">
      <c r="A322">
        <v>50</v>
      </c>
      <c r="B322">
        <v>0</v>
      </c>
      <c r="C322">
        <f t="shared" si="16"/>
        <v>3200</v>
      </c>
      <c r="D322" t="s">
        <v>1097</v>
      </c>
      <c r="E322" t="str">
        <f t="shared" si="17"/>
        <v>u</v>
      </c>
      <c r="F322" t="str">
        <f t="shared" si="18"/>
        <v>49</v>
      </c>
      <c r="G322" t="str">
        <f t="shared" si="19"/>
        <v>34</v>
      </c>
    </row>
    <row r="323" spans="1:7" x14ac:dyDescent="0.35">
      <c r="A323">
        <v>50</v>
      </c>
      <c r="B323">
        <v>1</v>
      </c>
      <c r="C323">
        <f t="shared" ref="C323:C386" si="20">A323*64+B323</f>
        <v>3201</v>
      </c>
      <c r="D323" t="s">
        <v>1098</v>
      </c>
      <c r="E323" t="str">
        <f t="shared" ref="E323:E386" si="21">MID(D323,4,1)</f>
        <v>a</v>
      </c>
      <c r="F323" t="str">
        <f t="shared" ref="F323:F386" si="22">MID(D323,6,2)</f>
        <v>46</v>
      </c>
      <c r="G323" t="str">
        <f t="shared" ref="G323:G386" si="23">MID(D323,9,2)</f>
        <v xml:space="preserve"> 6</v>
      </c>
    </row>
    <row r="324" spans="1:7" x14ac:dyDescent="0.35">
      <c r="A324">
        <v>50</v>
      </c>
      <c r="B324">
        <v>2</v>
      </c>
      <c r="C324">
        <f t="shared" si="20"/>
        <v>3202</v>
      </c>
      <c r="D324" t="s">
        <v>1099</v>
      </c>
      <c r="E324" t="str">
        <f t="shared" si="21"/>
        <v>t</v>
      </c>
      <c r="F324" t="str">
        <f t="shared" si="22"/>
        <v>50</v>
      </c>
      <c r="G324" t="str">
        <f t="shared" si="23"/>
        <v>32</v>
      </c>
    </row>
    <row r="325" spans="1:7" x14ac:dyDescent="0.35">
      <c r="A325">
        <v>50</v>
      </c>
      <c r="B325">
        <v>3</v>
      </c>
      <c r="C325">
        <f t="shared" si="20"/>
        <v>3203</v>
      </c>
      <c r="D325" t="s">
        <v>1100</v>
      </c>
      <c r="E325" t="str">
        <f t="shared" si="21"/>
        <v>b</v>
      </c>
      <c r="F325" t="str">
        <f t="shared" si="22"/>
        <v>46</v>
      </c>
      <c r="G325" t="str">
        <f t="shared" si="23"/>
        <v xml:space="preserve"> 6</v>
      </c>
    </row>
    <row r="326" spans="1:7" x14ac:dyDescent="0.35">
      <c r="A326">
        <v>50</v>
      </c>
      <c r="B326">
        <v>4</v>
      </c>
      <c r="C326">
        <f t="shared" si="20"/>
        <v>3204</v>
      </c>
      <c r="D326" t="s">
        <v>1101</v>
      </c>
      <c r="E326" t="str">
        <f t="shared" si="21"/>
        <v>s</v>
      </c>
      <c r="F326" t="str">
        <f t="shared" si="22"/>
        <v>47</v>
      </c>
      <c r="G326" t="str">
        <f t="shared" si="23"/>
        <v>46</v>
      </c>
    </row>
    <row r="327" spans="1:7" x14ac:dyDescent="0.35">
      <c r="A327">
        <v>50</v>
      </c>
      <c r="B327">
        <v>5</v>
      </c>
      <c r="C327">
        <f t="shared" si="20"/>
        <v>3205</v>
      </c>
      <c r="D327" t="s">
        <v>1102</v>
      </c>
      <c r="E327" t="str">
        <f t="shared" si="21"/>
        <v>t</v>
      </c>
      <c r="F327" t="str">
        <f t="shared" si="22"/>
        <v>50</v>
      </c>
      <c r="G327" t="str">
        <f t="shared" si="23"/>
        <v>32</v>
      </c>
    </row>
    <row r="328" spans="1:7" x14ac:dyDescent="0.35">
      <c r="A328">
        <v>50</v>
      </c>
      <c r="B328">
        <v>6</v>
      </c>
      <c r="C328">
        <f t="shared" si="20"/>
        <v>3206</v>
      </c>
      <c r="D328" t="s">
        <v>1103</v>
      </c>
      <c r="E328" t="str">
        <f t="shared" si="21"/>
        <v>r</v>
      </c>
      <c r="F328" t="str">
        <f t="shared" si="22"/>
        <v>51</v>
      </c>
      <c r="G328" t="str">
        <f t="shared" si="23"/>
        <v xml:space="preserve"> 0</v>
      </c>
    </row>
    <row r="329" spans="1:7" x14ac:dyDescent="0.35">
      <c r="A329">
        <v>50</v>
      </c>
      <c r="B329">
        <v>7</v>
      </c>
      <c r="C329">
        <f t="shared" si="20"/>
        <v>3207</v>
      </c>
      <c r="D329" t="s">
        <v>1104</v>
      </c>
      <c r="E329" t="str">
        <f t="shared" si="21"/>
        <v>u</v>
      </c>
      <c r="F329" t="str">
        <f t="shared" si="22"/>
        <v>51</v>
      </c>
      <c r="G329" t="str">
        <f t="shared" si="23"/>
        <v xml:space="preserve"> 0</v>
      </c>
    </row>
    <row r="330" spans="1:7" x14ac:dyDescent="0.35">
      <c r="A330">
        <v>50</v>
      </c>
      <c r="B330">
        <v>8</v>
      </c>
      <c r="C330">
        <f t="shared" si="20"/>
        <v>3208</v>
      </c>
      <c r="D330" t="s">
        <v>1105</v>
      </c>
      <c r="E330" t="str">
        <f t="shared" si="21"/>
        <v>p</v>
      </c>
      <c r="F330" t="str">
        <f t="shared" si="22"/>
        <v>10</v>
      </c>
      <c r="G330" t="str">
        <f t="shared" si="23"/>
        <v xml:space="preserve"> 6</v>
      </c>
    </row>
    <row r="331" spans="1:7" x14ac:dyDescent="0.35">
      <c r="A331">
        <v>50</v>
      </c>
      <c r="B331">
        <v>9</v>
      </c>
      <c r="C331">
        <f t="shared" si="20"/>
        <v>3209</v>
      </c>
      <c r="D331" t="s">
        <v>1106</v>
      </c>
      <c r="E331" t="str">
        <f t="shared" si="21"/>
        <v>u</v>
      </c>
      <c r="F331" t="str">
        <f t="shared" si="22"/>
        <v>44</v>
      </c>
      <c r="G331" t="str">
        <f t="shared" si="23"/>
        <v>50</v>
      </c>
    </row>
    <row r="332" spans="1:7" x14ac:dyDescent="0.35">
      <c r="A332">
        <v>50</v>
      </c>
      <c r="B332">
        <v>10</v>
      </c>
      <c r="C332">
        <f t="shared" si="20"/>
        <v>3210</v>
      </c>
      <c r="D332" t="s">
        <v>1107</v>
      </c>
      <c r="E332" t="str">
        <f t="shared" si="21"/>
        <v>u</v>
      </c>
      <c r="F332" t="str">
        <f t="shared" si="22"/>
        <v>44</v>
      </c>
      <c r="G332" t="str">
        <f t="shared" si="23"/>
        <v>63</v>
      </c>
    </row>
    <row r="333" spans="1:7" x14ac:dyDescent="0.35">
      <c r="A333">
        <v>50</v>
      </c>
      <c r="B333">
        <v>11</v>
      </c>
      <c r="C333">
        <f t="shared" si="20"/>
        <v>3211</v>
      </c>
      <c r="D333" t="s">
        <v>1108</v>
      </c>
      <c r="E333" t="str">
        <f t="shared" si="21"/>
        <v>p</v>
      </c>
      <c r="F333" t="str">
        <f t="shared" si="22"/>
        <v>12</v>
      </c>
      <c r="G333" t="str">
        <f t="shared" si="23"/>
        <v xml:space="preserve"> 0</v>
      </c>
    </row>
    <row r="334" spans="1:7" x14ac:dyDescent="0.35">
      <c r="A334">
        <v>50</v>
      </c>
      <c r="B334">
        <v>12</v>
      </c>
      <c r="C334">
        <f t="shared" si="20"/>
        <v>3212</v>
      </c>
      <c r="D334" t="s">
        <v>1109</v>
      </c>
      <c r="E334" t="str">
        <f t="shared" si="21"/>
        <v>b</v>
      </c>
      <c r="F334" t="str">
        <f t="shared" si="22"/>
        <v>51</v>
      </c>
      <c r="G334" t="str">
        <f t="shared" si="23"/>
        <v>26</v>
      </c>
    </row>
    <row r="335" spans="1:7" x14ac:dyDescent="0.35">
      <c r="A335">
        <v>50</v>
      </c>
      <c r="B335">
        <v>13</v>
      </c>
      <c r="C335">
        <f t="shared" si="20"/>
        <v>3213</v>
      </c>
      <c r="D335" t="s">
        <v>1110</v>
      </c>
      <c r="E335" t="str">
        <f t="shared" si="21"/>
        <v>s</v>
      </c>
      <c r="F335" t="str">
        <f t="shared" si="22"/>
        <v>46</v>
      </c>
      <c r="G335" t="str">
        <f t="shared" si="23"/>
        <v>18</v>
      </c>
    </row>
    <row r="336" spans="1:7" x14ac:dyDescent="0.35">
      <c r="A336">
        <v>50</v>
      </c>
      <c r="B336">
        <v>14</v>
      </c>
      <c r="C336">
        <f t="shared" si="20"/>
        <v>3214</v>
      </c>
      <c r="D336" t="s">
        <v>1111</v>
      </c>
      <c r="E336" t="str">
        <f t="shared" si="21"/>
        <v>t</v>
      </c>
      <c r="F336" t="str">
        <f t="shared" si="22"/>
        <v>51</v>
      </c>
      <c r="G336" t="str">
        <f t="shared" si="23"/>
        <v>58</v>
      </c>
    </row>
    <row r="337" spans="1:7" x14ac:dyDescent="0.35">
      <c r="A337">
        <v>50</v>
      </c>
      <c r="B337">
        <v>15</v>
      </c>
      <c r="C337">
        <f t="shared" si="20"/>
        <v>3215</v>
      </c>
      <c r="D337" t="s">
        <v>1112</v>
      </c>
      <c r="E337" t="str">
        <f t="shared" si="21"/>
        <v>u</v>
      </c>
      <c r="F337" t="str">
        <f t="shared" si="22"/>
        <v>51</v>
      </c>
      <c r="G337" t="str">
        <f t="shared" si="23"/>
        <v>52</v>
      </c>
    </row>
    <row r="338" spans="1:7" x14ac:dyDescent="0.35">
      <c r="A338">
        <v>50</v>
      </c>
      <c r="B338">
        <v>16</v>
      </c>
      <c r="C338">
        <f t="shared" si="20"/>
        <v>3216</v>
      </c>
      <c r="D338" t="s">
        <v>1113</v>
      </c>
      <c r="E338" t="str">
        <f t="shared" si="21"/>
        <v>r</v>
      </c>
      <c r="F338" t="str">
        <f t="shared" si="22"/>
        <v>51</v>
      </c>
      <c r="G338" t="str">
        <f t="shared" si="23"/>
        <v xml:space="preserve"> 0</v>
      </c>
    </row>
    <row r="339" spans="1:7" x14ac:dyDescent="0.35">
      <c r="A339">
        <v>50</v>
      </c>
      <c r="B339">
        <v>17</v>
      </c>
      <c r="C339">
        <f t="shared" si="20"/>
        <v>3217</v>
      </c>
      <c r="D339" t="s">
        <v>1114</v>
      </c>
      <c r="E339" t="str">
        <f t="shared" si="21"/>
        <v>u</v>
      </c>
      <c r="F339" t="str">
        <f t="shared" si="22"/>
        <v>51</v>
      </c>
      <c r="G339" t="str">
        <f t="shared" si="23"/>
        <v xml:space="preserve"> 0</v>
      </c>
    </row>
    <row r="340" spans="1:7" x14ac:dyDescent="0.35">
      <c r="A340">
        <v>50</v>
      </c>
      <c r="B340">
        <v>18</v>
      </c>
      <c r="C340">
        <f t="shared" si="20"/>
        <v>3218</v>
      </c>
      <c r="D340" t="s">
        <v>1115</v>
      </c>
      <c r="E340" t="str">
        <f t="shared" si="21"/>
        <v>p</v>
      </c>
      <c r="F340" t="str">
        <f t="shared" si="22"/>
        <v>26</v>
      </c>
      <c r="G340" t="str">
        <f t="shared" si="23"/>
        <v>35</v>
      </c>
    </row>
    <row r="341" spans="1:7" x14ac:dyDescent="0.35">
      <c r="A341">
        <v>50</v>
      </c>
      <c r="B341">
        <v>19</v>
      </c>
      <c r="C341">
        <f t="shared" si="20"/>
        <v>3219</v>
      </c>
      <c r="D341" t="s">
        <v>1116</v>
      </c>
      <c r="E341" t="str">
        <f t="shared" si="21"/>
        <v>y</v>
      </c>
      <c r="F341" t="str">
        <f t="shared" si="22"/>
        <v>12</v>
      </c>
      <c r="G341" t="str">
        <f t="shared" si="23"/>
        <v xml:space="preserve"> 3</v>
      </c>
    </row>
    <row r="342" spans="1:7" x14ac:dyDescent="0.35">
      <c r="A342">
        <v>50</v>
      </c>
      <c r="B342">
        <v>20</v>
      </c>
      <c r="C342">
        <f t="shared" si="20"/>
        <v>3220</v>
      </c>
      <c r="D342" t="s">
        <v>1117</v>
      </c>
      <c r="E342" t="str">
        <f t="shared" si="21"/>
        <v>n</v>
      </c>
      <c r="F342" t="str">
        <f t="shared" si="22"/>
        <v>62</v>
      </c>
      <c r="G342" t="str">
        <f t="shared" si="23"/>
        <v>63</v>
      </c>
    </row>
    <row r="343" spans="1:7" x14ac:dyDescent="0.35">
      <c r="A343">
        <v>50</v>
      </c>
      <c r="B343">
        <v>21</v>
      </c>
      <c r="C343">
        <f t="shared" si="20"/>
        <v>3221</v>
      </c>
      <c r="D343" t="s">
        <v>992</v>
      </c>
      <c r="E343" t="str">
        <f t="shared" si="21"/>
        <v>b</v>
      </c>
      <c r="F343" t="str">
        <f t="shared" si="22"/>
        <v>50</v>
      </c>
      <c r="G343" t="str">
        <f t="shared" si="23"/>
        <v>58</v>
      </c>
    </row>
    <row r="344" spans="1:7" x14ac:dyDescent="0.35">
      <c r="A344">
        <v>50</v>
      </c>
      <c r="B344">
        <v>22</v>
      </c>
      <c r="C344">
        <f t="shared" si="20"/>
        <v>3222</v>
      </c>
      <c r="D344" t="s">
        <v>1118</v>
      </c>
      <c r="E344" t="str">
        <f t="shared" si="21"/>
        <v>r</v>
      </c>
      <c r="F344" t="str">
        <f t="shared" si="22"/>
        <v>50</v>
      </c>
      <c r="G344" t="str">
        <f t="shared" si="23"/>
        <v>28</v>
      </c>
    </row>
    <row r="345" spans="1:7" x14ac:dyDescent="0.35">
      <c r="A345">
        <v>50</v>
      </c>
      <c r="B345">
        <v>23</v>
      </c>
      <c r="C345">
        <f t="shared" si="20"/>
        <v>3223</v>
      </c>
      <c r="D345" t="s">
        <v>1119</v>
      </c>
      <c r="E345" t="str">
        <f t="shared" si="21"/>
        <v>u</v>
      </c>
      <c r="F345" t="str">
        <f t="shared" si="22"/>
        <v>50</v>
      </c>
      <c r="G345" t="str">
        <f t="shared" si="23"/>
        <v xml:space="preserve"> 0</v>
      </c>
    </row>
    <row r="346" spans="1:7" x14ac:dyDescent="0.35">
      <c r="A346">
        <v>50</v>
      </c>
      <c r="B346">
        <v>24</v>
      </c>
      <c r="C346">
        <f t="shared" si="20"/>
        <v>3224</v>
      </c>
      <c r="D346" t="s">
        <v>1120</v>
      </c>
      <c r="E346" t="str">
        <f t="shared" si="21"/>
        <v>p</v>
      </c>
      <c r="F346" t="str">
        <f t="shared" si="22"/>
        <v>12</v>
      </c>
      <c r="G346" t="str">
        <f t="shared" si="23"/>
        <v xml:space="preserve"> 0</v>
      </c>
    </row>
    <row r="347" spans="1:7" x14ac:dyDescent="0.35">
      <c r="A347">
        <v>50</v>
      </c>
      <c r="B347">
        <v>25</v>
      </c>
      <c r="C347">
        <f t="shared" si="20"/>
        <v>3225</v>
      </c>
      <c r="D347" t="s">
        <v>1121</v>
      </c>
      <c r="E347" t="str">
        <f t="shared" si="21"/>
        <v>u</v>
      </c>
      <c r="F347" t="str">
        <f t="shared" si="22"/>
        <v>49</v>
      </c>
      <c r="G347" t="str">
        <f t="shared" si="23"/>
        <v>48</v>
      </c>
    </row>
    <row r="348" spans="1:7" x14ac:dyDescent="0.35">
      <c r="A348">
        <v>50</v>
      </c>
      <c r="B348">
        <v>26</v>
      </c>
      <c r="C348">
        <f t="shared" si="20"/>
        <v>3226</v>
      </c>
      <c r="D348" t="s">
        <v>1122</v>
      </c>
      <c r="E348" t="str">
        <f t="shared" si="21"/>
        <v>b</v>
      </c>
      <c r="F348" t="str">
        <f t="shared" si="22"/>
        <v>50</v>
      </c>
      <c r="G348" t="str">
        <f t="shared" si="23"/>
        <v>60</v>
      </c>
    </row>
    <row r="349" spans="1:7" x14ac:dyDescent="0.35">
      <c r="A349">
        <v>50</v>
      </c>
      <c r="B349">
        <v>27</v>
      </c>
      <c r="C349">
        <f t="shared" si="20"/>
        <v>3227</v>
      </c>
      <c r="D349" t="s">
        <v>1123</v>
      </c>
      <c r="E349" t="str">
        <f t="shared" si="21"/>
        <v>a</v>
      </c>
      <c r="F349" t="str">
        <f t="shared" si="22"/>
        <v>46</v>
      </c>
      <c r="G349" t="str">
        <f t="shared" si="23"/>
        <v xml:space="preserve"> 6</v>
      </c>
    </row>
    <row r="350" spans="1:7" x14ac:dyDescent="0.35">
      <c r="A350">
        <v>50</v>
      </c>
      <c r="B350">
        <v>28</v>
      </c>
      <c r="C350">
        <f t="shared" si="20"/>
        <v>3228</v>
      </c>
      <c r="D350" t="s">
        <v>1124</v>
      </c>
      <c r="E350" t="str">
        <f t="shared" si="21"/>
        <v>u</v>
      </c>
      <c r="F350" t="str">
        <f t="shared" si="22"/>
        <v>49</v>
      </c>
      <c r="G350" t="str">
        <f t="shared" si="23"/>
        <v>58</v>
      </c>
    </row>
    <row r="351" spans="1:7" x14ac:dyDescent="0.35">
      <c r="A351">
        <v>50</v>
      </c>
      <c r="B351">
        <v>29</v>
      </c>
      <c r="C351">
        <f t="shared" si="20"/>
        <v>3229</v>
      </c>
      <c r="D351" t="s">
        <v>1125</v>
      </c>
      <c r="E351" t="str">
        <f t="shared" si="21"/>
        <v>z</v>
      </c>
      <c r="F351" t="str">
        <f t="shared" si="22"/>
        <v xml:space="preserve"> 0</v>
      </c>
      <c r="G351" t="str">
        <f t="shared" si="23"/>
        <v>40</v>
      </c>
    </row>
    <row r="352" spans="1:7" x14ac:dyDescent="0.35">
      <c r="A352">
        <v>50</v>
      </c>
      <c r="B352">
        <v>30</v>
      </c>
      <c r="C352">
        <f t="shared" si="20"/>
        <v>3230</v>
      </c>
      <c r="D352" t="s">
        <v>1126</v>
      </c>
      <c r="E352" t="str">
        <f t="shared" si="21"/>
        <v>s</v>
      </c>
      <c r="F352" t="str">
        <f t="shared" si="22"/>
        <v>63</v>
      </c>
      <c r="G352" t="str">
        <f t="shared" si="23"/>
        <v>52</v>
      </c>
    </row>
    <row r="353" spans="1:7" x14ac:dyDescent="0.35">
      <c r="A353">
        <v>50</v>
      </c>
      <c r="B353">
        <v>31</v>
      </c>
      <c r="C353">
        <f t="shared" si="20"/>
        <v>3231</v>
      </c>
      <c r="D353" t="s">
        <v>1127</v>
      </c>
      <c r="E353" t="str">
        <f t="shared" si="21"/>
        <v>z</v>
      </c>
      <c r="F353" t="str">
        <f t="shared" si="22"/>
        <v xml:space="preserve"> 0</v>
      </c>
      <c r="G353" t="str">
        <f t="shared" si="23"/>
        <v xml:space="preserve"> 0</v>
      </c>
    </row>
    <row r="354" spans="1:7" x14ac:dyDescent="0.35">
      <c r="A354">
        <v>50</v>
      </c>
      <c r="B354">
        <v>32</v>
      </c>
      <c r="C354">
        <f t="shared" si="20"/>
        <v>3232</v>
      </c>
      <c r="D354" t="s">
        <v>1128</v>
      </c>
      <c r="E354" t="str">
        <f t="shared" si="21"/>
        <v>s</v>
      </c>
      <c r="F354" t="str">
        <f t="shared" si="22"/>
        <v>47</v>
      </c>
      <c r="G354" t="str">
        <f t="shared" si="23"/>
        <v>34</v>
      </c>
    </row>
    <row r="355" spans="1:7" x14ac:dyDescent="0.35">
      <c r="A355">
        <v>50</v>
      </c>
      <c r="B355">
        <v>33</v>
      </c>
      <c r="C355">
        <f t="shared" si="20"/>
        <v>3233</v>
      </c>
      <c r="D355" t="s">
        <v>1129</v>
      </c>
      <c r="E355" t="str">
        <f t="shared" si="21"/>
        <v>t</v>
      </c>
      <c r="F355" t="str">
        <f t="shared" si="22"/>
        <v>50</v>
      </c>
      <c r="G355" t="str">
        <f t="shared" si="23"/>
        <v>16</v>
      </c>
    </row>
    <row r="356" spans="1:7" x14ac:dyDescent="0.35">
      <c r="A356">
        <v>50</v>
      </c>
      <c r="B356">
        <v>34</v>
      </c>
      <c r="C356">
        <f t="shared" si="20"/>
        <v>3234</v>
      </c>
      <c r="D356" t="s">
        <v>1130</v>
      </c>
      <c r="E356" t="str">
        <f t="shared" si="21"/>
        <v>s</v>
      </c>
      <c r="F356" t="str">
        <f t="shared" si="22"/>
        <v>47</v>
      </c>
      <c r="G356" t="str">
        <f t="shared" si="23"/>
        <v>34</v>
      </c>
    </row>
    <row r="357" spans="1:7" x14ac:dyDescent="0.35">
      <c r="A357">
        <v>50</v>
      </c>
      <c r="B357">
        <v>35</v>
      </c>
      <c r="C357">
        <f t="shared" si="20"/>
        <v>3235</v>
      </c>
      <c r="D357" t="s">
        <v>1131</v>
      </c>
      <c r="E357" t="str">
        <f t="shared" si="21"/>
        <v>t</v>
      </c>
      <c r="F357" t="str">
        <f t="shared" si="22"/>
        <v>50</v>
      </c>
      <c r="G357" t="str">
        <f t="shared" si="23"/>
        <v>30</v>
      </c>
    </row>
    <row r="358" spans="1:7" x14ac:dyDescent="0.35">
      <c r="A358">
        <v>50</v>
      </c>
      <c r="B358">
        <v>36</v>
      </c>
      <c r="C358">
        <f t="shared" si="20"/>
        <v>3236</v>
      </c>
      <c r="D358" t="s">
        <v>1132</v>
      </c>
      <c r="E358" t="str">
        <f t="shared" si="21"/>
        <v>s</v>
      </c>
      <c r="F358" t="str">
        <f t="shared" si="22"/>
        <v>47</v>
      </c>
      <c r="G358" t="str">
        <f t="shared" si="23"/>
        <v>34</v>
      </c>
    </row>
    <row r="359" spans="1:7" x14ac:dyDescent="0.35">
      <c r="A359">
        <v>50</v>
      </c>
      <c r="B359">
        <v>37</v>
      </c>
      <c r="C359">
        <f t="shared" si="20"/>
        <v>3237</v>
      </c>
      <c r="D359" t="s">
        <v>1133</v>
      </c>
      <c r="E359" t="str">
        <f t="shared" si="21"/>
        <v>t</v>
      </c>
      <c r="F359" t="str">
        <f t="shared" si="22"/>
        <v>50</v>
      </c>
      <c r="G359" t="str">
        <f t="shared" si="23"/>
        <v>34</v>
      </c>
    </row>
    <row r="360" spans="1:7" x14ac:dyDescent="0.35">
      <c r="A360">
        <v>50</v>
      </c>
      <c r="B360">
        <v>38</v>
      </c>
      <c r="C360">
        <f t="shared" si="20"/>
        <v>3238</v>
      </c>
      <c r="D360" t="s">
        <v>1134</v>
      </c>
      <c r="E360" t="str">
        <f t="shared" si="21"/>
        <v>p</v>
      </c>
      <c r="F360" t="str">
        <f t="shared" si="22"/>
        <v>14</v>
      </c>
      <c r="G360" t="str">
        <f t="shared" si="23"/>
        <v xml:space="preserve"> 0</v>
      </c>
    </row>
    <row r="361" spans="1:7" x14ac:dyDescent="0.35">
      <c r="A361">
        <v>50</v>
      </c>
      <c r="B361">
        <v>39</v>
      </c>
      <c r="C361">
        <f t="shared" si="20"/>
        <v>3239</v>
      </c>
      <c r="D361" t="s">
        <v>1135</v>
      </c>
      <c r="E361" t="str">
        <f t="shared" si="21"/>
        <v>z</v>
      </c>
      <c r="F361" t="str">
        <f t="shared" si="22"/>
        <v xml:space="preserve"> 0</v>
      </c>
      <c r="G361" t="str">
        <f t="shared" si="23"/>
        <v>18</v>
      </c>
    </row>
    <row r="362" spans="1:7" x14ac:dyDescent="0.35">
      <c r="A362">
        <v>50</v>
      </c>
      <c r="B362">
        <v>40</v>
      </c>
      <c r="C362">
        <f t="shared" si="20"/>
        <v>3240</v>
      </c>
      <c r="D362" t="s">
        <v>1136</v>
      </c>
      <c r="E362" t="str">
        <f t="shared" si="21"/>
        <v>a</v>
      </c>
      <c r="F362" t="str">
        <f t="shared" si="22"/>
        <v>47</v>
      </c>
      <c r="G362" t="str">
        <f t="shared" si="23"/>
        <v>34</v>
      </c>
    </row>
    <row r="363" spans="1:7" x14ac:dyDescent="0.35">
      <c r="A363">
        <v>50</v>
      </c>
      <c r="B363">
        <v>41</v>
      </c>
      <c r="C363">
        <f t="shared" si="20"/>
        <v>3241</v>
      </c>
      <c r="D363" t="s">
        <v>1137</v>
      </c>
      <c r="E363" t="str">
        <f t="shared" si="21"/>
        <v>n</v>
      </c>
      <c r="F363" t="str">
        <f t="shared" si="22"/>
        <v>49</v>
      </c>
      <c r="G363" t="str">
        <f t="shared" si="23"/>
        <v xml:space="preserve"> 6</v>
      </c>
    </row>
    <row r="364" spans="1:7" x14ac:dyDescent="0.35">
      <c r="A364">
        <v>50</v>
      </c>
      <c r="B364">
        <v>42</v>
      </c>
      <c r="C364">
        <f t="shared" si="20"/>
        <v>3242</v>
      </c>
      <c r="D364" t="s">
        <v>1138</v>
      </c>
      <c r="E364" t="str">
        <f t="shared" si="21"/>
        <v>a</v>
      </c>
      <c r="F364" t="str">
        <f t="shared" si="22"/>
        <v>50</v>
      </c>
      <c r="G364" t="str">
        <f t="shared" si="23"/>
        <v>26</v>
      </c>
    </row>
    <row r="365" spans="1:7" x14ac:dyDescent="0.35">
      <c r="A365">
        <v>50</v>
      </c>
      <c r="B365">
        <v>43</v>
      </c>
      <c r="C365">
        <f t="shared" si="20"/>
        <v>3243</v>
      </c>
      <c r="D365" t="s">
        <v>1139</v>
      </c>
      <c r="E365" t="str">
        <f t="shared" si="21"/>
        <v>y</v>
      </c>
      <c r="F365" t="str">
        <f t="shared" si="22"/>
        <v>50</v>
      </c>
      <c r="G365" t="str">
        <f t="shared" si="23"/>
        <v>24</v>
      </c>
    </row>
    <row r="366" spans="1:7" x14ac:dyDescent="0.35">
      <c r="A366">
        <v>50</v>
      </c>
      <c r="B366">
        <v>44</v>
      </c>
      <c r="C366">
        <f t="shared" si="20"/>
        <v>3244</v>
      </c>
      <c r="D366" t="s">
        <v>1140</v>
      </c>
      <c r="E366" t="str">
        <f t="shared" si="21"/>
        <v>p</v>
      </c>
      <c r="F366" t="str">
        <f t="shared" si="22"/>
        <v>26</v>
      </c>
      <c r="G366" t="str">
        <f t="shared" si="23"/>
        <v xml:space="preserve"> 0</v>
      </c>
    </row>
    <row r="367" spans="1:7" x14ac:dyDescent="0.35">
      <c r="A367">
        <v>50</v>
      </c>
      <c r="B367">
        <v>45</v>
      </c>
      <c r="C367">
        <f t="shared" si="20"/>
        <v>3245</v>
      </c>
      <c r="D367" t="s">
        <v>1141</v>
      </c>
      <c r="E367" t="str">
        <f t="shared" si="21"/>
        <v>z</v>
      </c>
      <c r="F367" t="str">
        <f t="shared" si="22"/>
        <v xml:space="preserve"> 2</v>
      </c>
      <c r="G367" t="str">
        <f t="shared" si="23"/>
        <v xml:space="preserve"> 0</v>
      </c>
    </row>
    <row r="368" spans="1:7" x14ac:dyDescent="0.35">
      <c r="A368">
        <v>50</v>
      </c>
      <c r="B368">
        <v>46</v>
      </c>
      <c r="C368">
        <f t="shared" si="20"/>
        <v>3246</v>
      </c>
      <c r="D368" t="s">
        <v>1142</v>
      </c>
      <c r="E368" t="str">
        <f t="shared" si="21"/>
        <v>u</v>
      </c>
      <c r="F368" t="str">
        <f t="shared" si="22"/>
        <v>49</v>
      </c>
      <c r="G368" t="str">
        <f t="shared" si="23"/>
        <v>24</v>
      </c>
    </row>
    <row r="369" spans="1:7" x14ac:dyDescent="0.35">
      <c r="A369">
        <v>50</v>
      </c>
      <c r="B369">
        <v>47</v>
      </c>
      <c r="C369">
        <f t="shared" si="20"/>
        <v>3247</v>
      </c>
      <c r="D369" t="s">
        <v>1143</v>
      </c>
      <c r="E369" t="str">
        <f t="shared" si="21"/>
        <v>p</v>
      </c>
      <c r="F369" t="str">
        <f t="shared" si="22"/>
        <v xml:space="preserve"> 6</v>
      </c>
      <c r="G369" t="str">
        <f t="shared" si="23"/>
        <v xml:space="preserve"> 0</v>
      </c>
    </row>
    <row r="370" spans="1:7" x14ac:dyDescent="0.35">
      <c r="A370">
        <v>50</v>
      </c>
      <c r="B370">
        <v>48</v>
      </c>
      <c r="C370">
        <f t="shared" si="20"/>
        <v>3248</v>
      </c>
      <c r="D370" t="s">
        <v>1144</v>
      </c>
      <c r="E370" t="str">
        <f t="shared" si="21"/>
        <v>u</v>
      </c>
      <c r="F370" t="str">
        <f t="shared" si="22"/>
        <v>50</v>
      </c>
      <c r="G370" t="str">
        <f t="shared" si="23"/>
        <v>14</v>
      </c>
    </row>
    <row r="371" spans="1:7" x14ac:dyDescent="0.35">
      <c r="A371">
        <v>50</v>
      </c>
      <c r="B371">
        <v>49</v>
      </c>
      <c r="C371">
        <f t="shared" si="20"/>
        <v>3249</v>
      </c>
      <c r="D371" t="s">
        <v>1145</v>
      </c>
      <c r="E371" t="str">
        <f t="shared" si="21"/>
        <v>p</v>
      </c>
      <c r="F371" t="str">
        <f t="shared" si="22"/>
        <v>10</v>
      </c>
      <c r="G371" t="str">
        <f t="shared" si="23"/>
        <v xml:space="preserve"> 0</v>
      </c>
    </row>
    <row r="372" spans="1:7" x14ac:dyDescent="0.35">
      <c r="A372">
        <v>50</v>
      </c>
      <c r="B372">
        <v>50</v>
      </c>
      <c r="C372">
        <f t="shared" si="20"/>
        <v>3250</v>
      </c>
      <c r="D372" t="s">
        <v>1146</v>
      </c>
      <c r="E372" t="str">
        <f t="shared" si="21"/>
        <v>u</v>
      </c>
      <c r="F372" t="str">
        <f t="shared" si="22"/>
        <v>50</v>
      </c>
      <c r="G372" t="str">
        <f t="shared" si="23"/>
        <v>14</v>
      </c>
    </row>
    <row r="373" spans="1:7" x14ac:dyDescent="0.35">
      <c r="A373">
        <v>50</v>
      </c>
      <c r="B373">
        <v>51</v>
      </c>
      <c r="C373">
        <f t="shared" si="20"/>
        <v>3251</v>
      </c>
      <c r="D373" t="s">
        <v>1147</v>
      </c>
      <c r="E373" t="str">
        <f t="shared" si="21"/>
        <v>b</v>
      </c>
      <c r="F373" t="str">
        <f t="shared" si="22"/>
        <v>47</v>
      </c>
      <c r="G373" t="str">
        <f t="shared" si="23"/>
        <v xml:space="preserve"> 6</v>
      </c>
    </row>
    <row r="374" spans="1:7" x14ac:dyDescent="0.35">
      <c r="A374">
        <v>50</v>
      </c>
      <c r="B374">
        <v>52</v>
      </c>
      <c r="C374">
        <f t="shared" si="20"/>
        <v>3252</v>
      </c>
      <c r="D374" t="s">
        <v>964</v>
      </c>
      <c r="E374" t="str">
        <f t="shared" si="21"/>
        <v>a</v>
      </c>
      <c r="F374" t="str">
        <f t="shared" si="22"/>
        <v>46</v>
      </c>
      <c r="G374" t="str">
        <f t="shared" si="23"/>
        <v xml:space="preserve"> 6</v>
      </c>
    </row>
    <row r="375" spans="1:7" x14ac:dyDescent="0.35">
      <c r="A375">
        <v>50</v>
      </c>
      <c r="B375">
        <v>53</v>
      </c>
      <c r="C375">
        <f t="shared" si="20"/>
        <v>3253</v>
      </c>
      <c r="D375" t="s">
        <v>1148</v>
      </c>
      <c r="E375" t="str">
        <f t="shared" si="21"/>
        <v>c</v>
      </c>
      <c r="F375" t="str">
        <f t="shared" si="22"/>
        <v>47</v>
      </c>
      <c r="G375" t="str">
        <f t="shared" si="23"/>
        <v xml:space="preserve"> 6</v>
      </c>
    </row>
    <row r="376" spans="1:7" x14ac:dyDescent="0.35">
      <c r="A376">
        <v>50</v>
      </c>
      <c r="B376">
        <v>54</v>
      </c>
      <c r="C376">
        <f t="shared" si="20"/>
        <v>3254</v>
      </c>
      <c r="D376" t="s">
        <v>1149</v>
      </c>
      <c r="E376" t="str">
        <f t="shared" si="21"/>
        <v>b</v>
      </c>
      <c r="F376" t="str">
        <f t="shared" si="22"/>
        <v>48</v>
      </c>
      <c r="G376" t="str">
        <f t="shared" si="23"/>
        <v>36</v>
      </c>
    </row>
    <row r="377" spans="1:7" x14ac:dyDescent="0.35">
      <c r="A377">
        <v>50</v>
      </c>
      <c r="B377">
        <v>55</v>
      </c>
      <c r="C377">
        <f t="shared" si="20"/>
        <v>3255</v>
      </c>
      <c r="D377" t="s">
        <v>1150</v>
      </c>
      <c r="E377" t="str">
        <f t="shared" si="21"/>
        <v>n</v>
      </c>
      <c r="F377" t="str">
        <f t="shared" si="22"/>
        <v>48</v>
      </c>
      <c r="G377" t="str">
        <f t="shared" si="23"/>
        <v>36</v>
      </c>
    </row>
    <row r="378" spans="1:7" x14ac:dyDescent="0.35">
      <c r="A378">
        <v>50</v>
      </c>
      <c r="B378">
        <v>56</v>
      </c>
      <c r="C378">
        <f t="shared" si="20"/>
        <v>3256</v>
      </c>
      <c r="D378" t="s">
        <v>1151</v>
      </c>
      <c r="E378" t="str">
        <f t="shared" si="21"/>
        <v>h</v>
      </c>
      <c r="F378" t="str">
        <f t="shared" si="22"/>
        <v>48</v>
      </c>
      <c r="G378" t="str">
        <f t="shared" si="23"/>
        <v>36</v>
      </c>
    </row>
    <row r="379" spans="1:7" x14ac:dyDescent="0.35">
      <c r="A379">
        <v>50</v>
      </c>
      <c r="B379">
        <v>57</v>
      </c>
      <c r="C379">
        <f t="shared" si="20"/>
        <v>3257</v>
      </c>
      <c r="D379" t="s">
        <v>1152</v>
      </c>
      <c r="E379" t="str">
        <f t="shared" si="21"/>
        <v>m</v>
      </c>
      <c r="F379" t="str">
        <f t="shared" si="22"/>
        <v>46</v>
      </c>
      <c r="G379" t="str">
        <f t="shared" si="23"/>
        <v>50</v>
      </c>
    </row>
    <row r="380" spans="1:7" x14ac:dyDescent="0.35">
      <c r="A380">
        <v>50</v>
      </c>
      <c r="B380">
        <v>58</v>
      </c>
      <c r="C380">
        <f t="shared" si="20"/>
        <v>3258</v>
      </c>
      <c r="D380" t="s">
        <v>1153</v>
      </c>
      <c r="E380" t="str">
        <f t="shared" si="21"/>
        <v>a</v>
      </c>
      <c r="F380" t="str">
        <f t="shared" si="22"/>
        <v>48</v>
      </c>
      <c r="G380" t="str">
        <f t="shared" si="23"/>
        <v>36</v>
      </c>
    </row>
    <row r="381" spans="1:7" x14ac:dyDescent="0.35">
      <c r="A381">
        <v>50</v>
      </c>
      <c r="B381">
        <v>59</v>
      </c>
      <c r="C381">
        <f t="shared" si="20"/>
        <v>3259</v>
      </c>
      <c r="D381" t="s">
        <v>1154</v>
      </c>
      <c r="E381" t="str">
        <f t="shared" si="21"/>
        <v>h</v>
      </c>
      <c r="F381" t="str">
        <f t="shared" si="22"/>
        <v>48</v>
      </c>
      <c r="G381" t="str">
        <f t="shared" si="23"/>
        <v>36</v>
      </c>
    </row>
    <row r="382" spans="1:7" x14ac:dyDescent="0.35">
      <c r="A382">
        <v>50</v>
      </c>
      <c r="B382">
        <v>60</v>
      </c>
      <c r="C382">
        <f t="shared" si="20"/>
        <v>3260</v>
      </c>
      <c r="D382" t="s">
        <v>1155</v>
      </c>
      <c r="E382" t="str">
        <f t="shared" si="21"/>
        <v>u</v>
      </c>
      <c r="F382" t="str">
        <f t="shared" si="22"/>
        <v>45</v>
      </c>
      <c r="G382" t="str">
        <f t="shared" si="23"/>
        <v>22</v>
      </c>
    </row>
    <row r="383" spans="1:7" x14ac:dyDescent="0.35">
      <c r="A383">
        <v>50</v>
      </c>
      <c r="B383">
        <v>61</v>
      </c>
      <c r="C383">
        <f t="shared" si="20"/>
        <v>3261</v>
      </c>
      <c r="D383" t="s">
        <v>1156</v>
      </c>
      <c r="E383" t="str">
        <f t="shared" si="21"/>
        <v>z</v>
      </c>
      <c r="F383" t="str">
        <f t="shared" si="22"/>
        <v xml:space="preserve"> 4</v>
      </c>
      <c r="G383" t="str">
        <f t="shared" si="23"/>
        <v xml:space="preserve"> 0</v>
      </c>
    </row>
    <row r="384" spans="1:7" x14ac:dyDescent="0.35">
      <c r="A384">
        <v>50</v>
      </c>
      <c r="B384">
        <v>62</v>
      </c>
      <c r="C384">
        <f t="shared" si="20"/>
        <v>3262</v>
      </c>
      <c r="D384" t="s">
        <v>1157</v>
      </c>
      <c r="E384" t="str">
        <f t="shared" si="21"/>
        <v>p</v>
      </c>
      <c r="F384" t="str">
        <f t="shared" si="22"/>
        <v>16</v>
      </c>
      <c r="G384" t="str">
        <f t="shared" si="23"/>
        <v xml:space="preserve"> 0</v>
      </c>
    </row>
    <row r="385" spans="1:7" x14ac:dyDescent="0.35">
      <c r="A385">
        <v>50</v>
      </c>
      <c r="B385">
        <v>63</v>
      </c>
      <c r="C385">
        <f t="shared" si="20"/>
        <v>3263</v>
      </c>
      <c r="D385" t="s">
        <v>1158</v>
      </c>
      <c r="E385" t="str">
        <f t="shared" si="21"/>
        <v>u</v>
      </c>
      <c r="F385" t="str">
        <f t="shared" si="22"/>
        <v>46</v>
      </c>
      <c r="G385" t="str">
        <f t="shared" si="23"/>
        <v>60</v>
      </c>
    </row>
    <row r="386" spans="1:7" x14ac:dyDescent="0.35">
      <c r="A386">
        <v>51</v>
      </c>
      <c r="B386">
        <v>0</v>
      </c>
      <c r="C386">
        <f t="shared" si="20"/>
        <v>3264</v>
      </c>
      <c r="D386" t="s">
        <v>1159</v>
      </c>
      <c r="E386" t="str">
        <f t="shared" si="21"/>
        <v>b</v>
      </c>
      <c r="F386" t="str">
        <f t="shared" si="22"/>
        <v>49</v>
      </c>
      <c r="G386" t="str">
        <f t="shared" si="23"/>
        <v>30</v>
      </c>
    </row>
    <row r="387" spans="1:7" x14ac:dyDescent="0.35">
      <c r="A387">
        <v>51</v>
      </c>
      <c r="B387">
        <v>1</v>
      </c>
      <c r="C387">
        <f t="shared" ref="C387:C449" si="24">A387*64+B387</f>
        <v>3265</v>
      </c>
      <c r="D387" t="s">
        <v>1160</v>
      </c>
      <c r="E387" t="str">
        <f t="shared" ref="E387:E449" si="25">MID(D387,4,1)</f>
        <v>e</v>
      </c>
      <c r="F387" t="str">
        <f t="shared" ref="F387:F449" si="26">MID(D387,6,2)</f>
        <v>51</v>
      </c>
      <c r="G387" t="str">
        <f t="shared" ref="G387:G449" si="27">MID(D387,9,2)</f>
        <v>24</v>
      </c>
    </row>
    <row r="388" spans="1:7" x14ac:dyDescent="0.35">
      <c r="A388">
        <v>51</v>
      </c>
      <c r="B388">
        <v>2</v>
      </c>
      <c r="C388">
        <f t="shared" si="24"/>
        <v>3266</v>
      </c>
      <c r="D388" t="s">
        <v>1161</v>
      </c>
      <c r="E388" t="str">
        <f t="shared" si="25"/>
        <v>u</v>
      </c>
      <c r="F388" t="str">
        <f t="shared" si="26"/>
        <v>51</v>
      </c>
      <c r="G388" t="str">
        <f t="shared" si="27"/>
        <v xml:space="preserve"> 6</v>
      </c>
    </row>
    <row r="389" spans="1:7" x14ac:dyDescent="0.35">
      <c r="A389">
        <v>51</v>
      </c>
      <c r="B389">
        <v>3</v>
      </c>
      <c r="C389">
        <f t="shared" si="24"/>
        <v>3267</v>
      </c>
      <c r="D389" t="s">
        <v>1162</v>
      </c>
      <c r="E389" t="str">
        <f t="shared" si="25"/>
        <v>s</v>
      </c>
      <c r="F389" t="str">
        <f t="shared" si="26"/>
        <v>51</v>
      </c>
      <c r="G389" t="str">
        <f t="shared" si="27"/>
        <v>14</v>
      </c>
    </row>
    <row r="390" spans="1:7" x14ac:dyDescent="0.35">
      <c r="A390">
        <v>51</v>
      </c>
      <c r="B390">
        <v>4</v>
      </c>
      <c r="C390">
        <f t="shared" si="24"/>
        <v>3268</v>
      </c>
      <c r="D390" t="s">
        <v>1163</v>
      </c>
      <c r="E390" t="str">
        <f t="shared" si="25"/>
        <v>t</v>
      </c>
      <c r="F390" t="str">
        <f t="shared" si="26"/>
        <v>51</v>
      </c>
      <c r="G390" t="str">
        <f t="shared" si="27"/>
        <v>40</v>
      </c>
    </row>
    <row r="391" spans="1:7" x14ac:dyDescent="0.35">
      <c r="A391">
        <v>51</v>
      </c>
      <c r="B391">
        <v>5</v>
      </c>
      <c r="C391">
        <f t="shared" si="24"/>
        <v>3269</v>
      </c>
      <c r="D391" t="s">
        <v>1164</v>
      </c>
      <c r="E391" t="str">
        <f t="shared" si="25"/>
        <v>u</v>
      </c>
      <c r="F391" t="str">
        <f t="shared" si="26"/>
        <v>51</v>
      </c>
      <c r="G391" t="str">
        <f t="shared" si="27"/>
        <v>34</v>
      </c>
    </row>
    <row r="392" spans="1:7" x14ac:dyDescent="0.35">
      <c r="A392">
        <v>51</v>
      </c>
      <c r="B392">
        <v>6</v>
      </c>
      <c r="C392">
        <f t="shared" si="24"/>
        <v>3270</v>
      </c>
      <c r="D392" t="s">
        <v>1165</v>
      </c>
      <c r="E392" t="str">
        <f t="shared" si="25"/>
        <v>z</v>
      </c>
      <c r="F392" t="str">
        <f t="shared" si="26"/>
        <v xml:space="preserve"> 0</v>
      </c>
      <c r="G392" t="str">
        <f t="shared" si="27"/>
        <v xml:space="preserve"> 0</v>
      </c>
    </row>
    <row r="393" spans="1:7" x14ac:dyDescent="0.35">
      <c r="A393">
        <v>51</v>
      </c>
      <c r="B393">
        <v>7</v>
      </c>
      <c r="C393">
        <f t="shared" si="24"/>
        <v>3271</v>
      </c>
      <c r="D393" t="s">
        <v>1166</v>
      </c>
      <c r="E393" t="str">
        <f t="shared" si="25"/>
        <v>a</v>
      </c>
      <c r="F393" t="str">
        <f t="shared" si="26"/>
        <v xml:space="preserve"> 0</v>
      </c>
      <c r="G393" t="str">
        <f t="shared" si="27"/>
        <v xml:space="preserve"> 0</v>
      </c>
    </row>
    <row r="394" spans="1:7" x14ac:dyDescent="0.35">
      <c r="A394">
        <v>51</v>
      </c>
      <c r="B394">
        <v>8</v>
      </c>
      <c r="C394">
        <f t="shared" si="24"/>
        <v>3272</v>
      </c>
      <c r="D394" t="s">
        <v>1167</v>
      </c>
      <c r="E394" t="str">
        <f t="shared" si="25"/>
        <v>z</v>
      </c>
      <c r="F394" t="str">
        <f t="shared" si="26"/>
        <v xml:space="preserve"> 0</v>
      </c>
      <c r="G394" t="str">
        <f t="shared" si="27"/>
        <v xml:space="preserve"> 0</v>
      </c>
    </row>
    <row r="395" spans="1:7" x14ac:dyDescent="0.35">
      <c r="A395">
        <v>51</v>
      </c>
      <c r="B395">
        <v>9</v>
      </c>
      <c r="C395">
        <f t="shared" si="24"/>
        <v>3273</v>
      </c>
      <c r="D395" t="s">
        <v>1168</v>
      </c>
      <c r="E395" t="str">
        <f t="shared" si="25"/>
        <v>z</v>
      </c>
      <c r="F395" t="str">
        <f t="shared" si="26"/>
        <v>63</v>
      </c>
      <c r="G395" t="str">
        <f t="shared" si="27"/>
        <v xml:space="preserve"> 0</v>
      </c>
    </row>
    <row r="396" spans="1:7" x14ac:dyDescent="0.35">
      <c r="A396">
        <v>51</v>
      </c>
      <c r="B396">
        <v>10</v>
      </c>
      <c r="C396">
        <f t="shared" si="24"/>
        <v>3274</v>
      </c>
      <c r="D396" t="s">
        <v>1169</v>
      </c>
      <c r="E396" t="str">
        <f t="shared" si="25"/>
        <v>p</v>
      </c>
      <c r="F396" t="str">
        <f t="shared" si="26"/>
        <v xml:space="preserve"> 0</v>
      </c>
      <c r="G396" t="str">
        <f t="shared" si="27"/>
        <v>52</v>
      </c>
    </row>
    <row r="397" spans="1:7" x14ac:dyDescent="0.35">
      <c r="A397">
        <v>51</v>
      </c>
      <c r="B397">
        <v>11</v>
      </c>
      <c r="C397">
        <f t="shared" si="24"/>
        <v>3275</v>
      </c>
      <c r="D397" t="s">
        <v>1170</v>
      </c>
      <c r="E397" t="str">
        <f t="shared" si="25"/>
        <v>z</v>
      </c>
      <c r="F397" t="str">
        <f t="shared" si="26"/>
        <v xml:space="preserve"> 0</v>
      </c>
      <c r="G397" t="str">
        <f t="shared" si="27"/>
        <v xml:space="preserve"> 6</v>
      </c>
    </row>
    <row r="398" spans="1:7" x14ac:dyDescent="0.35">
      <c r="A398">
        <v>51</v>
      </c>
      <c r="B398">
        <v>12</v>
      </c>
      <c r="C398">
        <f t="shared" si="24"/>
        <v>3276</v>
      </c>
      <c r="D398" t="s">
        <v>1171</v>
      </c>
      <c r="E398" t="str">
        <f t="shared" si="25"/>
        <v>z</v>
      </c>
      <c r="F398" t="str">
        <f t="shared" si="26"/>
        <v xml:space="preserve"> 0</v>
      </c>
      <c r="G398" t="str">
        <f t="shared" si="27"/>
        <v xml:space="preserve"> 2</v>
      </c>
    </row>
    <row r="399" spans="1:7" x14ac:dyDescent="0.35">
      <c r="A399">
        <v>51</v>
      </c>
      <c r="B399">
        <v>13</v>
      </c>
      <c r="C399">
        <f t="shared" si="24"/>
        <v>3277</v>
      </c>
      <c r="D399" t="s">
        <v>1172</v>
      </c>
      <c r="E399" t="str">
        <f t="shared" si="25"/>
        <v>z</v>
      </c>
      <c r="F399" t="str">
        <f t="shared" si="26"/>
        <v xml:space="preserve"> 0</v>
      </c>
      <c r="G399" t="str">
        <f t="shared" si="27"/>
        <v xml:space="preserve"> 2</v>
      </c>
    </row>
    <row r="400" spans="1:7" x14ac:dyDescent="0.35">
      <c r="A400">
        <v>51</v>
      </c>
      <c r="B400">
        <v>14</v>
      </c>
      <c r="C400">
        <f t="shared" si="24"/>
        <v>3278</v>
      </c>
      <c r="D400" t="s">
        <v>1173</v>
      </c>
      <c r="E400" t="str">
        <f t="shared" si="25"/>
        <v>b</v>
      </c>
      <c r="F400" t="str">
        <f t="shared" si="26"/>
        <v>51</v>
      </c>
      <c r="G400" t="str">
        <f t="shared" si="27"/>
        <v xml:space="preserve"> 0</v>
      </c>
    </row>
    <row r="401" spans="1:7" x14ac:dyDescent="0.35">
      <c r="A401">
        <v>51</v>
      </c>
      <c r="B401">
        <v>15</v>
      </c>
      <c r="C401">
        <f t="shared" si="24"/>
        <v>3279</v>
      </c>
      <c r="D401" t="s">
        <v>1174</v>
      </c>
      <c r="E401" t="str">
        <f t="shared" si="25"/>
        <v>a</v>
      </c>
      <c r="F401" t="str">
        <f t="shared" si="26"/>
        <v>51</v>
      </c>
      <c r="G401" t="str">
        <f t="shared" si="27"/>
        <v>38</v>
      </c>
    </row>
    <row r="402" spans="1:7" x14ac:dyDescent="0.35">
      <c r="A402">
        <v>51</v>
      </c>
      <c r="B402">
        <v>16</v>
      </c>
      <c r="C402">
        <f t="shared" si="24"/>
        <v>3280</v>
      </c>
      <c r="D402" t="s">
        <v>1175</v>
      </c>
      <c r="E402" t="str">
        <f t="shared" si="25"/>
        <v>u</v>
      </c>
      <c r="F402" t="str">
        <f t="shared" si="26"/>
        <v>51</v>
      </c>
      <c r="G402" t="str">
        <f t="shared" si="27"/>
        <v>20</v>
      </c>
    </row>
    <row r="403" spans="1:7" x14ac:dyDescent="0.35">
      <c r="A403">
        <v>51</v>
      </c>
      <c r="B403">
        <v>17</v>
      </c>
      <c r="C403">
        <f t="shared" si="24"/>
        <v>3281</v>
      </c>
      <c r="D403" t="s">
        <v>1176</v>
      </c>
      <c r="E403" t="str">
        <f t="shared" si="25"/>
        <v>b</v>
      </c>
      <c r="F403" t="str">
        <f t="shared" si="26"/>
        <v>51</v>
      </c>
      <c r="G403" t="str">
        <f t="shared" si="27"/>
        <v>38</v>
      </c>
    </row>
    <row r="404" spans="1:7" x14ac:dyDescent="0.35">
      <c r="A404">
        <v>51</v>
      </c>
      <c r="B404">
        <v>18</v>
      </c>
      <c r="C404">
        <f t="shared" si="24"/>
        <v>3282</v>
      </c>
      <c r="D404" t="s">
        <v>1177</v>
      </c>
      <c r="E404" t="str">
        <f t="shared" si="25"/>
        <v>a</v>
      </c>
      <c r="F404" t="str">
        <f t="shared" si="26"/>
        <v>51</v>
      </c>
      <c r="G404" t="str">
        <f t="shared" si="27"/>
        <v xml:space="preserve"> 0</v>
      </c>
    </row>
    <row r="405" spans="1:7" x14ac:dyDescent="0.35">
      <c r="A405">
        <v>51</v>
      </c>
      <c r="B405">
        <v>19</v>
      </c>
      <c r="C405">
        <f t="shared" si="24"/>
        <v>3283</v>
      </c>
      <c r="D405" t="s">
        <v>1178</v>
      </c>
      <c r="E405" t="str">
        <f t="shared" si="25"/>
        <v>u</v>
      </c>
      <c r="F405" t="str">
        <f t="shared" si="26"/>
        <v>51</v>
      </c>
      <c r="G405" t="str">
        <f t="shared" si="27"/>
        <v>48</v>
      </c>
    </row>
    <row r="406" spans="1:7" x14ac:dyDescent="0.35">
      <c r="A406">
        <v>51</v>
      </c>
      <c r="B406">
        <v>20</v>
      </c>
      <c r="C406">
        <f t="shared" si="24"/>
        <v>3284</v>
      </c>
      <c r="D406" t="s">
        <v>1179</v>
      </c>
      <c r="E406" t="str">
        <f t="shared" si="25"/>
        <v>a</v>
      </c>
      <c r="F406" t="str">
        <f t="shared" si="26"/>
        <v>51</v>
      </c>
      <c r="G406" t="str">
        <f t="shared" si="27"/>
        <v>12</v>
      </c>
    </row>
    <row r="407" spans="1:7" x14ac:dyDescent="0.35">
      <c r="A407">
        <v>51</v>
      </c>
      <c r="B407">
        <v>21</v>
      </c>
      <c r="C407">
        <f t="shared" si="24"/>
        <v>3285</v>
      </c>
      <c r="D407" t="s">
        <v>1180</v>
      </c>
      <c r="E407" t="str">
        <f t="shared" si="25"/>
        <v>h</v>
      </c>
      <c r="F407" t="str">
        <f t="shared" si="26"/>
        <v>51</v>
      </c>
      <c r="G407" t="str">
        <f t="shared" si="27"/>
        <v>14</v>
      </c>
    </row>
    <row r="408" spans="1:7" x14ac:dyDescent="0.35">
      <c r="A408">
        <v>51</v>
      </c>
      <c r="B408">
        <v>22</v>
      </c>
      <c r="C408">
        <f t="shared" si="24"/>
        <v>3286</v>
      </c>
      <c r="D408" t="s">
        <v>1181</v>
      </c>
      <c r="E408" t="str">
        <f t="shared" si="25"/>
        <v>m</v>
      </c>
      <c r="F408" t="str">
        <f t="shared" si="26"/>
        <v>51</v>
      </c>
      <c r="G408" t="str">
        <f t="shared" si="27"/>
        <v>16</v>
      </c>
    </row>
    <row r="409" spans="1:7" x14ac:dyDescent="0.35">
      <c r="A409">
        <v>51</v>
      </c>
      <c r="B409">
        <v>23</v>
      </c>
      <c r="C409">
        <f t="shared" si="24"/>
        <v>3287</v>
      </c>
      <c r="D409" t="s">
        <v>1182</v>
      </c>
      <c r="E409" t="str">
        <f t="shared" si="25"/>
        <v>e</v>
      </c>
      <c r="F409" t="str">
        <f t="shared" si="26"/>
        <v>51</v>
      </c>
      <c r="G409" t="str">
        <f t="shared" si="27"/>
        <v>18</v>
      </c>
    </row>
    <row r="410" spans="1:7" x14ac:dyDescent="0.35">
      <c r="A410">
        <v>51</v>
      </c>
      <c r="B410">
        <v>24</v>
      </c>
      <c r="C410">
        <f t="shared" si="24"/>
        <v>3288</v>
      </c>
      <c r="D410" t="s">
        <v>1183</v>
      </c>
      <c r="E410" t="str">
        <f t="shared" si="25"/>
        <v>a</v>
      </c>
      <c r="F410" t="str">
        <f t="shared" si="26"/>
        <v>51</v>
      </c>
      <c r="G410" t="str">
        <f t="shared" si="27"/>
        <v>20</v>
      </c>
    </row>
    <row r="411" spans="1:7" x14ac:dyDescent="0.35">
      <c r="A411">
        <v>51</v>
      </c>
      <c r="B411">
        <v>25</v>
      </c>
      <c r="C411">
        <f t="shared" si="24"/>
        <v>3289</v>
      </c>
      <c r="D411" t="s">
        <v>1184</v>
      </c>
      <c r="E411" t="str">
        <f t="shared" si="25"/>
        <v>c</v>
      </c>
      <c r="F411" t="str">
        <f t="shared" si="26"/>
        <v>51</v>
      </c>
      <c r="G411" t="str">
        <f t="shared" si="27"/>
        <v>30</v>
      </c>
    </row>
    <row r="412" spans="1:7" x14ac:dyDescent="0.35">
      <c r="A412">
        <v>51</v>
      </c>
      <c r="B412">
        <v>26</v>
      </c>
      <c r="C412">
        <f t="shared" si="24"/>
        <v>3290</v>
      </c>
      <c r="D412" t="s">
        <v>1185</v>
      </c>
      <c r="E412" t="str">
        <f t="shared" si="25"/>
        <v>u</v>
      </c>
      <c r="F412" t="str">
        <f t="shared" si="26"/>
        <v>51</v>
      </c>
      <c r="G412" t="str">
        <f t="shared" si="27"/>
        <v>28</v>
      </c>
    </row>
    <row r="413" spans="1:7" x14ac:dyDescent="0.35">
      <c r="A413">
        <v>51</v>
      </c>
      <c r="B413">
        <v>27</v>
      </c>
      <c r="C413">
        <f t="shared" si="24"/>
        <v>3291</v>
      </c>
      <c r="D413" t="s">
        <v>1186</v>
      </c>
      <c r="E413" t="str">
        <f t="shared" si="25"/>
        <v>a</v>
      </c>
      <c r="F413" t="str">
        <f t="shared" si="26"/>
        <v>51</v>
      </c>
      <c r="G413" t="str">
        <f t="shared" si="27"/>
        <v>12</v>
      </c>
    </row>
    <row r="414" spans="1:7" x14ac:dyDescent="0.35">
      <c r="A414">
        <v>51</v>
      </c>
      <c r="B414">
        <v>28</v>
      </c>
      <c r="C414">
        <f t="shared" si="24"/>
        <v>3292</v>
      </c>
      <c r="D414" t="s">
        <v>1187</v>
      </c>
      <c r="E414" t="str">
        <f t="shared" si="25"/>
        <v>h</v>
      </c>
      <c r="F414" t="str">
        <f t="shared" si="26"/>
        <v>51</v>
      </c>
      <c r="G414" t="str">
        <f t="shared" si="27"/>
        <v>14</v>
      </c>
    </row>
    <row r="415" spans="1:7" x14ac:dyDescent="0.35">
      <c r="A415">
        <v>51</v>
      </c>
      <c r="B415">
        <v>29</v>
      </c>
      <c r="C415">
        <f t="shared" si="24"/>
        <v>3293</v>
      </c>
      <c r="D415" t="s">
        <v>1188</v>
      </c>
      <c r="E415" t="str">
        <f t="shared" si="25"/>
        <v>m</v>
      </c>
      <c r="F415" t="str">
        <f t="shared" si="26"/>
        <v>51</v>
      </c>
      <c r="G415" t="str">
        <f t="shared" si="27"/>
        <v>16</v>
      </c>
    </row>
    <row r="416" spans="1:7" x14ac:dyDescent="0.35">
      <c r="A416">
        <v>51</v>
      </c>
      <c r="B416">
        <v>30</v>
      </c>
      <c r="C416">
        <f t="shared" si="24"/>
        <v>3294</v>
      </c>
      <c r="D416" t="s">
        <v>1189</v>
      </c>
      <c r="E416" t="str">
        <f t="shared" si="25"/>
        <v>e</v>
      </c>
      <c r="F416" t="str">
        <f t="shared" si="26"/>
        <v>51</v>
      </c>
      <c r="G416" t="str">
        <f t="shared" si="27"/>
        <v>18</v>
      </c>
    </row>
    <row r="417" spans="1:7" x14ac:dyDescent="0.35">
      <c r="A417">
        <v>51</v>
      </c>
      <c r="B417">
        <v>31</v>
      </c>
      <c r="C417">
        <f t="shared" si="24"/>
        <v>3295</v>
      </c>
      <c r="D417" t="s">
        <v>1190</v>
      </c>
      <c r="E417" t="str">
        <f t="shared" si="25"/>
        <v>a</v>
      </c>
      <c r="F417" t="str">
        <f t="shared" si="26"/>
        <v>51</v>
      </c>
      <c r="G417" t="str">
        <f t="shared" si="27"/>
        <v>20</v>
      </c>
    </row>
    <row r="418" spans="1:7" x14ac:dyDescent="0.35">
      <c r="A418">
        <v>51</v>
      </c>
      <c r="B418">
        <v>32</v>
      </c>
      <c r="C418">
        <f t="shared" si="24"/>
        <v>3296</v>
      </c>
      <c r="D418" t="s">
        <v>1191</v>
      </c>
      <c r="E418" t="str">
        <f t="shared" si="25"/>
        <v>c</v>
      </c>
      <c r="F418" t="str">
        <f t="shared" si="26"/>
        <v>51</v>
      </c>
      <c r="G418" t="str">
        <f t="shared" si="27"/>
        <v>30</v>
      </c>
    </row>
    <row r="419" spans="1:7" x14ac:dyDescent="0.35">
      <c r="A419">
        <v>51</v>
      </c>
      <c r="B419">
        <v>33</v>
      </c>
      <c r="C419">
        <f t="shared" si="24"/>
        <v>3297</v>
      </c>
      <c r="D419" t="s">
        <v>1192</v>
      </c>
      <c r="E419" t="str">
        <f t="shared" si="25"/>
        <v>s</v>
      </c>
      <c r="F419" t="str">
        <f t="shared" si="26"/>
        <v>51</v>
      </c>
      <c r="G419" t="str">
        <f t="shared" si="27"/>
        <v>24</v>
      </c>
    </row>
    <row r="420" spans="1:7" x14ac:dyDescent="0.35">
      <c r="A420">
        <v>51</v>
      </c>
      <c r="B420">
        <v>34</v>
      </c>
      <c r="C420">
        <f t="shared" si="24"/>
        <v>3298</v>
      </c>
      <c r="D420" t="s">
        <v>1193</v>
      </c>
      <c r="E420" t="str">
        <f t="shared" si="25"/>
        <v>a</v>
      </c>
      <c r="F420" t="str">
        <f t="shared" si="26"/>
        <v>51</v>
      </c>
      <c r="G420" t="str">
        <f t="shared" si="27"/>
        <v>26</v>
      </c>
    </row>
    <row r="421" spans="1:7" x14ac:dyDescent="0.35">
      <c r="A421">
        <v>51</v>
      </c>
      <c r="B421">
        <v>35</v>
      </c>
      <c r="C421">
        <f t="shared" si="24"/>
        <v>3299</v>
      </c>
      <c r="D421" t="s">
        <v>1194</v>
      </c>
      <c r="E421" t="str">
        <f t="shared" si="25"/>
        <v>z</v>
      </c>
      <c r="F421" t="str">
        <f t="shared" si="26"/>
        <v xml:space="preserve"> 0</v>
      </c>
      <c r="G421" t="str">
        <f t="shared" si="27"/>
        <v xml:space="preserve"> 0</v>
      </c>
    </row>
    <row r="422" spans="1:7" x14ac:dyDescent="0.35">
      <c r="A422">
        <v>51</v>
      </c>
      <c r="B422">
        <v>36</v>
      </c>
      <c r="C422">
        <f t="shared" si="24"/>
        <v>3300</v>
      </c>
      <c r="D422" t="s">
        <v>1195</v>
      </c>
      <c r="E422" t="str">
        <f t="shared" si="25"/>
        <v>t</v>
      </c>
      <c r="F422" t="str">
        <f t="shared" si="26"/>
        <v>51</v>
      </c>
      <c r="G422" t="str">
        <f t="shared" si="27"/>
        <v xml:space="preserve"> 0</v>
      </c>
    </row>
    <row r="423" spans="1:7" x14ac:dyDescent="0.35">
      <c r="A423">
        <v>51</v>
      </c>
      <c r="B423">
        <v>37</v>
      </c>
      <c r="C423">
        <f t="shared" si="24"/>
        <v>3301</v>
      </c>
      <c r="D423" t="s">
        <v>1196</v>
      </c>
      <c r="E423" t="str">
        <f t="shared" si="25"/>
        <v>u</v>
      </c>
      <c r="F423" t="str">
        <f t="shared" si="26"/>
        <v>51</v>
      </c>
      <c r="G423" t="str">
        <f t="shared" si="27"/>
        <v>30</v>
      </c>
    </row>
    <row r="424" spans="1:7" x14ac:dyDescent="0.35">
      <c r="A424">
        <v>51</v>
      </c>
      <c r="B424">
        <v>38</v>
      </c>
      <c r="C424">
        <f t="shared" si="24"/>
        <v>3302</v>
      </c>
      <c r="D424" t="s">
        <v>1197</v>
      </c>
      <c r="E424" t="str">
        <f t="shared" si="25"/>
        <v>z</v>
      </c>
      <c r="F424" t="str">
        <f t="shared" si="26"/>
        <v xml:space="preserve"> 1</v>
      </c>
      <c r="G424" t="str">
        <f t="shared" si="27"/>
        <v xml:space="preserve"> 0</v>
      </c>
    </row>
    <row r="425" spans="1:7" x14ac:dyDescent="0.35">
      <c r="A425">
        <v>51</v>
      </c>
      <c r="B425">
        <v>39</v>
      </c>
      <c r="C425">
        <f t="shared" si="24"/>
        <v>3303</v>
      </c>
      <c r="D425" t="s">
        <v>1198</v>
      </c>
      <c r="E425" t="str">
        <f t="shared" si="25"/>
        <v>z</v>
      </c>
      <c r="F425" t="str">
        <f t="shared" si="26"/>
        <v xml:space="preserve"> 0</v>
      </c>
      <c r="G425" t="str">
        <f t="shared" si="27"/>
        <v xml:space="preserve"> 0</v>
      </c>
    </row>
    <row r="426" spans="1:7" x14ac:dyDescent="0.35">
      <c r="A426">
        <v>51</v>
      </c>
      <c r="B426">
        <v>40</v>
      </c>
      <c r="C426">
        <f t="shared" si="24"/>
        <v>3304</v>
      </c>
      <c r="D426" t="s">
        <v>1199</v>
      </c>
      <c r="E426" t="str">
        <f t="shared" si="25"/>
        <v>b</v>
      </c>
      <c r="F426" t="str">
        <f t="shared" si="26"/>
        <v>51</v>
      </c>
      <c r="G426" t="str">
        <f t="shared" si="27"/>
        <v xml:space="preserve"> 0</v>
      </c>
    </row>
    <row r="427" spans="1:7" x14ac:dyDescent="0.35">
      <c r="A427">
        <v>51</v>
      </c>
      <c r="B427">
        <v>41</v>
      </c>
      <c r="C427">
        <f t="shared" si="24"/>
        <v>3305</v>
      </c>
      <c r="D427" t="s">
        <v>1200</v>
      </c>
      <c r="E427" t="str">
        <f t="shared" si="25"/>
        <v>u</v>
      </c>
      <c r="F427" t="str">
        <f t="shared" si="26"/>
        <v>51</v>
      </c>
      <c r="G427" t="str">
        <f t="shared" si="27"/>
        <v>48</v>
      </c>
    </row>
    <row r="428" spans="1:7" x14ac:dyDescent="0.35">
      <c r="A428">
        <v>51</v>
      </c>
      <c r="B428">
        <v>42</v>
      </c>
      <c r="C428">
        <f t="shared" si="24"/>
        <v>3306</v>
      </c>
      <c r="D428" t="s">
        <v>1201</v>
      </c>
      <c r="E428" t="str">
        <f t="shared" si="25"/>
        <v>y</v>
      </c>
      <c r="F428" t="str">
        <f t="shared" si="26"/>
        <v>51</v>
      </c>
      <c r="G428" t="str">
        <f t="shared" si="27"/>
        <v xml:space="preserve"> 0</v>
      </c>
    </row>
    <row r="429" spans="1:7" x14ac:dyDescent="0.35">
      <c r="A429">
        <v>51</v>
      </c>
      <c r="B429">
        <v>43</v>
      </c>
      <c r="C429">
        <f t="shared" si="24"/>
        <v>3307</v>
      </c>
      <c r="D429" t="s">
        <v>1202</v>
      </c>
      <c r="E429" t="str">
        <f t="shared" si="25"/>
        <v>u</v>
      </c>
      <c r="F429" t="str">
        <f t="shared" si="26"/>
        <v>51</v>
      </c>
      <c r="G429" t="str">
        <f t="shared" si="27"/>
        <v>28</v>
      </c>
    </row>
    <row r="430" spans="1:7" x14ac:dyDescent="0.35">
      <c r="A430">
        <v>51</v>
      </c>
      <c r="B430">
        <v>44</v>
      </c>
      <c r="C430">
        <f t="shared" si="24"/>
        <v>3308</v>
      </c>
      <c r="D430" t="s">
        <v>1203</v>
      </c>
      <c r="E430" t="str">
        <f t="shared" si="25"/>
        <v>a</v>
      </c>
      <c r="F430" t="str">
        <f t="shared" si="26"/>
        <v>62</v>
      </c>
      <c r="G430" t="str">
        <f t="shared" si="27"/>
        <v>63</v>
      </c>
    </row>
    <row r="431" spans="1:7" x14ac:dyDescent="0.35">
      <c r="A431">
        <v>51</v>
      </c>
      <c r="B431">
        <v>45</v>
      </c>
      <c r="C431">
        <f t="shared" si="24"/>
        <v>3309</v>
      </c>
      <c r="D431" t="s">
        <v>1204</v>
      </c>
      <c r="E431" t="str">
        <f t="shared" si="25"/>
        <v>z</v>
      </c>
      <c r="F431" t="str">
        <f t="shared" si="26"/>
        <v xml:space="preserve"> 0</v>
      </c>
      <c r="G431" t="str">
        <f t="shared" si="27"/>
        <v>38</v>
      </c>
    </row>
    <row r="432" spans="1:7" x14ac:dyDescent="0.35">
      <c r="A432">
        <v>51</v>
      </c>
      <c r="B432">
        <v>46</v>
      </c>
      <c r="C432">
        <f t="shared" si="24"/>
        <v>3310</v>
      </c>
      <c r="D432" t="s">
        <v>1205</v>
      </c>
      <c r="E432" t="str">
        <f t="shared" si="25"/>
        <v>b</v>
      </c>
      <c r="F432" t="str">
        <f t="shared" si="26"/>
        <v>51</v>
      </c>
      <c r="G432" t="str">
        <f t="shared" si="27"/>
        <v>22</v>
      </c>
    </row>
    <row r="433" spans="1:7" x14ac:dyDescent="0.35">
      <c r="A433">
        <v>51</v>
      </c>
      <c r="B433">
        <v>47</v>
      </c>
      <c r="C433">
        <f t="shared" si="24"/>
        <v>3311</v>
      </c>
      <c r="D433" t="s">
        <v>1206</v>
      </c>
      <c r="E433" t="str">
        <f t="shared" si="25"/>
        <v>p</v>
      </c>
      <c r="F433" t="str">
        <f t="shared" si="26"/>
        <v xml:space="preserve"> 2</v>
      </c>
      <c r="G433" t="str">
        <f t="shared" si="27"/>
        <v>52</v>
      </c>
    </row>
    <row r="434" spans="1:7" x14ac:dyDescent="0.35">
      <c r="A434">
        <v>51</v>
      </c>
      <c r="B434">
        <v>48</v>
      </c>
      <c r="C434">
        <f t="shared" si="24"/>
        <v>3312</v>
      </c>
      <c r="D434" t="s">
        <v>1207</v>
      </c>
      <c r="E434" t="str">
        <f t="shared" si="25"/>
        <v>h</v>
      </c>
      <c r="F434" t="str">
        <f t="shared" si="26"/>
        <v>51</v>
      </c>
      <c r="G434" t="str">
        <f t="shared" si="27"/>
        <v>26</v>
      </c>
    </row>
    <row r="435" spans="1:7" x14ac:dyDescent="0.35">
      <c r="A435">
        <v>51</v>
      </c>
      <c r="B435">
        <v>49</v>
      </c>
      <c r="C435">
        <f t="shared" si="24"/>
        <v>3313</v>
      </c>
      <c r="D435" t="s">
        <v>1208</v>
      </c>
      <c r="E435" t="str">
        <f t="shared" si="25"/>
        <v>b</v>
      </c>
      <c r="F435" t="str">
        <f t="shared" si="26"/>
        <v>51</v>
      </c>
      <c r="G435" t="str">
        <f t="shared" si="27"/>
        <v>14</v>
      </c>
    </row>
    <row r="436" spans="1:7" x14ac:dyDescent="0.35">
      <c r="A436">
        <v>51</v>
      </c>
      <c r="B436">
        <v>50</v>
      </c>
      <c r="C436">
        <f t="shared" si="24"/>
        <v>3314</v>
      </c>
      <c r="D436" t="s">
        <v>1209</v>
      </c>
      <c r="E436" t="str">
        <f t="shared" si="25"/>
        <v>u</v>
      </c>
      <c r="F436" t="str">
        <f t="shared" si="26"/>
        <v>51</v>
      </c>
      <c r="G436" t="str">
        <f t="shared" si="27"/>
        <v>40</v>
      </c>
    </row>
    <row r="437" spans="1:7" x14ac:dyDescent="0.35">
      <c r="A437">
        <v>51</v>
      </c>
      <c r="B437">
        <v>51</v>
      </c>
      <c r="C437">
        <f t="shared" si="24"/>
        <v>3315</v>
      </c>
      <c r="D437" t="s">
        <v>1210</v>
      </c>
      <c r="E437" t="str">
        <f t="shared" si="25"/>
        <v>z</v>
      </c>
      <c r="F437" t="str">
        <f t="shared" si="26"/>
        <v xml:space="preserve"> 0</v>
      </c>
      <c r="G437" t="str">
        <f t="shared" si="27"/>
        <v xml:space="preserve"> 2</v>
      </c>
    </row>
    <row r="438" spans="1:7" x14ac:dyDescent="0.35">
      <c r="A438">
        <v>51</v>
      </c>
      <c r="B438">
        <v>52</v>
      </c>
      <c r="C438">
        <f t="shared" si="24"/>
        <v>3316</v>
      </c>
      <c r="D438" t="s">
        <v>1211</v>
      </c>
      <c r="E438" t="str">
        <f t="shared" si="25"/>
        <v>n</v>
      </c>
      <c r="F438" t="str">
        <f t="shared" si="26"/>
        <v>51</v>
      </c>
      <c r="G438" t="str">
        <f t="shared" si="27"/>
        <v>12</v>
      </c>
    </row>
    <row r="439" spans="1:7" x14ac:dyDescent="0.35">
      <c r="A439">
        <v>51</v>
      </c>
      <c r="B439">
        <v>53</v>
      </c>
      <c r="C439">
        <f t="shared" si="24"/>
        <v>3317</v>
      </c>
      <c r="D439" t="s">
        <v>1212</v>
      </c>
      <c r="E439" t="str">
        <f t="shared" si="25"/>
        <v>s</v>
      </c>
      <c r="F439" t="str">
        <f t="shared" si="26"/>
        <v>51</v>
      </c>
      <c r="G439" t="str">
        <f t="shared" si="27"/>
        <v>14</v>
      </c>
    </row>
    <row r="440" spans="1:7" x14ac:dyDescent="0.35">
      <c r="A440">
        <v>51</v>
      </c>
      <c r="B440">
        <v>54</v>
      </c>
      <c r="C440">
        <f t="shared" si="24"/>
        <v>3318</v>
      </c>
      <c r="D440" t="s">
        <v>1213</v>
      </c>
      <c r="E440" t="str">
        <f t="shared" si="25"/>
        <v>t</v>
      </c>
      <c r="F440" t="str">
        <f t="shared" si="26"/>
        <v>51</v>
      </c>
      <c r="G440" t="str">
        <f t="shared" si="27"/>
        <v>54</v>
      </c>
    </row>
    <row r="441" spans="1:7" x14ac:dyDescent="0.35">
      <c r="A441">
        <v>51</v>
      </c>
      <c r="B441">
        <v>55</v>
      </c>
      <c r="C441">
        <f t="shared" si="24"/>
        <v>3319</v>
      </c>
      <c r="D441" t="s">
        <v>1214</v>
      </c>
      <c r="E441" t="str">
        <f t="shared" si="25"/>
        <v>u</v>
      </c>
      <c r="F441" t="str">
        <f t="shared" si="26"/>
        <v>51</v>
      </c>
      <c r="G441" t="str">
        <f t="shared" si="27"/>
        <v>14</v>
      </c>
    </row>
    <row r="442" spans="1:7" x14ac:dyDescent="0.35">
      <c r="A442">
        <v>51</v>
      </c>
      <c r="B442">
        <v>56</v>
      </c>
      <c r="C442">
        <f t="shared" si="24"/>
        <v>3320</v>
      </c>
      <c r="D442" t="s">
        <v>1215</v>
      </c>
      <c r="E442" t="str">
        <f t="shared" si="25"/>
        <v>y</v>
      </c>
      <c r="F442" t="str">
        <f t="shared" si="26"/>
        <v>51</v>
      </c>
      <c r="G442" t="str">
        <f t="shared" si="27"/>
        <v>50</v>
      </c>
    </row>
    <row r="443" spans="1:7" x14ac:dyDescent="0.35">
      <c r="A443">
        <v>51</v>
      </c>
      <c r="B443">
        <v>57</v>
      </c>
      <c r="C443">
        <f t="shared" si="24"/>
        <v>3321</v>
      </c>
      <c r="D443" t="s">
        <v>1216</v>
      </c>
      <c r="E443" t="str">
        <f t="shared" si="25"/>
        <v>u</v>
      </c>
      <c r="F443" t="str">
        <f t="shared" si="26"/>
        <v>49</v>
      </c>
      <c r="G443" t="str">
        <f t="shared" si="27"/>
        <v>30</v>
      </c>
    </row>
    <row r="444" spans="1:7" x14ac:dyDescent="0.35">
      <c r="A444">
        <v>51</v>
      </c>
      <c r="B444">
        <v>58</v>
      </c>
      <c r="C444">
        <f t="shared" si="24"/>
        <v>3322</v>
      </c>
      <c r="D444" t="s">
        <v>1217</v>
      </c>
      <c r="E444" t="str">
        <f t="shared" si="25"/>
        <v>b</v>
      </c>
      <c r="F444" t="str">
        <f t="shared" si="26"/>
        <v>50</v>
      </c>
      <c r="G444" t="str">
        <f t="shared" si="27"/>
        <v>60</v>
      </c>
    </row>
    <row r="445" spans="1:7" x14ac:dyDescent="0.35">
      <c r="A445">
        <v>51</v>
      </c>
      <c r="B445">
        <v>59</v>
      </c>
      <c r="C445">
        <f t="shared" si="24"/>
        <v>3323</v>
      </c>
      <c r="D445" t="s">
        <v>1218</v>
      </c>
      <c r="E445" t="str">
        <f t="shared" si="25"/>
        <v>s</v>
      </c>
      <c r="F445" t="str">
        <f t="shared" si="26"/>
        <v>46</v>
      </c>
      <c r="G445" t="str">
        <f t="shared" si="27"/>
        <v xml:space="preserve"> 6</v>
      </c>
    </row>
    <row r="446" spans="1:7" x14ac:dyDescent="0.35">
      <c r="A446">
        <v>51</v>
      </c>
      <c r="B446">
        <v>60</v>
      </c>
      <c r="C446">
        <f t="shared" si="24"/>
        <v>3324</v>
      </c>
      <c r="D446" t="s">
        <v>1219</v>
      </c>
      <c r="E446" t="str">
        <f t="shared" si="25"/>
        <v>c</v>
      </c>
      <c r="F446" t="str">
        <f t="shared" si="26"/>
        <v>50</v>
      </c>
      <c r="G446" t="str">
        <f t="shared" si="27"/>
        <v>60</v>
      </c>
    </row>
    <row r="447" spans="1:7" x14ac:dyDescent="0.35">
      <c r="A447">
        <v>51</v>
      </c>
      <c r="B447">
        <v>61</v>
      </c>
      <c r="C447">
        <f t="shared" si="24"/>
        <v>3325</v>
      </c>
      <c r="D447" t="s">
        <v>1220</v>
      </c>
      <c r="E447" t="str">
        <f t="shared" si="25"/>
        <v>b</v>
      </c>
      <c r="F447" t="str">
        <f t="shared" si="26"/>
        <v>46</v>
      </c>
      <c r="G447" t="str">
        <f t="shared" si="27"/>
        <v>60</v>
      </c>
    </row>
    <row r="448" spans="1:7" x14ac:dyDescent="0.35">
      <c r="A448">
        <v>51</v>
      </c>
      <c r="B448">
        <v>62</v>
      </c>
      <c r="C448">
        <f t="shared" si="24"/>
        <v>3326</v>
      </c>
      <c r="D448" t="s">
        <v>1221</v>
      </c>
      <c r="E448" t="str">
        <f t="shared" si="25"/>
        <v>c</v>
      </c>
      <c r="F448" t="str">
        <f t="shared" si="26"/>
        <v>47</v>
      </c>
      <c r="G448" t="str">
        <f t="shared" si="27"/>
        <v xml:space="preserve"> 6</v>
      </c>
    </row>
    <row r="449" spans="1:7" x14ac:dyDescent="0.35">
      <c r="A449">
        <v>51</v>
      </c>
      <c r="B449">
        <v>63</v>
      </c>
      <c r="C449">
        <f t="shared" si="24"/>
        <v>3327</v>
      </c>
      <c r="D449" t="s">
        <v>1222</v>
      </c>
      <c r="E449" t="str">
        <f t="shared" si="25"/>
        <v>u</v>
      </c>
      <c r="F449" t="str">
        <f t="shared" si="26"/>
        <v>49</v>
      </c>
      <c r="G449" t="str">
        <f t="shared" si="27"/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6509-E313-4F40-8EFD-E104461528DA}">
  <dimension ref="A1:A100"/>
  <sheetViews>
    <sheetView workbookViewId="0"/>
  </sheetViews>
  <sheetFormatPr defaultRowHeight="14.5" x14ac:dyDescent="0.35"/>
  <sheetData>
    <row r="1" spans="1:1" x14ac:dyDescent="0.35">
      <c r="A1">
        <v>2880</v>
      </c>
    </row>
    <row r="2" spans="1:1" x14ac:dyDescent="0.35">
      <c r="A2">
        <v>2881</v>
      </c>
    </row>
    <row r="3" spans="1:1" x14ac:dyDescent="0.35">
      <c r="A3">
        <v>2882</v>
      </c>
    </row>
    <row r="4" spans="1:1" x14ac:dyDescent="0.35">
      <c r="A4">
        <v>3185</v>
      </c>
    </row>
    <row r="5" spans="1:1" x14ac:dyDescent="0.35">
      <c r="A5">
        <v>3186</v>
      </c>
    </row>
    <row r="6" spans="1:1" x14ac:dyDescent="0.35">
      <c r="A6">
        <v>3187</v>
      </c>
    </row>
    <row r="7" spans="1:1" x14ac:dyDescent="0.35">
      <c r="A7">
        <v>3188</v>
      </c>
    </row>
    <row r="8" spans="1:1" x14ac:dyDescent="0.35">
      <c r="A8">
        <v>3189</v>
      </c>
    </row>
    <row r="9" spans="1:1" x14ac:dyDescent="0.35">
      <c r="A9">
        <v>3190</v>
      </c>
    </row>
    <row r="10" spans="1:1" x14ac:dyDescent="0.35">
      <c r="A10">
        <v>3261</v>
      </c>
    </row>
    <row r="11" spans="1:1" x14ac:dyDescent="0.35">
      <c r="A11">
        <v>3262</v>
      </c>
    </row>
    <row r="12" spans="1:1" x14ac:dyDescent="0.35">
      <c r="A12">
        <v>3263</v>
      </c>
    </row>
    <row r="13" spans="1:1" x14ac:dyDescent="0.35">
      <c r="A13">
        <v>2974</v>
      </c>
    </row>
    <row r="14" spans="1:1" x14ac:dyDescent="0.35">
      <c r="A14">
        <v>2975</v>
      </c>
    </row>
    <row r="15" spans="1:1" x14ac:dyDescent="0.35">
      <c r="A15">
        <v>2976</v>
      </c>
    </row>
    <row r="16" spans="1:1" x14ac:dyDescent="0.35">
      <c r="A16">
        <v>2977</v>
      </c>
    </row>
    <row r="17" spans="1:1" x14ac:dyDescent="0.35">
      <c r="A17">
        <v>2978</v>
      </c>
    </row>
    <row r="18" spans="1:1" x14ac:dyDescent="0.35">
      <c r="A18">
        <v>2979</v>
      </c>
    </row>
    <row r="19" spans="1:1" x14ac:dyDescent="0.35">
      <c r="A19">
        <v>2980</v>
      </c>
    </row>
    <row r="20" spans="1:1" x14ac:dyDescent="0.35">
      <c r="A20">
        <v>2981</v>
      </c>
    </row>
    <row r="21" spans="1:1" x14ac:dyDescent="0.35">
      <c r="A21">
        <v>2982</v>
      </c>
    </row>
    <row r="22" spans="1:1" x14ac:dyDescent="0.35">
      <c r="A22">
        <v>2970</v>
      </c>
    </row>
    <row r="23" spans="1:1" x14ac:dyDescent="0.35">
      <c r="A23">
        <v>2971</v>
      </c>
    </row>
    <row r="24" spans="1:1" x14ac:dyDescent="0.35">
      <c r="A24">
        <v>3251</v>
      </c>
    </row>
    <row r="25" spans="1:1" x14ac:dyDescent="0.35">
      <c r="A25">
        <v>3252</v>
      </c>
    </row>
    <row r="26" spans="1:1" x14ac:dyDescent="0.35">
      <c r="A26">
        <v>3253</v>
      </c>
    </row>
    <row r="27" spans="1:1" x14ac:dyDescent="0.35">
      <c r="A27">
        <v>3254</v>
      </c>
    </row>
    <row r="28" spans="1:1" x14ac:dyDescent="0.35">
      <c r="A28">
        <v>3255</v>
      </c>
    </row>
    <row r="29" spans="1:1" x14ac:dyDescent="0.35">
      <c r="A29">
        <v>3256</v>
      </c>
    </row>
    <row r="30" spans="1:1" x14ac:dyDescent="0.35">
      <c r="A30">
        <v>3257</v>
      </c>
    </row>
    <row r="31" spans="1:1" x14ac:dyDescent="0.35">
      <c r="A31">
        <v>3258</v>
      </c>
    </row>
    <row r="32" spans="1:1" x14ac:dyDescent="0.35">
      <c r="A32">
        <v>3259</v>
      </c>
    </row>
    <row r="33" spans="1:1" x14ac:dyDescent="0.35">
      <c r="A33">
        <v>3260</v>
      </c>
    </row>
    <row r="34" spans="1:1" x14ac:dyDescent="0.35">
      <c r="A34">
        <v>2972</v>
      </c>
    </row>
    <row r="35" spans="1:1" x14ac:dyDescent="0.35">
      <c r="A35">
        <v>2973</v>
      </c>
    </row>
    <row r="36" spans="1:1" x14ac:dyDescent="0.35">
      <c r="A36">
        <v>2883</v>
      </c>
    </row>
    <row r="37" spans="1:1" x14ac:dyDescent="0.35">
      <c r="A37">
        <v>2884</v>
      </c>
    </row>
    <row r="38" spans="1:1" x14ac:dyDescent="0.35">
      <c r="A38">
        <v>2885</v>
      </c>
    </row>
    <row r="39" spans="1:1" x14ac:dyDescent="0.35">
      <c r="A39">
        <v>2886</v>
      </c>
    </row>
    <row r="40" spans="1:1" x14ac:dyDescent="0.35">
      <c r="A40">
        <v>2887</v>
      </c>
    </row>
    <row r="41" spans="1:1" x14ac:dyDescent="0.35">
      <c r="A41">
        <v>2888</v>
      </c>
    </row>
    <row r="42" spans="1:1" x14ac:dyDescent="0.35">
      <c r="A42">
        <v>2889</v>
      </c>
    </row>
    <row r="43" spans="1:1" x14ac:dyDescent="0.35">
      <c r="A43">
        <v>2890</v>
      </c>
    </row>
    <row r="44" spans="1:1" x14ac:dyDescent="0.35">
      <c r="A44">
        <v>3254</v>
      </c>
    </row>
    <row r="45" spans="1:1" x14ac:dyDescent="0.35">
      <c r="A45">
        <v>3255</v>
      </c>
    </row>
    <row r="46" spans="1:1" x14ac:dyDescent="0.35">
      <c r="A46">
        <v>3256</v>
      </c>
    </row>
    <row r="47" spans="1:1" x14ac:dyDescent="0.35">
      <c r="A47">
        <v>3257</v>
      </c>
    </row>
    <row r="48" spans="1:1" x14ac:dyDescent="0.35">
      <c r="A48">
        <v>3258</v>
      </c>
    </row>
    <row r="49" spans="1:1" x14ac:dyDescent="0.35">
      <c r="A49">
        <v>3259</v>
      </c>
    </row>
    <row r="50" spans="1:1" x14ac:dyDescent="0.35">
      <c r="A50">
        <v>3260</v>
      </c>
    </row>
    <row r="51" spans="1:1" x14ac:dyDescent="0.35">
      <c r="A51">
        <v>2891</v>
      </c>
    </row>
    <row r="52" spans="1:1" x14ac:dyDescent="0.35">
      <c r="A52">
        <v>2892</v>
      </c>
    </row>
    <row r="53" spans="1:1" x14ac:dyDescent="0.35">
      <c r="A53">
        <v>2893</v>
      </c>
    </row>
    <row r="54" spans="1:1" x14ac:dyDescent="0.35">
      <c r="A54">
        <v>2889</v>
      </c>
    </row>
    <row r="55" spans="1:1" x14ac:dyDescent="0.35">
      <c r="A55">
        <v>2890</v>
      </c>
    </row>
    <row r="56" spans="1:1" x14ac:dyDescent="0.35">
      <c r="A56">
        <v>3254</v>
      </c>
    </row>
    <row r="57" spans="1:1" x14ac:dyDescent="0.35">
      <c r="A57">
        <v>3255</v>
      </c>
    </row>
    <row r="58" spans="1:1" x14ac:dyDescent="0.35">
      <c r="A58">
        <v>3256</v>
      </c>
    </row>
    <row r="59" spans="1:1" x14ac:dyDescent="0.35">
      <c r="A59">
        <v>3257</v>
      </c>
    </row>
    <row r="60" spans="1:1" x14ac:dyDescent="0.35">
      <c r="A60">
        <v>3258</v>
      </c>
    </row>
    <row r="61" spans="1:1" x14ac:dyDescent="0.35">
      <c r="A61">
        <v>3259</v>
      </c>
    </row>
    <row r="62" spans="1:1" x14ac:dyDescent="0.35">
      <c r="A62">
        <v>3260</v>
      </c>
    </row>
    <row r="63" spans="1:1" x14ac:dyDescent="0.35">
      <c r="A63">
        <v>2891</v>
      </c>
    </row>
    <row r="64" spans="1:1" x14ac:dyDescent="0.35">
      <c r="A64">
        <v>2892</v>
      </c>
    </row>
    <row r="65" spans="1:1" x14ac:dyDescent="0.35">
      <c r="A65">
        <v>2893</v>
      </c>
    </row>
    <row r="66" spans="1:1" x14ac:dyDescent="0.35">
      <c r="A66">
        <v>2894</v>
      </c>
    </row>
    <row r="67" spans="1:1" x14ac:dyDescent="0.35">
      <c r="A67">
        <v>2895</v>
      </c>
    </row>
    <row r="68" spans="1:1" x14ac:dyDescent="0.35">
      <c r="A68">
        <v>2896</v>
      </c>
    </row>
    <row r="69" spans="1:1" x14ac:dyDescent="0.35">
      <c r="A69">
        <v>2897</v>
      </c>
    </row>
    <row r="70" spans="1:1" x14ac:dyDescent="0.35">
      <c r="A70">
        <v>2898</v>
      </c>
    </row>
    <row r="71" spans="1:1" x14ac:dyDescent="0.35">
      <c r="A71">
        <v>2899</v>
      </c>
    </row>
    <row r="72" spans="1:1" x14ac:dyDescent="0.35">
      <c r="A72">
        <v>2900</v>
      </c>
    </row>
    <row r="73" spans="1:1" x14ac:dyDescent="0.35">
      <c r="A73">
        <v>2901</v>
      </c>
    </row>
    <row r="74" spans="1:1" x14ac:dyDescent="0.35">
      <c r="A74">
        <v>2902</v>
      </c>
    </row>
    <row r="75" spans="1:1" x14ac:dyDescent="0.35">
      <c r="A75">
        <v>2903</v>
      </c>
    </row>
    <row r="76" spans="1:1" x14ac:dyDescent="0.35">
      <c r="A76">
        <v>2906</v>
      </c>
    </row>
    <row r="77" spans="1:1" x14ac:dyDescent="0.35">
      <c r="A77">
        <v>2907</v>
      </c>
    </row>
    <row r="78" spans="1:1" x14ac:dyDescent="0.35">
      <c r="A78">
        <v>2908</v>
      </c>
    </row>
    <row r="79" spans="1:1" x14ac:dyDescent="0.35">
      <c r="A79">
        <v>2909</v>
      </c>
    </row>
    <row r="80" spans="1:1" x14ac:dyDescent="0.35">
      <c r="A80">
        <v>2910</v>
      </c>
    </row>
    <row r="81" spans="1:1" x14ac:dyDescent="0.35">
      <c r="A81">
        <v>2911</v>
      </c>
    </row>
    <row r="82" spans="1:1" x14ac:dyDescent="0.35">
      <c r="A82">
        <v>2912</v>
      </c>
    </row>
    <row r="83" spans="1:1" x14ac:dyDescent="0.35">
      <c r="A83">
        <v>2913</v>
      </c>
    </row>
    <row r="84" spans="1:1" x14ac:dyDescent="0.35">
      <c r="A84">
        <v>3264</v>
      </c>
    </row>
    <row r="85" spans="1:1" x14ac:dyDescent="0.35">
      <c r="A85">
        <v>3265</v>
      </c>
    </row>
    <row r="86" spans="1:1" x14ac:dyDescent="0.35">
      <c r="A86">
        <v>3266</v>
      </c>
    </row>
    <row r="87" spans="1:1" x14ac:dyDescent="0.35">
      <c r="A87">
        <v>3267</v>
      </c>
    </row>
    <row r="88" spans="1:1" x14ac:dyDescent="0.35">
      <c r="A88">
        <v>3268</v>
      </c>
    </row>
    <row r="89" spans="1:1" x14ac:dyDescent="0.35">
      <c r="A89">
        <v>3284</v>
      </c>
    </row>
    <row r="90" spans="1:1" x14ac:dyDescent="0.35">
      <c r="A90">
        <v>3285</v>
      </c>
    </row>
    <row r="91" spans="1:1" x14ac:dyDescent="0.35">
      <c r="A91">
        <v>3286</v>
      </c>
    </row>
    <row r="92" spans="1:1" x14ac:dyDescent="0.35">
      <c r="A92">
        <v>3287</v>
      </c>
    </row>
    <row r="93" spans="1:1" x14ac:dyDescent="0.35">
      <c r="A93">
        <v>3288</v>
      </c>
    </row>
    <row r="94" spans="1:1" x14ac:dyDescent="0.35">
      <c r="A94">
        <v>3289</v>
      </c>
    </row>
    <row r="95" spans="1:1" x14ac:dyDescent="0.35">
      <c r="A95">
        <v>3290</v>
      </c>
    </row>
    <row r="96" spans="1:1" x14ac:dyDescent="0.35">
      <c r="A96">
        <v>3278</v>
      </c>
    </row>
    <row r="97" spans="1:1" x14ac:dyDescent="0.35">
      <c r="A97">
        <v>3279</v>
      </c>
    </row>
    <row r="98" spans="1:1" x14ac:dyDescent="0.35">
      <c r="A98">
        <v>3280</v>
      </c>
    </row>
    <row r="99" spans="1:1" x14ac:dyDescent="0.35">
      <c r="A99">
        <v>3306</v>
      </c>
    </row>
    <row r="100" spans="1:1" x14ac:dyDescent="0.35">
      <c r="A100">
        <v>3307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EC52-F8F6-44E7-A762-35475808DA35}">
  <dimension ref="A1:K453"/>
  <sheetViews>
    <sheetView workbookViewId="0"/>
  </sheetViews>
  <sheetFormatPr defaultRowHeight="14.5" x14ac:dyDescent="0.35"/>
  <cols>
    <col min="1" max="1" width="6.453125" bestFit="1" customWidth="1"/>
    <col min="2" max="2" width="8.81640625" bestFit="1" customWidth="1"/>
    <col min="3" max="3" width="7.26953125" bestFit="1" customWidth="1"/>
    <col min="4" max="4" width="9.6328125" bestFit="1" customWidth="1"/>
    <col min="5" max="5" width="10.54296875" bestFit="1" customWidth="1"/>
    <col min="6" max="6" width="6.81640625" bestFit="1" customWidth="1"/>
    <col min="7" max="7" width="7.6328125" bestFit="1" customWidth="1"/>
    <col min="8" max="8" width="8.54296875" bestFit="1" customWidth="1"/>
    <col min="9" max="9" width="7.54296875" bestFit="1" customWidth="1"/>
    <col min="10" max="10" width="8.36328125" bestFit="1" customWidth="1"/>
    <col min="11" max="11" width="9.26953125" bestFit="1" customWidth="1"/>
  </cols>
  <sheetData>
    <row r="1" spans="1:11" x14ac:dyDescent="0.35">
      <c r="A1" t="s">
        <v>1239</v>
      </c>
      <c r="B1" t="s">
        <v>1236</v>
      </c>
      <c r="C1" t="s">
        <v>1238</v>
      </c>
      <c r="D1" t="s">
        <v>1237</v>
      </c>
      <c r="E1" t="s">
        <v>1240</v>
      </c>
      <c r="F1" t="s">
        <v>1241</v>
      </c>
      <c r="G1" t="s">
        <v>1242</v>
      </c>
      <c r="H1" t="s">
        <v>1243</v>
      </c>
      <c r="I1" t="s">
        <v>1244</v>
      </c>
      <c r="J1" t="s">
        <v>1245</v>
      </c>
      <c r="K1" t="s">
        <v>1246</v>
      </c>
    </row>
    <row r="2" spans="1:11" x14ac:dyDescent="0.35">
      <c r="A2" s="2">
        <f>'stuttgart-bkjck-rawbinary'!A2</f>
        <v>2880</v>
      </c>
      <c r="B2" t="str">
        <f>LOOKUP(A2,'stuttgart-bkjck-rawbinary'!$A$2:$A$449,'stuttgart-bkjck-rawbinary'!$H$2:$H449)</f>
        <v>c</v>
      </c>
      <c r="C2" t="str">
        <f>Weigt!C2</f>
        <v>2880</v>
      </c>
      <c r="D2" t="str">
        <f>Weigt!M2</f>
        <v>c</v>
      </c>
      <c r="E2" t="str">
        <f>IF(B2&lt;&gt;D2,"*","")</f>
        <v/>
      </c>
      <c r="F2">
        <f>'stuttgart-bkjck-rawbinary'!I2</f>
        <v>47</v>
      </c>
      <c r="G2">
        <f>Weigt!N2</f>
        <v>47</v>
      </c>
      <c r="H2" t="str">
        <f>IF(F2&lt;&gt;G2,"*","")</f>
        <v/>
      </c>
      <c r="I2">
        <f>'stuttgart-bkjck-rawbinary'!J2</f>
        <v>35</v>
      </c>
      <c r="J2">
        <f>Weigt!O2</f>
        <v>35</v>
      </c>
      <c r="K2" t="str">
        <f>IF(I2&lt;&gt;J2,"*","")</f>
        <v/>
      </c>
    </row>
    <row r="3" spans="1:11" x14ac:dyDescent="0.35">
      <c r="A3" s="2">
        <f>'stuttgart-bkjck-rawbinary'!A3</f>
        <v>2881</v>
      </c>
      <c r="B3" t="str">
        <f ca="1">LOOKUP(A3,'stuttgart-bkjck-rawbinary'!$A$2:$A$449,'stuttgart-bkjck-rawbinary'!$H$2:$H450)</f>
        <v>c</v>
      </c>
      <c r="C3" t="str">
        <f>Weigt!C3</f>
        <v>2881</v>
      </c>
      <c r="D3" t="str">
        <f>Weigt!M3</f>
        <v>c</v>
      </c>
      <c r="E3" t="str">
        <f t="shared" ref="E3:E66" ca="1" si="0">IF(B3&lt;&gt;D3,"*","")</f>
        <v/>
      </c>
      <c r="F3">
        <f>'stuttgart-bkjck-rawbinary'!I3</f>
        <v>50</v>
      </c>
      <c r="G3">
        <f>Weigt!N3</f>
        <v>50</v>
      </c>
      <c r="H3" t="str">
        <f t="shared" ref="H3:H66" si="1">IF(F3&lt;&gt;G3,"*","")</f>
        <v/>
      </c>
      <c r="I3">
        <f>'stuttgart-bkjck-rawbinary'!J3</f>
        <v>30</v>
      </c>
      <c r="J3">
        <f>Weigt!O3</f>
        <v>30</v>
      </c>
      <c r="K3" t="str">
        <f t="shared" ref="K3:K66" si="2">IF(I3&lt;&gt;J3,"*","")</f>
        <v/>
      </c>
    </row>
    <row r="4" spans="1:11" x14ac:dyDescent="0.35">
      <c r="A4" s="2">
        <f>'stuttgart-bkjck-rawbinary'!A4</f>
        <v>2882</v>
      </c>
      <c r="B4" t="str">
        <f ca="1">LOOKUP(A4,'stuttgart-bkjck-rawbinary'!$A$2:$A$449,'stuttgart-bkjck-rawbinary'!$H$2:$H451)</f>
        <v>u</v>
      </c>
      <c r="C4" t="str">
        <f>Weigt!C4</f>
        <v>2882</v>
      </c>
      <c r="D4" t="str">
        <f>Weigt!M4</f>
        <v>u</v>
      </c>
      <c r="E4" t="str">
        <f t="shared" ca="1" si="0"/>
        <v/>
      </c>
      <c r="F4">
        <f>'stuttgart-bkjck-rawbinary'!I4</f>
        <v>49</v>
      </c>
      <c r="G4">
        <f>Weigt!N4</f>
        <v>49</v>
      </c>
      <c r="H4" t="str">
        <f t="shared" si="1"/>
        <v/>
      </c>
      <c r="I4">
        <f>'stuttgart-bkjck-rawbinary'!J4</f>
        <v>49</v>
      </c>
      <c r="J4">
        <f>Weigt!O4</f>
        <v>49</v>
      </c>
      <c r="K4" t="str">
        <f t="shared" si="2"/>
        <v/>
      </c>
    </row>
    <row r="5" spans="1:11" x14ac:dyDescent="0.35">
      <c r="A5" s="2">
        <f>'stuttgart-bkjck-rawbinary'!A5</f>
        <v>2883</v>
      </c>
      <c r="B5" t="str">
        <f ca="1">LOOKUP(A5,'stuttgart-bkjck-rawbinary'!$A$2:$A$449,'stuttgart-bkjck-rawbinary'!$H$2:$H452)</f>
        <v>a</v>
      </c>
      <c r="C5" t="str">
        <f>Weigt!C5</f>
        <v>2883</v>
      </c>
      <c r="D5" t="str">
        <f>Weigt!M5</f>
        <v>a</v>
      </c>
      <c r="E5" t="str">
        <f t="shared" ca="1" si="0"/>
        <v/>
      </c>
      <c r="F5">
        <f>'stuttgart-bkjck-rawbinary'!I5</f>
        <v>45</v>
      </c>
      <c r="G5">
        <f>Weigt!N5</f>
        <v>45</v>
      </c>
      <c r="H5" t="str">
        <f t="shared" si="1"/>
        <v/>
      </c>
      <c r="I5">
        <f>'stuttgart-bkjck-rawbinary'!J5</f>
        <v>38</v>
      </c>
      <c r="J5">
        <f>Weigt!O5</f>
        <v>38</v>
      </c>
      <c r="K5" t="str">
        <f t="shared" si="2"/>
        <v/>
      </c>
    </row>
    <row r="6" spans="1:11" x14ac:dyDescent="0.35">
      <c r="A6" s="2">
        <f>'stuttgart-bkjck-rawbinary'!A6</f>
        <v>2884</v>
      </c>
      <c r="B6" t="str">
        <f ca="1">LOOKUP(A6,'stuttgart-bkjck-rawbinary'!$A$2:$A$449,'stuttgart-bkjck-rawbinary'!$H$2:$H453)</f>
        <v>y</v>
      </c>
      <c r="C6" t="str">
        <f>Weigt!C6</f>
        <v>2884</v>
      </c>
      <c r="D6" t="str">
        <f>Weigt!M6</f>
        <v>y</v>
      </c>
      <c r="E6" t="str">
        <f t="shared" ca="1" si="0"/>
        <v/>
      </c>
      <c r="F6">
        <f>'stuttgart-bkjck-rawbinary'!I6</f>
        <v>45</v>
      </c>
      <c r="G6">
        <f>Weigt!N6</f>
        <v>45</v>
      </c>
      <c r="H6" t="str">
        <f t="shared" si="1"/>
        <v/>
      </c>
      <c r="I6">
        <f>'stuttgart-bkjck-rawbinary'!J6</f>
        <v>30</v>
      </c>
      <c r="J6">
        <f>Weigt!O6</f>
        <v>30</v>
      </c>
      <c r="K6" t="str">
        <f t="shared" si="2"/>
        <v/>
      </c>
    </row>
    <row r="7" spans="1:11" x14ac:dyDescent="0.35">
      <c r="A7" s="2">
        <f>'stuttgart-bkjck-rawbinary'!A7</f>
        <v>2885</v>
      </c>
      <c r="B7" t="str">
        <f ca="1">LOOKUP(A7,'stuttgart-bkjck-rawbinary'!$A$2:$A$449,'stuttgart-bkjck-rawbinary'!$H$2:$H454)</f>
        <v>a</v>
      </c>
      <c r="C7" t="str">
        <f>Weigt!C7</f>
        <v>2885</v>
      </c>
      <c r="D7" t="str">
        <f>Weigt!M7</f>
        <v>a</v>
      </c>
      <c r="E7" t="str">
        <f t="shared" ca="1" si="0"/>
        <v/>
      </c>
      <c r="F7">
        <f>'stuttgart-bkjck-rawbinary'!I7</f>
        <v>46</v>
      </c>
      <c r="G7">
        <f>Weigt!N7</f>
        <v>46</v>
      </c>
      <c r="H7" t="str">
        <f t="shared" si="1"/>
        <v/>
      </c>
      <c r="I7">
        <f>'stuttgart-bkjck-rawbinary'!J7</f>
        <v>63</v>
      </c>
      <c r="J7">
        <f>Weigt!O7</f>
        <v>63</v>
      </c>
      <c r="K7" t="str">
        <f t="shared" si="2"/>
        <v/>
      </c>
    </row>
    <row r="8" spans="1:11" x14ac:dyDescent="0.35">
      <c r="A8" s="2">
        <f>'stuttgart-bkjck-rawbinary'!A8</f>
        <v>2886</v>
      </c>
      <c r="B8" t="str">
        <f ca="1">LOOKUP(A8,'stuttgart-bkjck-rawbinary'!$A$2:$A$449,'stuttgart-bkjck-rawbinary'!$H$2:$H455)</f>
        <v>y</v>
      </c>
      <c r="C8" t="str">
        <f>Weigt!C8</f>
        <v>2886</v>
      </c>
      <c r="D8" t="str">
        <f>Weigt!M8</f>
        <v>y</v>
      </c>
      <c r="E8" t="str">
        <f t="shared" ca="1" si="0"/>
        <v/>
      </c>
      <c r="F8">
        <f>'stuttgart-bkjck-rawbinary'!I8</f>
        <v>45</v>
      </c>
      <c r="G8">
        <f>Weigt!N8</f>
        <v>45</v>
      </c>
      <c r="H8" t="str">
        <f t="shared" si="1"/>
        <v/>
      </c>
      <c r="I8">
        <f>'stuttgart-bkjck-rawbinary'!J8</f>
        <v>21</v>
      </c>
      <c r="J8">
        <f>Weigt!O8</f>
        <v>21</v>
      </c>
      <c r="K8" t="str">
        <f t="shared" si="2"/>
        <v/>
      </c>
    </row>
    <row r="9" spans="1:11" x14ac:dyDescent="0.35">
      <c r="A9" s="2">
        <f>'stuttgart-bkjck-rawbinary'!A9</f>
        <v>2887</v>
      </c>
      <c r="B9" t="str">
        <f ca="1">LOOKUP(A9,'stuttgart-bkjck-rawbinary'!$A$2:$A$449,'stuttgart-bkjck-rawbinary'!$H$2:$H456)</f>
        <v>y</v>
      </c>
      <c r="C9" t="str">
        <f>Weigt!C9</f>
        <v>2887</v>
      </c>
      <c r="D9" t="str">
        <f>Weigt!M9</f>
        <v>y</v>
      </c>
      <c r="E9" t="str">
        <f t="shared" ca="1" si="0"/>
        <v/>
      </c>
      <c r="F9">
        <f>'stuttgart-bkjck-rawbinary'!I9</f>
        <v>45</v>
      </c>
      <c r="G9">
        <f>Weigt!N9</f>
        <v>45</v>
      </c>
      <c r="H9" t="str">
        <f t="shared" si="1"/>
        <v/>
      </c>
      <c r="I9">
        <f>'stuttgart-bkjck-rawbinary'!J9</f>
        <v>22</v>
      </c>
      <c r="J9">
        <f>Weigt!O9</f>
        <v>22</v>
      </c>
      <c r="K9" t="str">
        <f t="shared" si="2"/>
        <v/>
      </c>
    </row>
    <row r="10" spans="1:11" x14ac:dyDescent="0.35">
      <c r="A10" s="2">
        <f>'stuttgart-bkjck-rawbinary'!A10</f>
        <v>2888</v>
      </c>
      <c r="B10" t="str">
        <f ca="1">LOOKUP(A10,'stuttgart-bkjck-rawbinary'!$A$2:$A$449,'stuttgart-bkjck-rawbinary'!$H$2:$H457)</f>
        <v>y</v>
      </c>
      <c r="C10" t="str">
        <f>Weigt!C10</f>
        <v>2888</v>
      </c>
      <c r="D10" t="str">
        <f>Weigt!M10</f>
        <v>y</v>
      </c>
      <c r="E10" t="str">
        <f t="shared" ca="1" si="0"/>
        <v/>
      </c>
      <c r="F10">
        <f>'stuttgart-bkjck-rawbinary'!I10</f>
        <v>45</v>
      </c>
      <c r="G10">
        <f>Weigt!N10</f>
        <v>45</v>
      </c>
      <c r="H10" t="str">
        <f t="shared" si="1"/>
        <v/>
      </c>
      <c r="I10">
        <f>'stuttgart-bkjck-rawbinary'!J10</f>
        <v>27</v>
      </c>
      <c r="J10">
        <f>Weigt!O10</f>
        <v>27</v>
      </c>
      <c r="K10" t="str">
        <f t="shared" si="2"/>
        <v/>
      </c>
    </row>
    <row r="11" spans="1:11" x14ac:dyDescent="0.35">
      <c r="A11" s="2">
        <f>'stuttgart-bkjck-rawbinary'!A11</f>
        <v>2889</v>
      </c>
      <c r="B11" t="str">
        <f ca="1">LOOKUP(A11,'stuttgart-bkjck-rawbinary'!$A$2:$A$449,'stuttgart-bkjck-rawbinary'!$H$2:$H458)</f>
        <v>r</v>
      </c>
      <c r="C11" t="str">
        <f>Weigt!C11</f>
        <v>2889</v>
      </c>
      <c r="D11" t="str">
        <f>Weigt!M11</f>
        <v>r</v>
      </c>
      <c r="E11" t="str">
        <f t="shared" ca="1" si="0"/>
        <v/>
      </c>
      <c r="F11">
        <f>'stuttgart-bkjck-rawbinary'!I11</f>
        <v>50</v>
      </c>
      <c r="G11">
        <f>Weigt!N11</f>
        <v>50</v>
      </c>
      <c r="H11" t="str">
        <f t="shared" si="1"/>
        <v/>
      </c>
      <c r="I11">
        <f>'stuttgart-bkjck-rawbinary'!J11</f>
        <v>60</v>
      </c>
      <c r="J11">
        <f>Weigt!O11</f>
        <v>60</v>
      </c>
      <c r="K11" t="str">
        <f t="shared" si="2"/>
        <v/>
      </c>
    </row>
    <row r="12" spans="1:11" x14ac:dyDescent="0.35">
      <c r="A12" s="2">
        <f>'stuttgart-bkjck-rawbinary'!A12</f>
        <v>2890</v>
      </c>
      <c r="B12" t="str">
        <f ca="1">LOOKUP(A12,'stuttgart-bkjck-rawbinary'!$A$2:$A$449,'stuttgart-bkjck-rawbinary'!$H$2:$H459)</f>
        <v>u</v>
      </c>
      <c r="C12" t="str">
        <f>Weigt!C12</f>
        <v>2890</v>
      </c>
      <c r="D12" t="str">
        <f>Weigt!M12</f>
        <v>u</v>
      </c>
      <c r="E12" t="str">
        <f t="shared" ca="1" si="0"/>
        <v/>
      </c>
      <c r="F12">
        <f>'stuttgart-bkjck-rawbinary'!I12</f>
        <v>50</v>
      </c>
      <c r="G12">
        <f>Weigt!N12</f>
        <v>50</v>
      </c>
      <c r="H12" t="str">
        <f t="shared" si="1"/>
        <v/>
      </c>
      <c r="I12">
        <f>'stuttgart-bkjck-rawbinary'!J12</f>
        <v>54</v>
      </c>
      <c r="J12">
        <f>Weigt!O12</f>
        <v>54</v>
      </c>
      <c r="K12" t="str">
        <f t="shared" si="2"/>
        <v/>
      </c>
    </row>
    <row r="13" spans="1:11" x14ac:dyDescent="0.35">
      <c r="A13" s="2">
        <f>'stuttgart-bkjck-rawbinary'!A13</f>
        <v>2891</v>
      </c>
      <c r="B13" t="str">
        <f ca="1">LOOKUP(A13,'stuttgart-bkjck-rawbinary'!$A$2:$A$449,'stuttgart-bkjck-rawbinary'!$H$2:$H460)</f>
        <v>e</v>
      </c>
      <c r="C13" t="str">
        <f>Weigt!C13</f>
        <v>2891</v>
      </c>
      <c r="D13" t="str">
        <f>Weigt!M13</f>
        <v>e</v>
      </c>
      <c r="E13" t="str">
        <f t="shared" ca="1" si="0"/>
        <v/>
      </c>
      <c r="F13">
        <f>'stuttgart-bkjck-rawbinary'!I13</f>
        <v>49</v>
      </c>
      <c r="G13">
        <f>Weigt!N13</f>
        <v>49</v>
      </c>
      <c r="H13" t="str">
        <f t="shared" si="1"/>
        <v/>
      </c>
      <c r="I13">
        <f>'stuttgart-bkjck-rawbinary'!J13</f>
        <v>60</v>
      </c>
      <c r="J13">
        <f>Weigt!O13</f>
        <v>60</v>
      </c>
      <c r="K13" t="str">
        <f t="shared" si="2"/>
        <v/>
      </c>
    </row>
    <row r="14" spans="1:11" x14ac:dyDescent="0.35">
      <c r="A14" s="2">
        <f>'stuttgart-bkjck-rawbinary'!A14</f>
        <v>2892</v>
      </c>
      <c r="B14" t="str">
        <f ca="1">LOOKUP(A14,'stuttgart-bkjck-rawbinary'!$A$2:$A$449,'stuttgart-bkjck-rawbinary'!$H$2:$H461)</f>
        <v>s</v>
      </c>
      <c r="C14" t="str">
        <f>Weigt!C14</f>
        <v>2892</v>
      </c>
      <c r="D14" t="str">
        <f>Weigt!M14</f>
        <v>s</v>
      </c>
      <c r="E14" t="str">
        <f t="shared" ca="1" si="0"/>
        <v/>
      </c>
      <c r="F14">
        <f>'stuttgart-bkjck-rawbinary'!I14</f>
        <v>49</v>
      </c>
      <c r="G14">
        <f>Weigt!N14</f>
        <v>49</v>
      </c>
      <c r="H14" t="str">
        <f t="shared" si="1"/>
        <v/>
      </c>
      <c r="I14">
        <f>'stuttgart-bkjck-rawbinary'!J14</f>
        <v>56</v>
      </c>
      <c r="J14">
        <f>Weigt!O14</f>
        <v>56</v>
      </c>
      <c r="K14" t="str">
        <f t="shared" si="2"/>
        <v/>
      </c>
    </row>
    <row r="15" spans="1:11" x14ac:dyDescent="0.35">
      <c r="A15" s="2">
        <f>'stuttgart-bkjck-rawbinary'!A15</f>
        <v>2893</v>
      </c>
      <c r="B15" t="str">
        <f ca="1">LOOKUP(A15,'stuttgart-bkjck-rawbinary'!$A$2:$A$449,'stuttgart-bkjck-rawbinary'!$H$2:$H462)</f>
        <v>t</v>
      </c>
      <c r="C15" t="str">
        <f>Weigt!C15</f>
        <v>2893</v>
      </c>
      <c r="D15" t="str">
        <f>Weigt!M15</f>
        <v>t</v>
      </c>
      <c r="E15" t="str">
        <f t="shared" ca="1" si="0"/>
        <v/>
      </c>
      <c r="F15">
        <f>'stuttgart-bkjck-rawbinary'!I15</f>
        <v>45</v>
      </c>
      <c r="G15">
        <f>Weigt!N15</f>
        <v>45</v>
      </c>
      <c r="H15" t="str">
        <f t="shared" si="1"/>
        <v/>
      </c>
      <c r="I15">
        <f>'stuttgart-bkjck-rawbinary'!J15</f>
        <v>9</v>
      </c>
      <c r="J15">
        <f>Weigt!O15</f>
        <v>9</v>
      </c>
      <c r="K15" t="str">
        <f t="shared" si="2"/>
        <v/>
      </c>
    </row>
    <row r="16" spans="1:11" x14ac:dyDescent="0.35">
      <c r="A16" s="2">
        <f>'stuttgart-bkjck-rawbinary'!A16</f>
        <v>2894</v>
      </c>
      <c r="B16" t="str">
        <f ca="1">LOOKUP(A16,'stuttgart-bkjck-rawbinary'!$A$2:$A$449,'stuttgart-bkjck-rawbinary'!$H$2:$H463)</f>
        <v>a</v>
      </c>
      <c r="C16" t="str">
        <f>Weigt!C16</f>
        <v>2894</v>
      </c>
      <c r="D16" t="str">
        <f>Weigt!M16</f>
        <v>a</v>
      </c>
      <c r="E16" t="str">
        <f t="shared" ca="1" si="0"/>
        <v/>
      </c>
      <c r="F16">
        <f>'stuttgart-bkjck-rawbinary'!I16</f>
        <v>46</v>
      </c>
      <c r="G16">
        <f>Weigt!N16</f>
        <v>46</v>
      </c>
      <c r="H16" t="str">
        <f t="shared" si="1"/>
        <v/>
      </c>
      <c r="I16">
        <f>'stuttgart-bkjck-rawbinary'!J16</f>
        <v>35</v>
      </c>
      <c r="J16">
        <f>Weigt!O16</f>
        <v>35</v>
      </c>
      <c r="K16" t="str">
        <f t="shared" si="2"/>
        <v/>
      </c>
    </row>
    <row r="17" spans="1:11" x14ac:dyDescent="0.35">
      <c r="A17" s="2">
        <f>'stuttgart-bkjck-rawbinary'!A17</f>
        <v>2895</v>
      </c>
      <c r="B17" t="str">
        <f ca="1">LOOKUP(A17,'stuttgart-bkjck-rawbinary'!$A$2:$A$449,'stuttgart-bkjck-rawbinary'!$H$2:$H464)</f>
        <v>h</v>
      </c>
      <c r="C17" t="str">
        <f>Weigt!C17</f>
        <v>2895</v>
      </c>
      <c r="D17" t="str">
        <f>Weigt!M17</f>
        <v>h</v>
      </c>
      <c r="E17" t="str">
        <f t="shared" ca="1" si="0"/>
        <v/>
      </c>
      <c r="F17">
        <f>'stuttgart-bkjck-rawbinary'!I17</f>
        <v>45</v>
      </c>
      <c r="G17">
        <f>Weigt!N17</f>
        <v>45</v>
      </c>
      <c r="H17" t="str">
        <f t="shared" si="1"/>
        <v/>
      </c>
      <c r="I17">
        <f>'stuttgart-bkjck-rawbinary'!J17</f>
        <v>37</v>
      </c>
      <c r="J17">
        <f>Weigt!O17</f>
        <v>37</v>
      </c>
      <c r="K17" t="str">
        <f t="shared" si="2"/>
        <v/>
      </c>
    </row>
    <row r="18" spans="1:11" x14ac:dyDescent="0.35">
      <c r="A18" s="2">
        <f>'stuttgart-bkjck-rawbinary'!A18</f>
        <v>2896</v>
      </c>
      <c r="B18" t="str">
        <f ca="1">LOOKUP(A18,'stuttgart-bkjck-rawbinary'!$A$2:$A$449,'stuttgart-bkjck-rawbinary'!$H$2:$H465)</f>
        <v>a</v>
      </c>
      <c r="C18" t="str">
        <f>Weigt!C18</f>
        <v>2896</v>
      </c>
      <c r="D18" t="str">
        <f>Weigt!M18</f>
        <v>a</v>
      </c>
      <c r="E18" t="str">
        <f t="shared" ca="1" si="0"/>
        <v/>
      </c>
      <c r="F18">
        <f>'stuttgart-bkjck-rawbinary'!I18</f>
        <v>45</v>
      </c>
      <c r="G18">
        <f>Weigt!N18</f>
        <v>45</v>
      </c>
      <c r="H18" t="str">
        <f t="shared" si="1"/>
        <v/>
      </c>
      <c r="I18">
        <f>'stuttgart-bkjck-rawbinary'!J18</f>
        <v>3</v>
      </c>
      <c r="J18">
        <f>Weigt!O18</f>
        <v>3</v>
      </c>
      <c r="K18" t="str">
        <f t="shared" si="2"/>
        <v/>
      </c>
    </row>
    <row r="19" spans="1:11" x14ac:dyDescent="0.35">
      <c r="A19" s="2">
        <f>'stuttgart-bkjck-rawbinary'!A19</f>
        <v>2897</v>
      </c>
      <c r="B19" t="str">
        <f ca="1">LOOKUP(A19,'stuttgart-bkjck-rawbinary'!$A$2:$A$449,'stuttgart-bkjck-rawbinary'!$H$2:$H466)</f>
        <v>y</v>
      </c>
      <c r="C19" t="str">
        <f>Weigt!C19</f>
        <v>2897</v>
      </c>
      <c r="D19" t="str">
        <f>Weigt!M19</f>
        <v>y</v>
      </c>
      <c r="E19" t="str">
        <f t="shared" ca="1" si="0"/>
        <v/>
      </c>
      <c r="F19">
        <f>'stuttgart-bkjck-rawbinary'!I19</f>
        <v>45</v>
      </c>
      <c r="G19">
        <f>Weigt!N19</f>
        <v>45</v>
      </c>
      <c r="H19" t="str">
        <f t="shared" si="1"/>
        <v/>
      </c>
      <c r="I19">
        <f>'stuttgart-bkjck-rawbinary'!J19</f>
        <v>26</v>
      </c>
      <c r="J19">
        <f>Weigt!O19</f>
        <v>26</v>
      </c>
      <c r="K19" t="str">
        <f t="shared" si="2"/>
        <v/>
      </c>
    </row>
    <row r="20" spans="1:11" x14ac:dyDescent="0.35">
      <c r="A20" s="2">
        <f>'stuttgart-bkjck-rawbinary'!A20</f>
        <v>2898</v>
      </c>
      <c r="B20" t="str">
        <f ca="1">LOOKUP(A20,'stuttgart-bkjck-rawbinary'!$A$2:$A$449,'stuttgart-bkjck-rawbinary'!$H$2:$H467)</f>
        <v>y</v>
      </c>
      <c r="C20" t="str">
        <f>Weigt!C20</f>
        <v>2898</v>
      </c>
      <c r="D20" t="str">
        <f>Weigt!M20</f>
        <v>y</v>
      </c>
      <c r="E20" t="str">
        <f t="shared" ca="1" si="0"/>
        <v/>
      </c>
      <c r="F20">
        <f>'stuttgart-bkjck-rawbinary'!I20</f>
        <v>45</v>
      </c>
      <c r="G20">
        <f>Weigt!N20</f>
        <v>45</v>
      </c>
      <c r="H20" t="str">
        <f t="shared" si="1"/>
        <v/>
      </c>
      <c r="I20">
        <f>'stuttgart-bkjck-rawbinary'!J20</f>
        <v>28</v>
      </c>
      <c r="J20">
        <f>Weigt!O20</f>
        <v>28</v>
      </c>
      <c r="K20" t="str">
        <f t="shared" si="2"/>
        <v/>
      </c>
    </row>
    <row r="21" spans="1:11" x14ac:dyDescent="0.35">
      <c r="A21" s="2">
        <f>'stuttgart-bkjck-rawbinary'!A21</f>
        <v>2899</v>
      </c>
      <c r="B21" t="str">
        <f ca="1">LOOKUP(A21,'stuttgart-bkjck-rawbinary'!$A$2:$A$449,'stuttgart-bkjck-rawbinary'!$H$2:$H468)</f>
        <v>y</v>
      </c>
      <c r="C21" t="str">
        <f>Weigt!C21</f>
        <v>2899</v>
      </c>
      <c r="D21" t="str">
        <f>Weigt!M21</f>
        <v>y</v>
      </c>
      <c r="E21" t="str">
        <f t="shared" ca="1" si="0"/>
        <v/>
      </c>
      <c r="F21">
        <f>'stuttgart-bkjck-rawbinary'!I21</f>
        <v>45</v>
      </c>
      <c r="G21">
        <f>Weigt!N21</f>
        <v>45</v>
      </c>
      <c r="H21" t="str">
        <f t="shared" si="1"/>
        <v/>
      </c>
      <c r="I21">
        <f>'stuttgart-bkjck-rawbinary'!J21</f>
        <v>20</v>
      </c>
      <c r="J21">
        <f>Weigt!O21</f>
        <v>20</v>
      </c>
      <c r="K21" t="str">
        <f t="shared" si="2"/>
        <v/>
      </c>
    </row>
    <row r="22" spans="1:11" x14ac:dyDescent="0.35">
      <c r="A22" s="2">
        <f>'stuttgart-bkjck-rawbinary'!A22</f>
        <v>2900</v>
      </c>
      <c r="B22" t="str">
        <f ca="1">LOOKUP(A22,'stuttgart-bkjck-rawbinary'!$A$2:$A$449,'stuttgart-bkjck-rawbinary'!$H$2:$H469)</f>
        <v>b</v>
      </c>
      <c r="C22" t="str">
        <f>Weigt!C22</f>
        <v>2900</v>
      </c>
      <c r="D22" t="str">
        <f>Weigt!M22</f>
        <v>b</v>
      </c>
      <c r="E22" t="str">
        <f t="shared" ca="1" si="0"/>
        <v/>
      </c>
      <c r="F22">
        <f>'stuttgart-bkjck-rawbinary'!I22</f>
        <v>45</v>
      </c>
      <c r="G22">
        <f>Weigt!N22</f>
        <v>45</v>
      </c>
      <c r="H22" t="str">
        <f t="shared" si="1"/>
        <v/>
      </c>
      <c r="I22">
        <f>'stuttgart-bkjck-rawbinary'!J22</f>
        <v>42</v>
      </c>
      <c r="J22">
        <f>Weigt!O22</f>
        <v>42</v>
      </c>
      <c r="K22" t="str">
        <f t="shared" si="2"/>
        <v/>
      </c>
    </row>
    <row r="23" spans="1:11" x14ac:dyDescent="0.35">
      <c r="A23" s="2">
        <f>'stuttgart-bkjck-rawbinary'!A23</f>
        <v>2901</v>
      </c>
      <c r="B23" t="str">
        <f ca="1">LOOKUP(A23,'stuttgart-bkjck-rawbinary'!$A$2:$A$449,'stuttgart-bkjck-rawbinary'!$H$2:$H470)</f>
        <v>e</v>
      </c>
      <c r="C23" t="str">
        <f>Weigt!C23</f>
        <v>2901</v>
      </c>
      <c r="D23" t="str">
        <f>Weigt!M23</f>
        <v>e</v>
      </c>
      <c r="E23" t="str">
        <f t="shared" ca="1" si="0"/>
        <v/>
      </c>
      <c r="F23">
        <f>'stuttgart-bkjck-rawbinary'!I23</f>
        <v>45</v>
      </c>
      <c r="G23">
        <f>Weigt!N23</f>
        <v>45</v>
      </c>
      <c r="H23" t="str">
        <f t="shared" si="1"/>
        <v/>
      </c>
      <c r="I23">
        <f>'stuttgart-bkjck-rawbinary'!J23</f>
        <v>57</v>
      </c>
      <c r="J23">
        <f>Weigt!O23</f>
        <v>57</v>
      </c>
      <c r="K23" t="str">
        <f t="shared" si="2"/>
        <v/>
      </c>
    </row>
    <row r="24" spans="1:11" x14ac:dyDescent="0.35">
      <c r="A24" s="2">
        <f>'stuttgart-bkjck-rawbinary'!A24</f>
        <v>2902</v>
      </c>
      <c r="B24" t="str">
        <f ca="1">LOOKUP(A24,'stuttgart-bkjck-rawbinary'!$A$2:$A$449,'stuttgart-bkjck-rawbinary'!$H$2:$H471)</f>
        <v>s</v>
      </c>
      <c r="C24" t="str">
        <f>Weigt!C24</f>
        <v>2902</v>
      </c>
      <c r="D24" t="str">
        <f>Weigt!M24</f>
        <v>s</v>
      </c>
      <c r="E24" t="str">
        <f t="shared" ca="1" si="0"/>
        <v/>
      </c>
      <c r="F24">
        <f>'stuttgart-bkjck-rawbinary'!I24</f>
        <v>45</v>
      </c>
      <c r="G24">
        <f>Weigt!N24</f>
        <v>45</v>
      </c>
      <c r="H24" t="str">
        <f t="shared" si="1"/>
        <v/>
      </c>
      <c r="I24">
        <f>'stuttgart-bkjck-rawbinary'!J24</f>
        <v>57</v>
      </c>
      <c r="J24">
        <f>Weigt!O24</f>
        <v>57</v>
      </c>
      <c r="K24" t="str">
        <f t="shared" si="2"/>
        <v/>
      </c>
    </row>
    <row r="25" spans="1:11" x14ac:dyDescent="0.35">
      <c r="A25" s="2">
        <f>'stuttgart-bkjck-rawbinary'!A25</f>
        <v>2903</v>
      </c>
      <c r="B25" t="str">
        <f ca="1">LOOKUP(A25,'stuttgart-bkjck-rawbinary'!$A$2:$A$449,'stuttgart-bkjck-rawbinary'!$H$2:$H472)</f>
        <v>t</v>
      </c>
      <c r="C25" t="str">
        <f>Weigt!C25</f>
        <v>2903</v>
      </c>
      <c r="D25" t="str">
        <f>Weigt!M25</f>
        <v>t</v>
      </c>
      <c r="E25" t="str">
        <f t="shared" ca="1" si="0"/>
        <v/>
      </c>
      <c r="F25">
        <f>'stuttgart-bkjck-rawbinary'!I25</f>
        <v>45</v>
      </c>
      <c r="G25">
        <f>Weigt!N25</f>
        <v>45</v>
      </c>
      <c r="H25" t="str">
        <f t="shared" si="1"/>
        <v/>
      </c>
      <c r="I25">
        <f>'stuttgart-bkjck-rawbinary'!J25</f>
        <v>26</v>
      </c>
      <c r="J25">
        <f>Weigt!O25</f>
        <v>26</v>
      </c>
      <c r="K25" t="str">
        <f t="shared" si="2"/>
        <v/>
      </c>
    </row>
    <row r="26" spans="1:11" x14ac:dyDescent="0.35">
      <c r="A26" s="2">
        <f>'stuttgart-bkjck-rawbinary'!A26</f>
        <v>2904</v>
      </c>
      <c r="B26" t="str">
        <f ca="1">LOOKUP(A26,'stuttgart-bkjck-rawbinary'!$A$2:$A$449,'stuttgart-bkjck-rawbinary'!$H$2:$H473)</f>
        <v>u</v>
      </c>
      <c r="C26" t="str">
        <f>Weigt!C26</f>
        <v>2904</v>
      </c>
      <c r="D26" t="str">
        <f>Weigt!M26</f>
        <v>u</v>
      </c>
      <c r="E26" t="str">
        <f t="shared" ca="1" si="0"/>
        <v/>
      </c>
      <c r="F26">
        <f>'stuttgart-bkjck-rawbinary'!I26</f>
        <v>46</v>
      </c>
      <c r="G26">
        <f>Weigt!N26</f>
        <v>46</v>
      </c>
      <c r="H26" t="str">
        <f t="shared" si="1"/>
        <v/>
      </c>
      <c r="I26">
        <f>'stuttgart-bkjck-rawbinary'!J26</f>
        <v>26</v>
      </c>
      <c r="J26">
        <f>Weigt!O26</f>
        <v>26</v>
      </c>
      <c r="K26" t="str">
        <f t="shared" si="2"/>
        <v/>
      </c>
    </row>
    <row r="27" spans="1:11" x14ac:dyDescent="0.35">
      <c r="A27" s="2">
        <f>'stuttgart-bkjck-rawbinary'!A27</f>
        <v>2905</v>
      </c>
      <c r="B27" t="str">
        <f ca="1">LOOKUP(A27,'stuttgart-bkjck-rawbinary'!$A$2:$A$449,'stuttgart-bkjck-rawbinary'!$H$2:$H474)</f>
        <v>b</v>
      </c>
      <c r="C27" t="str">
        <f>Weigt!C27</f>
        <v>2905</v>
      </c>
      <c r="D27" t="str">
        <f>Weigt!M27</f>
        <v>b</v>
      </c>
      <c r="E27" t="str">
        <f t="shared" ca="1" si="0"/>
        <v/>
      </c>
      <c r="F27">
        <f>'stuttgart-bkjck-rawbinary'!I27</f>
        <v>45</v>
      </c>
      <c r="G27">
        <f>Weigt!N27</f>
        <v>45</v>
      </c>
      <c r="H27" t="str">
        <f t="shared" si="1"/>
        <v/>
      </c>
      <c r="I27">
        <f>'stuttgart-bkjck-rawbinary'!J27</f>
        <v>52</v>
      </c>
      <c r="J27">
        <f>Weigt!O27</f>
        <v>52</v>
      </c>
      <c r="K27" t="str">
        <f t="shared" si="2"/>
        <v/>
      </c>
    </row>
    <row r="28" spans="1:11" x14ac:dyDescent="0.35">
      <c r="A28" s="2">
        <f>'stuttgart-bkjck-rawbinary'!A28</f>
        <v>2906</v>
      </c>
      <c r="B28" t="str">
        <f ca="1">LOOKUP(A28,'stuttgart-bkjck-rawbinary'!$A$2:$A$449,'stuttgart-bkjck-rawbinary'!$H$2:$H475)</f>
        <v>b</v>
      </c>
      <c r="C28" t="str">
        <f>Weigt!C28</f>
        <v>2906</v>
      </c>
      <c r="D28" t="str">
        <f>Weigt!M28</f>
        <v>b</v>
      </c>
      <c r="E28" t="str">
        <f t="shared" ca="1" si="0"/>
        <v/>
      </c>
      <c r="F28">
        <f>'stuttgart-bkjck-rawbinary'!I28</f>
        <v>45</v>
      </c>
      <c r="G28">
        <f>Weigt!N28</f>
        <v>45</v>
      </c>
      <c r="H28" t="str">
        <f t="shared" si="1"/>
        <v/>
      </c>
      <c r="I28">
        <f>'stuttgart-bkjck-rawbinary'!J28</f>
        <v>42</v>
      </c>
      <c r="J28">
        <f>Weigt!O28</f>
        <v>42</v>
      </c>
      <c r="K28" t="str">
        <f t="shared" si="2"/>
        <v/>
      </c>
    </row>
    <row r="29" spans="1:11" x14ac:dyDescent="0.35">
      <c r="A29" s="2">
        <f>'stuttgart-bkjck-rawbinary'!A29</f>
        <v>2907</v>
      </c>
      <c r="B29" t="str">
        <f ca="1">LOOKUP(A29,'stuttgart-bkjck-rawbinary'!$A$2:$A$449,'stuttgart-bkjck-rawbinary'!$H$2:$H476)</f>
        <v>a</v>
      </c>
      <c r="C29" t="str">
        <f>Weigt!C29</f>
        <v>2907</v>
      </c>
      <c r="D29" t="str">
        <f>Weigt!M29</f>
        <v>a</v>
      </c>
      <c r="E29" t="str">
        <f t="shared" ca="1" si="0"/>
        <v/>
      </c>
      <c r="F29">
        <f>'stuttgart-bkjck-rawbinary'!I29</f>
        <v>45</v>
      </c>
      <c r="G29">
        <f>Weigt!N29</f>
        <v>45</v>
      </c>
      <c r="H29" t="str">
        <f t="shared" si="1"/>
        <v/>
      </c>
      <c r="I29">
        <f>'stuttgart-bkjck-rawbinary'!J29</f>
        <v>57</v>
      </c>
      <c r="J29">
        <f>Weigt!O29</f>
        <v>57</v>
      </c>
      <c r="K29" t="str">
        <f t="shared" si="2"/>
        <v/>
      </c>
    </row>
    <row r="30" spans="1:11" x14ac:dyDescent="0.35">
      <c r="A30" s="2">
        <f>'stuttgart-bkjck-rawbinary'!A30</f>
        <v>2908</v>
      </c>
      <c r="B30" t="str">
        <f ca="1">LOOKUP(A30,'stuttgart-bkjck-rawbinary'!$A$2:$A$449,'stuttgart-bkjck-rawbinary'!$H$2:$H477)</f>
        <v>h</v>
      </c>
      <c r="C30" t="str">
        <f>Weigt!C30</f>
        <v>2908</v>
      </c>
      <c r="D30" t="str">
        <f>Weigt!M30</f>
        <v>h</v>
      </c>
      <c r="E30" t="str">
        <f t="shared" ca="1" si="0"/>
        <v/>
      </c>
      <c r="F30">
        <f>'stuttgart-bkjck-rawbinary'!I30</f>
        <v>45</v>
      </c>
      <c r="G30">
        <f>Weigt!N30</f>
        <v>45</v>
      </c>
      <c r="H30" t="str">
        <f t="shared" si="1"/>
        <v/>
      </c>
      <c r="I30">
        <f>'stuttgart-bkjck-rawbinary'!J30</f>
        <v>42</v>
      </c>
      <c r="J30">
        <f>Weigt!O30</f>
        <v>42</v>
      </c>
      <c r="K30" t="str">
        <f t="shared" si="2"/>
        <v/>
      </c>
    </row>
    <row r="31" spans="1:11" x14ac:dyDescent="0.35">
      <c r="A31" s="2">
        <f>'stuttgart-bkjck-rawbinary'!A31</f>
        <v>2909</v>
      </c>
      <c r="B31" t="str">
        <f ca="1">LOOKUP(A31,'stuttgart-bkjck-rawbinary'!$A$2:$A$449,'stuttgart-bkjck-rawbinary'!$H$2:$H478)</f>
        <v>c</v>
      </c>
      <c r="C31" t="str">
        <f>Weigt!C31</f>
        <v>2909</v>
      </c>
      <c r="D31" t="str">
        <f>Weigt!M31</f>
        <v>c</v>
      </c>
      <c r="E31" t="str">
        <f t="shared" ca="1" si="0"/>
        <v/>
      </c>
      <c r="F31">
        <f>'stuttgart-bkjck-rawbinary'!I31</f>
        <v>45</v>
      </c>
      <c r="G31">
        <f>Weigt!N31</f>
        <v>45</v>
      </c>
      <c r="H31" t="str">
        <f t="shared" si="1"/>
        <v/>
      </c>
      <c r="I31">
        <f>'stuttgart-bkjck-rawbinary'!J31</f>
        <v>34</v>
      </c>
      <c r="J31">
        <f>Weigt!O31</f>
        <v>34</v>
      </c>
      <c r="K31" t="str">
        <f t="shared" si="2"/>
        <v/>
      </c>
    </row>
    <row r="32" spans="1:11" x14ac:dyDescent="0.35">
      <c r="A32" s="2">
        <f>'stuttgart-bkjck-rawbinary'!A32</f>
        <v>2910</v>
      </c>
      <c r="B32" t="str">
        <f ca="1">LOOKUP(A32,'stuttgart-bkjck-rawbinary'!$A$2:$A$449,'stuttgart-bkjck-rawbinary'!$H$2:$H479)</f>
        <v>b</v>
      </c>
      <c r="C32" t="str">
        <f>Weigt!C32</f>
        <v>2910</v>
      </c>
      <c r="D32" t="str">
        <f>Weigt!M32</f>
        <v>b</v>
      </c>
      <c r="E32" t="str">
        <f t="shared" ca="1" si="0"/>
        <v/>
      </c>
      <c r="F32">
        <f>'stuttgart-bkjck-rawbinary'!I32</f>
        <v>45</v>
      </c>
      <c r="G32">
        <f>Weigt!N32</f>
        <v>45</v>
      </c>
      <c r="H32" t="str">
        <f t="shared" si="1"/>
        <v/>
      </c>
      <c r="I32">
        <f>'stuttgart-bkjck-rawbinary'!J32</f>
        <v>53</v>
      </c>
      <c r="J32">
        <f>Weigt!O32</f>
        <v>53</v>
      </c>
      <c r="K32" t="str">
        <f t="shared" si="2"/>
        <v/>
      </c>
    </row>
    <row r="33" spans="1:11" x14ac:dyDescent="0.35">
      <c r="A33" s="2">
        <f>'stuttgart-bkjck-rawbinary'!A33</f>
        <v>2911</v>
      </c>
      <c r="B33" t="str">
        <f ca="1">LOOKUP(A33,'stuttgart-bkjck-rawbinary'!$A$2:$A$449,'stuttgart-bkjck-rawbinary'!$H$2:$H480)</f>
        <v>c</v>
      </c>
      <c r="C33" t="str">
        <f>Weigt!C33</f>
        <v>2911</v>
      </c>
      <c r="D33" t="str">
        <f>Weigt!M33</f>
        <v>c</v>
      </c>
      <c r="E33" t="str">
        <f t="shared" ca="1" si="0"/>
        <v/>
      </c>
      <c r="F33">
        <f>'stuttgart-bkjck-rawbinary'!I33</f>
        <v>45</v>
      </c>
      <c r="G33">
        <f>Weigt!N33</f>
        <v>45</v>
      </c>
      <c r="H33" t="str">
        <f t="shared" si="1"/>
        <v/>
      </c>
      <c r="I33">
        <f>'stuttgart-bkjck-rawbinary'!J33</f>
        <v>35</v>
      </c>
      <c r="J33">
        <f>Weigt!O33</f>
        <v>35</v>
      </c>
      <c r="K33" t="str">
        <f t="shared" si="2"/>
        <v/>
      </c>
    </row>
    <row r="34" spans="1:11" x14ac:dyDescent="0.35">
      <c r="A34" s="2">
        <f>'stuttgart-bkjck-rawbinary'!A34</f>
        <v>2912</v>
      </c>
      <c r="B34" t="str">
        <f ca="1">LOOKUP(A34,'stuttgart-bkjck-rawbinary'!$A$2:$A$449,'stuttgart-bkjck-rawbinary'!$H$2:$H481)</f>
        <v>r</v>
      </c>
      <c r="C34" t="str">
        <f>Weigt!C34</f>
        <v>2912</v>
      </c>
      <c r="D34" t="str">
        <f>Weigt!M34</f>
        <v>r</v>
      </c>
      <c r="E34" t="str">
        <f t="shared" ca="1" si="0"/>
        <v/>
      </c>
      <c r="F34">
        <f>'stuttgart-bkjck-rawbinary'!I34</f>
        <v>51</v>
      </c>
      <c r="G34">
        <f>Weigt!N34</f>
        <v>51</v>
      </c>
      <c r="H34" t="str">
        <f t="shared" si="1"/>
        <v/>
      </c>
      <c r="I34">
        <f>'stuttgart-bkjck-rawbinary'!J34</f>
        <v>0</v>
      </c>
      <c r="J34">
        <f>Weigt!O34</f>
        <v>0</v>
      </c>
      <c r="K34" t="str">
        <f t="shared" si="2"/>
        <v/>
      </c>
    </row>
    <row r="35" spans="1:11" x14ac:dyDescent="0.35">
      <c r="A35" s="2">
        <f>'stuttgart-bkjck-rawbinary'!A35</f>
        <v>2913</v>
      </c>
      <c r="B35" t="str">
        <f ca="1">LOOKUP(A35,'stuttgart-bkjck-rawbinary'!$A$2:$A$449,'stuttgart-bkjck-rawbinary'!$H$2:$H482)</f>
        <v>u</v>
      </c>
      <c r="C35" t="str">
        <f>Weigt!C35</f>
        <v>2913</v>
      </c>
      <c r="D35" t="str">
        <f>Weigt!M35</f>
        <v>u</v>
      </c>
      <c r="E35" t="str">
        <f t="shared" ca="1" si="0"/>
        <v/>
      </c>
      <c r="F35">
        <f>'stuttgart-bkjck-rawbinary'!I35</f>
        <v>51</v>
      </c>
      <c r="G35">
        <f>Weigt!N35</f>
        <v>51</v>
      </c>
      <c r="H35" t="str">
        <f t="shared" si="1"/>
        <v/>
      </c>
      <c r="I35">
        <f>'stuttgart-bkjck-rawbinary'!J35</f>
        <v>0</v>
      </c>
      <c r="J35">
        <f>Weigt!O35</f>
        <v>0</v>
      </c>
      <c r="K35" t="str">
        <f t="shared" si="2"/>
        <v/>
      </c>
    </row>
    <row r="36" spans="1:11" x14ac:dyDescent="0.35">
      <c r="A36" s="2">
        <f>'stuttgart-bkjck-rawbinary'!A36</f>
        <v>2914</v>
      </c>
      <c r="B36" t="str">
        <f ca="1">LOOKUP(A36,'stuttgart-bkjck-rawbinary'!$A$2:$A$449,'stuttgart-bkjck-rawbinary'!$H$2:$H483)</f>
        <v>i</v>
      </c>
      <c r="C36" t="str">
        <f>Weigt!C36</f>
        <v>2914</v>
      </c>
      <c r="D36" t="str">
        <f>Weigt!M36</f>
        <v>i</v>
      </c>
      <c r="E36" t="str">
        <f t="shared" ca="1" si="0"/>
        <v/>
      </c>
      <c r="F36">
        <f>'stuttgart-bkjck-rawbinary'!I36</f>
        <v>6</v>
      </c>
      <c r="G36">
        <f>Weigt!N36</f>
        <v>6</v>
      </c>
      <c r="H36" t="str">
        <f t="shared" si="1"/>
        <v/>
      </c>
      <c r="I36">
        <f>'stuttgart-bkjck-rawbinary'!J36</f>
        <v>21</v>
      </c>
      <c r="J36">
        <f>Weigt!O36</f>
        <v>21</v>
      </c>
      <c r="K36" t="str">
        <f t="shared" si="2"/>
        <v/>
      </c>
    </row>
    <row r="37" spans="1:11" x14ac:dyDescent="0.35">
      <c r="A37" s="2">
        <f>'stuttgart-bkjck-rawbinary'!A37</f>
        <v>2915</v>
      </c>
      <c r="B37" t="str">
        <f ca="1">LOOKUP(A37,'stuttgart-bkjck-rawbinary'!$A$2:$A$449,'stuttgart-bkjck-rawbinary'!$H$2:$H484)</f>
        <v>n</v>
      </c>
      <c r="C37" t="str">
        <f>Weigt!C37</f>
        <v>2915</v>
      </c>
      <c r="D37" t="str">
        <f>Weigt!M37</f>
        <v>n</v>
      </c>
      <c r="E37" t="str">
        <f t="shared" ca="1" si="0"/>
        <v/>
      </c>
      <c r="F37">
        <f>'stuttgart-bkjck-rawbinary'!I37</f>
        <v>34</v>
      </c>
      <c r="G37">
        <f>Weigt!N37</f>
        <v>34</v>
      </c>
      <c r="H37" t="str">
        <f t="shared" si="1"/>
        <v/>
      </c>
      <c r="I37">
        <f>'stuttgart-bkjck-rawbinary'!J37</f>
        <v>31</v>
      </c>
      <c r="J37">
        <f>Weigt!O37</f>
        <v>31</v>
      </c>
      <c r="K37" t="str">
        <f t="shared" si="2"/>
        <v/>
      </c>
    </row>
    <row r="38" spans="1:11" x14ac:dyDescent="0.35">
      <c r="A38" s="2">
        <f>'stuttgart-bkjck-rawbinary'!A38</f>
        <v>2916</v>
      </c>
      <c r="B38" t="str">
        <f ca="1">LOOKUP(A38,'stuttgart-bkjck-rawbinary'!$A$2:$A$449,'stuttgart-bkjck-rawbinary'!$H$2:$H485)</f>
        <v>u</v>
      </c>
      <c r="C38" t="str">
        <f>Weigt!C38</f>
        <v>2916</v>
      </c>
      <c r="D38" t="str">
        <f>Weigt!M38</f>
        <v>u</v>
      </c>
      <c r="E38" t="str">
        <f t="shared" ca="1" si="0"/>
        <v/>
      </c>
      <c r="F38">
        <f>'stuttgart-bkjck-rawbinary'!I38</f>
        <v>46</v>
      </c>
      <c r="G38">
        <f>Weigt!N38</f>
        <v>46</v>
      </c>
      <c r="H38" t="str">
        <f t="shared" si="1"/>
        <v/>
      </c>
      <c r="I38">
        <f>'stuttgart-bkjck-rawbinary'!J38</f>
        <v>0</v>
      </c>
      <c r="J38">
        <f>Weigt!O38</f>
        <v>0</v>
      </c>
      <c r="K38" t="str">
        <f t="shared" si="2"/>
        <v/>
      </c>
    </row>
    <row r="39" spans="1:11" x14ac:dyDescent="0.35">
      <c r="A39" s="2">
        <f>'stuttgart-bkjck-rawbinary'!A39</f>
        <v>2917</v>
      </c>
      <c r="B39" t="str">
        <f ca="1">LOOKUP(A39,'stuttgart-bkjck-rawbinary'!$A$2:$A$449,'stuttgart-bkjck-rawbinary'!$H$2:$H486)</f>
        <v>z</v>
      </c>
      <c r="C39" t="str">
        <f>Weigt!C39</f>
        <v>2917</v>
      </c>
      <c r="D39" t="str">
        <f>Weigt!M39</f>
        <v>z</v>
      </c>
      <c r="E39" t="str">
        <f t="shared" ca="1" si="0"/>
        <v/>
      </c>
      <c r="F39">
        <f>'stuttgart-bkjck-rawbinary'!I39</f>
        <v>0</v>
      </c>
      <c r="G39">
        <f>Weigt!N39</f>
        <v>0</v>
      </c>
      <c r="H39" t="str">
        <f t="shared" si="1"/>
        <v/>
      </c>
      <c r="I39">
        <f>'stuttgart-bkjck-rawbinary'!J39</f>
        <v>6</v>
      </c>
      <c r="J39">
        <f>Weigt!O39</f>
        <v>6</v>
      </c>
      <c r="K39" t="str">
        <f t="shared" si="2"/>
        <v/>
      </c>
    </row>
    <row r="40" spans="1:11" x14ac:dyDescent="0.35">
      <c r="A40" s="2">
        <f>'stuttgart-bkjck-rawbinary'!A40</f>
        <v>2918</v>
      </c>
      <c r="B40" t="str">
        <f ca="1">LOOKUP(A40,'stuttgart-bkjck-rawbinary'!$A$2:$A$449,'stuttgart-bkjck-rawbinary'!$H$2:$H487)</f>
        <v>z</v>
      </c>
      <c r="C40" t="str">
        <f>Weigt!C40</f>
        <v>2918</v>
      </c>
      <c r="D40" t="str">
        <f>Weigt!M40</f>
        <v>z</v>
      </c>
      <c r="E40" t="str">
        <f t="shared" ca="1" si="0"/>
        <v/>
      </c>
      <c r="F40">
        <f>'stuttgart-bkjck-rawbinary'!I40</f>
        <v>45</v>
      </c>
      <c r="G40">
        <f>Weigt!N40</f>
        <v>45</v>
      </c>
      <c r="H40" t="str">
        <f t="shared" si="1"/>
        <v/>
      </c>
      <c r="I40">
        <f>'stuttgart-bkjck-rawbinary'!J40</f>
        <v>52</v>
      </c>
      <c r="J40">
        <f>Weigt!O40</f>
        <v>52</v>
      </c>
      <c r="K40" t="str">
        <f t="shared" si="2"/>
        <v/>
      </c>
    </row>
    <row r="41" spans="1:11" x14ac:dyDescent="0.35">
      <c r="A41" s="2">
        <f>'stuttgart-bkjck-rawbinary'!A41</f>
        <v>2919</v>
      </c>
      <c r="B41" t="str">
        <f ca="1">LOOKUP(A41,'stuttgart-bkjck-rawbinary'!$A$2:$A$449,'stuttgart-bkjck-rawbinary'!$H$2:$H488)</f>
        <v>y</v>
      </c>
      <c r="C41" t="str">
        <f>Weigt!C41</f>
        <v>2919</v>
      </c>
      <c r="D41" t="str">
        <f>Weigt!M41</f>
        <v>y</v>
      </c>
      <c r="E41" t="str">
        <f t="shared" ca="1" si="0"/>
        <v/>
      </c>
      <c r="F41">
        <f>'stuttgart-bkjck-rawbinary'!I41</f>
        <v>8</v>
      </c>
      <c r="G41">
        <f>Weigt!N41</f>
        <v>8</v>
      </c>
      <c r="H41" t="str">
        <f t="shared" si="1"/>
        <v/>
      </c>
      <c r="I41">
        <f>'stuttgart-bkjck-rawbinary'!J41</f>
        <v>1</v>
      </c>
      <c r="J41">
        <f>Weigt!O41</f>
        <v>1</v>
      </c>
      <c r="K41" t="str">
        <f t="shared" si="2"/>
        <v/>
      </c>
    </row>
    <row r="42" spans="1:11" x14ac:dyDescent="0.35">
      <c r="A42" s="2">
        <f>'stuttgart-bkjck-rawbinary'!A42</f>
        <v>2920</v>
      </c>
      <c r="B42" t="str">
        <f ca="1">LOOKUP(A42,'stuttgart-bkjck-rawbinary'!$A$2:$A$449,'stuttgart-bkjck-rawbinary'!$H$2:$H489)</f>
        <v>i</v>
      </c>
      <c r="C42" t="str">
        <f>Weigt!C42</f>
        <v>2920</v>
      </c>
      <c r="D42" t="str">
        <f>Weigt!M42</f>
        <v>i</v>
      </c>
      <c r="E42" t="str">
        <f t="shared" ca="1" si="0"/>
        <v/>
      </c>
      <c r="F42">
        <f>'stuttgart-bkjck-rawbinary'!I42</f>
        <v>6</v>
      </c>
      <c r="G42">
        <f>Weigt!N42</f>
        <v>6</v>
      </c>
      <c r="H42" t="str">
        <f t="shared" si="1"/>
        <v/>
      </c>
      <c r="I42">
        <f>'stuttgart-bkjck-rawbinary'!J42</f>
        <v>21</v>
      </c>
      <c r="J42">
        <f>Weigt!O42</f>
        <v>21</v>
      </c>
      <c r="K42" t="str">
        <f t="shared" si="2"/>
        <v/>
      </c>
    </row>
    <row r="43" spans="1:11" x14ac:dyDescent="0.35">
      <c r="A43" s="2">
        <f>'stuttgart-bkjck-rawbinary'!A43</f>
        <v>2921</v>
      </c>
      <c r="B43" t="str">
        <f ca="1">LOOKUP(A43,'stuttgart-bkjck-rawbinary'!$A$2:$A$449,'stuttgart-bkjck-rawbinary'!$H$2:$H490)</f>
        <v>h</v>
      </c>
      <c r="C43" t="str">
        <f>Weigt!C43</f>
        <v>2921</v>
      </c>
      <c r="D43" t="str">
        <f>Weigt!M43</f>
        <v>h</v>
      </c>
      <c r="E43" t="str">
        <f t="shared" ca="1" si="0"/>
        <v/>
      </c>
      <c r="F43">
        <f>'stuttgart-bkjck-rawbinary'!I43</f>
        <v>6</v>
      </c>
      <c r="G43">
        <f>Weigt!N43</f>
        <v>6</v>
      </c>
      <c r="H43" t="str">
        <f t="shared" si="1"/>
        <v/>
      </c>
      <c r="I43">
        <f>'stuttgart-bkjck-rawbinary'!J43</f>
        <v>21</v>
      </c>
      <c r="J43">
        <f>Weigt!O43</f>
        <v>21</v>
      </c>
      <c r="K43" t="str">
        <f t="shared" si="2"/>
        <v/>
      </c>
    </row>
    <row r="44" spans="1:11" x14ac:dyDescent="0.35">
      <c r="A44" s="2">
        <f>'stuttgart-bkjck-rawbinary'!A44</f>
        <v>2922</v>
      </c>
      <c r="B44" t="str">
        <f ca="1">LOOKUP(A44,'stuttgart-bkjck-rawbinary'!$A$2:$A$449,'stuttgart-bkjck-rawbinary'!$H$2:$H491)</f>
        <v>i</v>
      </c>
      <c r="C44" t="str">
        <f>Weigt!C44</f>
        <v>2922</v>
      </c>
      <c r="D44" t="str">
        <f>Weigt!M44</f>
        <v>i</v>
      </c>
      <c r="E44" t="str">
        <f t="shared" ca="1" si="0"/>
        <v/>
      </c>
      <c r="F44">
        <f>'stuttgart-bkjck-rawbinary'!I44</f>
        <v>6</v>
      </c>
      <c r="G44">
        <f>Weigt!N44</f>
        <v>6</v>
      </c>
      <c r="H44" t="str">
        <f t="shared" si="1"/>
        <v/>
      </c>
      <c r="I44">
        <f>'stuttgart-bkjck-rawbinary'!J44</f>
        <v>21</v>
      </c>
      <c r="J44">
        <f>Weigt!O44</f>
        <v>21</v>
      </c>
      <c r="K44" t="str">
        <f t="shared" si="2"/>
        <v/>
      </c>
    </row>
    <row r="45" spans="1:11" x14ac:dyDescent="0.35">
      <c r="A45" s="2">
        <f>'stuttgart-bkjck-rawbinary'!A45</f>
        <v>2923</v>
      </c>
      <c r="B45" t="str">
        <f ca="1">LOOKUP(A45,'stuttgart-bkjck-rawbinary'!$A$2:$A$449,'stuttgart-bkjck-rawbinary'!$H$2:$H492)</f>
        <v>h</v>
      </c>
      <c r="C45" t="str">
        <f>Weigt!C45</f>
        <v>2923</v>
      </c>
      <c r="D45" t="str">
        <f>Weigt!M45</f>
        <v>h</v>
      </c>
      <c r="E45" t="str">
        <f t="shared" ca="1" si="0"/>
        <v/>
      </c>
      <c r="F45">
        <f>'stuttgart-bkjck-rawbinary'!I45</f>
        <v>6</v>
      </c>
      <c r="G45">
        <f>Weigt!N45</f>
        <v>6</v>
      </c>
      <c r="H45" t="str">
        <f t="shared" si="1"/>
        <v/>
      </c>
      <c r="I45">
        <f>'stuttgart-bkjck-rawbinary'!J45</f>
        <v>21</v>
      </c>
      <c r="J45">
        <f>Weigt!O45</f>
        <v>21</v>
      </c>
      <c r="K45" t="str">
        <f t="shared" si="2"/>
        <v/>
      </c>
    </row>
    <row r="46" spans="1:11" x14ac:dyDescent="0.35">
      <c r="A46" s="2">
        <f>'stuttgart-bkjck-rawbinary'!A46</f>
        <v>2924</v>
      </c>
      <c r="B46" t="str">
        <f ca="1">LOOKUP(A46,'stuttgart-bkjck-rawbinary'!$A$2:$A$449,'stuttgart-bkjck-rawbinary'!$H$2:$H493)</f>
        <v>i</v>
      </c>
      <c r="C46" t="str">
        <f>Weigt!C46</f>
        <v>2924</v>
      </c>
      <c r="D46" t="str">
        <f>Weigt!M46</f>
        <v>i</v>
      </c>
      <c r="E46" t="str">
        <f t="shared" ca="1" si="0"/>
        <v/>
      </c>
      <c r="F46">
        <f>'stuttgart-bkjck-rawbinary'!I46</f>
        <v>6</v>
      </c>
      <c r="G46">
        <f>Weigt!N46</f>
        <v>6</v>
      </c>
      <c r="H46" t="str">
        <f t="shared" si="1"/>
        <v/>
      </c>
      <c r="I46">
        <f>'stuttgart-bkjck-rawbinary'!J46</f>
        <v>21</v>
      </c>
      <c r="J46">
        <f>Weigt!O46</f>
        <v>21</v>
      </c>
      <c r="K46" t="str">
        <f t="shared" si="2"/>
        <v/>
      </c>
    </row>
    <row r="47" spans="1:11" x14ac:dyDescent="0.35">
      <c r="A47" s="2">
        <f>'stuttgart-bkjck-rawbinary'!A47</f>
        <v>2925</v>
      </c>
      <c r="B47" t="str">
        <f ca="1">LOOKUP(A47,'stuttgart-bkjck-rawbinary'!$A$2:$A$449,'stuttgart-bkjck-rawbinary'!$H$2:$H494)</f>
        <v>h</v>
      </c>
      <c r="C47" t="str">
        <f>Weigt!C47</f>
        <v>2925</v>
      </c>
      <c r="D47" t="str">
        <f>Weigt!M47</f>
        <v>h</v>
      </c>
      <c r="E47" t="str">
        <f t="shared" ca="1" si="0"/>
        <v/>
      </c>
      <c r="F47">
        <f>'stuttgart-bkjck-rawbinary'!I47</f>
        <v>6</v>
      </c>
      <c r="G47">
        <f>Weigt!N47</f>
        <v>6</v>
      </c>
      <c r="H47" t="str">
        <f t="shared" si="1"/>
        <v/>
      </c>
      <c r="I47">
        <f>'stuttgart-bkjck-rawbinary'!J47</f>
        <v>21</v>
      </c>
      <c r="J47">
        <f>Weigt!O47</f>
        <v>21</v>
      </c>
      <c r="K47" t="str">
        <f t="shared" si="2"/>
        <v/>
      </c>
    </row>
    <row r="48" spans="1:11" x14ac:dyDescent="0.35">
      <c r="A48" s="2">
        <f>'stuttgart-bkjck-rawbinary'!A48</f>
        <v>2926</v>
      </c>
      <c r="B48" t="str">
        <f ca="1">LOOKUP(A48,'stuttgart-bkjck-rawbinary'!$A$2:$A$449,'stuttgart-bkjck-rawbinary'!$H$2:$H495)</f>
        <v>i</v>
      </c>
      <c r="C48" t="str">
        <f>Weigt!C48</f>
        <v>2926</v>
      </c>
      <c r="D48" t="str">
        <f>Weigt!M48</f>
        <v>i</v>
      </c>
      <c r="E48" t="str">
        <f t="shared" ca="1" si="0"/>
        <v/>
      </c>
      <c r="F48">
        <f>'stuttgart-bkjck-rawbinary'!I48</f>
        <v>6</v>
      </c>
      <c r="G48">
        <f>Weigt!N48</f>
        <v>6</v>
      </c>
      <c r="H48" t="str">
        <f t="shared" si="1"/>
        <v/>
      </c>
      <c r="I48">
        <f>'stuttgart-bkjck-rawbinary'!J48</f>
        <v>21</v>
      </c>
      <c r="J48">
        <f>Weigt!O48</f>
        <v>21</v>
      </c>
      <c r="K48" t="str">
        <f t="shared" si="2"/>
        <v/>
      </c>
    </row>
    <row r="49" spans="1:11" x14ac:dyDescent="0.35">
      <c r="A49" s="2">
        <f>'stuttgart-bkjck-rawbinary'!A49</f>
        <v>2927</v>
      </c>
      <c r="B49" t="str">
        <f ca="1">LOOKUP(A49,'stuttgart-bkjck-rawbinary'!$A$2:$A$449,'stuttgart-bkjck-rawbinary'!$H$2:$H496)</f>
        <v>h</v>
      </c>
      <c r="C49" t="str">
        <f>Weigt!C49</f>
        <v>2927</v>
      </c>
      <c r="D49" t="str">
        <f>Weigt!M49</f>
        <v>h</v>
      </c>
      <c r="E49" t="str">
        <f t="shared" ca="1" si="0"/>
        <v/>
      </c>
      <c r="F49">
        <f>'stuttgart-bkjck-rawbinary'!I49</f>
        <v>6</v>
      </c>
      <c r="G49">
        <f>Weigt!N49</f>
        <v>6</v>
      </c>
      <c r="H49" t="str">
        <f t="shared" si="1"/>
        <v/>
      </c>
      <c r="I49">
        <f>'stuttgart-bkjck-rawbinary'!J49</f>
        <v>21</v>
      </c>
      <c r="J49">
        <f>Weigt!O49</f>
        <v>21</v>
      </c>
      <c r="K49" t="str">
        <f t="shared" si="2"/>
        <v/>
      </c>
    </row>
    <row r="50" spans="1:11" x14ac:dyDescent="0.35">
      <c r="A50" s="2">
        <f>'stuttgart-bkjck-rawbinary'!A50</f>
        <v>2928</v>
      </c>
      <c r="B50" t="str">
        <f ca="1">LOOKUP(A50,'stuttgart-bkjck-rawbinary'!$A$2:$A$449,'stuttgart-bkjck-rawbinary'!$H$2:$H497)</f>
        <v>h</v>
      </c>
      <c r="C50" t="str">
        <f>Weigt!C50</f>
        <v>2928</v>
      </c>
      <c r="D50" t="str">
        <f>Weigt!M50</f>
        <v>h</v>
      </c>
      <c r="E50" t="str">
        <f t="shared" ca="1" si="0"/>
        <v/>
      </c>
      <c r="F50">
        <f>'stuttgart-bkjck-rawbinary'!I50</f>
        <v>4</v>
      </c>
      <c r="G50">
        <f>Weigt!N50</f>
        <v>4</v>
      </c>
      <c r="H50" t="str">
        <f t="shared" si="1"/>
        <v/>
      </c>
      <c r="I50">
        <f>'stuttgart-bkjck-rawbinary'!J50</f>
        <v>1</v>
      </c>
      <c r="J50">
        <f>Weigt!O50</f>
        <v>1</v>
      </c>
      <c r="K50" t="str">
        <f t="shared" si="2"/>
        <v/>
      </c>
    </row>
    <row r="51" spans="1:11" x14ac:dyDescent="0.35">
      <c r="A51" s="2">
        <f>'stuttgart-bkjck-rawbinary'!A51</f>
        <v>2929</v>
      </c>
      <c r="B51" t="str">
        <f ca="1">LOOKUP(A51,'stuttgart-bkjck-rawbinary'!$A$2:$A$449,'stuttgart-bkjck-rawbinary'!$H$2:$H498)</f>
        <v>i</v>
      </c>
      <c r="C51" t="str">
        <f>Weigt!C51</f>
        <v>2929</v>
      </c>
      <c r="D51" t="str">
        <f>Weigt!M51</f>
        <v>i</v>
      </c>
      <c r="E51" t="str">
        <f t="shared" ca="1" si="0"/>
        <v/>
      </c>
      <c r="F51">
        <f>'stuttgart-bkjck-rawbinary'!I51</f>
        <v>8</v>
      </c>
      <c r="G51">
        <f>Weigt!N51</f>
        <v>8</v>
      </c>
      <c r="H51" t="str">
        <f t="shared" si="1"/>
        <v/>
      </c>
      <c r="I51">
        <f>'stuttgart-bkjck-rawbinary'!J51</f>
        <v>1</v>
      </c>
      <c r="J51">
        <f>Weigt!O51</f>
        <v>1</v>
      </c>
      <c r="K51" t="str">
        <f t="shared" si="2"/>
        <v/>
      </c>
    </row>
    <row r="52" spans="1:11" x14ac:dyDescent="0.35">
      <c r="A52" s="2">
        <f>'stuttgart-bkjck-rawbinary'!A52</f>
        <v>2930</v>
      </c>
      <c r="B52" t="str">
        <f ca="1">LOOKUP(A52,'stuttgart-bkjck-rawbinary'!$A$2:$A$449,'stuttgart-bkjck-rawbinary'!$H$2:$H499)</f>
        <v>d</v>
      </c>
      <c r="C52" t="str">
        <f>Weigt!C52</f>
        <v>2930</v>
      </c>
      <c r="D52" t="str">
        <f>Weigt!M52</f>
        <v>d</v>
      </c>
      <c r="E52" t="str">
        <f t="shared" ca="1" si="0"/>
        <v/>
      </c>
      <c r="F52">
        <f>'stuttgart-bkjck-rawbinary'!I52</f>
        <v>8</v>
      </c>
      <c r="G52">
        <f>Weigt!N52</f>
        <v>8</v>
      </c>
      <c r="H52" t="str">
        <f t="shared" si="1"/>
        <v/>
      </c>
      <c r="I52">
        <f>'stuttgart-bkjck-rawbinary'!J52</f>
        <v>1</v>
      </c>
      <c r="J52">
        <f>Weigt!O52</f>
        <v>1</v>
      </c>
      <c r="K52" t="str">
        <f t="shared" si="2"/>
        <v/>
      </c>
    </row>
    <row r="53" spans="1:11" x14ac:dyDescent="0.35">
      <c r="A53" s="2">
        <f>'stuttgart-bkjck-rawbinary'!A53</f>
        <v>2931</v>
      </c>
      <c r="B53" t="str">
        <f ca="1">LOOKUP(A53,'stuttgart-bkjck-rawbinary'!$A$2:$A$449,'stuttgart-bkjck-rawbinary'!$H$2:$H500)</f>
        <v>h</v>
      </c>
      <c r="C53" t="str">
        <f>Weigt!C53</f>
        <v>2931</v>
      </c>
      <c r="D53" t="str">
        <f>Weigt!M53</f>
        <v>h</v>
      </c>
      <c r="E53" t="str">
        <f t="shared" ca="1" si="0"/>
        <v/>
      </c>
      <c r="F53">
        <f>'stuttgart-bkjck-rawbinary'!I53</f>
        <v>8</v>
      </c>
      <c r="G53">
        <f>Weigt!N53</f>
        <v>8</v>
      </c>
      <c r="H53" t="str">
        <f t="shared" si="1"/>
        <v/>
      </c>
      <c r="I53">
        <f>'stuttgart-bkjck-rawbinary'!J53</f>
        <v>1</v>
      </c>
      <c r="J53">
        <f>Weigt!O53</f>
        <v>1</v>
      </c>
      <c r="K53" t="str">
        <f t="shared" si="2"/>
        <v/>
      </c>
    </row>
    <row r="54" spans="1:11" x14ac:dyDescent="0.35">
      <c r="A54" s="2">
        <f>'stuttgart-bkjck-rawbinary'!A54</f>
        <v>2932</v>
      </c>
      <c r="B54" t="str">
        <f ca="1">LOOKUP(A54,'stuttgart-bkjck-rawbinary'!$A$2:$A$449,'stuttgart-bkjck-rawbinary'!$H$2:$H501)</f>
        <v>n</v>
      </c>
      <c r="C54" t="str">
        <f>Weigt!C54</f>
        <v>2932</v>
      </c>
      <c r="D54" t="str">
        <f>Weigt!M54</f>
        <v>n</v>
      </c>
      <c r="E54" t="str">
        <f t="shared" ca="1" si="0"/>
        <v/>
      </c>
      <c r="F54">
        <f>'stuttgart-bkjck-rawbinary'!I54</f>
        <v>58</v>
      </c>
      <c r="G54">
        <f>Weigt!N54</f>
        <v>58</v>
      </c>
      <c r="H54" t="str">
        <f t="shared" si="1"/>
        <v/>
      </c>
      <c r="I54">
        <f>'stuttgart-bkjck-rawbinary'!J54</f>
        <v>31</v>
      </c>
      <c r="J54">
        <f>Weigt!O54</f>
        <v>31</v>
      </c>
      <c r="K54" t="str">
        <f t="shared" si="2"/>
        <v/>
      </c>
    </row>
    <row r="55" spans="1:11" x14ac:dyDescent="0.35">
      <c r="A55" s="2">
        <f>'stuttgart-bkjck-rawbinary'!A55</f>
        <v>2933</v>
      </c>
      <c r="B55" t="str">
        <f ca="1">LOOKUP(A55,'stuttgart-bkjck-rawbinary'!$A$2:$A$449,'stuttgart-bkjck-rawbinary'!$H$2:$H502)</f>
        <v>n</v>
      </c>
      <c r="C55" t="str">
        <f>Weigt!C55</f>
        <v>2933</v>
      </c>
      <c r="D55" t="str">
        <f>Weigt!M55</f>
        <v>n</v>
      </c>
      <c r="E55" t="str">
        <f t="shared" ca="1" si="0"/>
        <v/>
      </c>
      <c r="F55">
        <f>'stuttgart-bkjck-rawbinary'!I55</f>
        <v>34</v>
      </c>
      <c r="G55">
        <f>Weigt!N55</f>
        <v>34</v>
      </c>
      <c r="H55" t="str">
        <f t="shared" si="1"/>
        <v/>
      </c>
      <c r="I55">
        <f>'stuttgart-bkjck-rawbinary'!J55</f>
        <v>31</v>
      </c>
      <c r="J55">
        <f>Weigt!O55</f>
        <v>31</v>
      </c>
      <c r="K55" t="str">
        <f t="shared" si="2"/>
        <v/>
      </c>
    </row>
    <row r="56" spans="1:11" x14ac:dyDescent="0.35">
      <c r="A56" s="2">
        <f>'stuttgart-bkjck-rawbinary'!A56</f>
        <v>2934</v>
      </c>
      <c r="B56" t="str">
        <f ca="1">LOOKUP(A56,'stuttgart-bkjck-rawbinary'!$A$2:$A$449,'stuttgart-bkjck-rawbinary'!$H$2:$H503)</f>
        <v>n</v>
      </c>
      <c r="C56" t="str">
        <f>Weigt!C56</f>
        <v>2934</v>
      </c>
      <c r="D56" t="str">
        <f>Weigt!M56</f>
        <v>n</v>
      </c>
      <c r="E56" t="str">
        <f t="shared" ca="1" si="0"/>
        <v/>
      </c>
      <c r="F56">
        <f>'stuttgart-bkjck-rawbinary'!I56</f>
        <v>42</v>
      </c>
      <c r="G56">
        <f>Weigt!N56</f>
        <v>42</v>
      </c>
      <c r="H56" t="str">
        <f t="shared" si="1"/>
        <v/>
      </c>
      <c r="I56">
        <f>'stuttgart-bkjck-rawbinary'!J56</f>
        <v>31</v>
      </c>
      <c r="J56">
        <f>Weigt!O56</f>
        <v>31</v>
      </c>
      <c r="K56" t="str">
        <f t="shared" si="2"/>
        <v/>
      </c>
    </row>
    <row r="57" spans="1:11" x14ac:dyDescent="0.35">
      <c r="A57" s="2">
        <f>'stuttgart-bkjck-rawbinary'!A57</f>
        <v>2935</v>
      </c>
      <c r="B57" t="str">
        <f ca="1">LOOKUP(A57,'stuttgart-bkjck-rawbinary'!$A$2:$A$449,'stuttgart-bkjck-rawbinary'!$H$2:$H504)</f>
        <v>n</v>
      </c>
      <c r="C57" t="str">
        <f>Weigt!C57</f>
        <v>2935</v>
      </c>
      <c r="D57" t="str">
        <f>Weigt!M57</f>
        <v>n</v>
      </c>
      <c r="E57" t="str">
        <f t="shared" ca="1" si="0"/>
        <v/>
      </c>
      <c r="F57">
        <f>'stuttgart-bkjck-rawbinary'!I57</f>
        <v>42</v>
      </c>
      <c r="G57">
        <f>Weigt!N57</f>
        <v>42</v>
      </c>
      <c r="H57" t="str">
        <f t="shared" si="1"/>
        <v/>
      </c>
      <c r="I57">
        <f>'stuttgart-bkjck-rawbinary'!J57</f>
        <v>31</v>
      </c>
      <c r="J57">
        <f>Weigt!O57</f>
        <v>31</v>
      </c>
      <c r="K57" t="str">
        <f t="shared" si="2"/>
        <v/>
      </c>
    </row>
    <row r="58" spans="1:11" x14ac:dyDescent="0.35">
      <c r="A58" s="2">
        <f>'stuttgart-bkjck-rawbinary'!A58</f>
        <v>2936</v>
      </c>
      <c r="B58" t="str">
        <f ca="1">LOOKUP(A58,'stuttgart-bkjck-rawbinary'!$A$2:$A$449,'stuttgart-bkjck-rawbinary'!$H$2:$H505)</f>
        <v>z</v>
      </c>
      <c r="C58" t="str">
        <f>Weigt!C58</f>
        <v>2936</v>
      </c>
      <c r="D58" t="str">
        <f>Weigt!M58</f>
        <v>z</v>
      </c>
      <c r="E58" t="str">
        <f t="shared" ca="1" si="0"/>
        <v/>
      </c>
      <c r="F58">
        <f>'stuttgart-bkjck-rawbinary'!I58</f>
        <v>0</v>
      </c>
      <c r="G58">
        <f>Weigt!N58</f>
        <v>0</v>
      </c>
      <c r="H58" t="str">
        <f t="shared" si="1"/>
        <v/>
      </c>
      <c r="I58">
        <f>'stuttgart-bkjck-rawbinary'!J58</f>
        <v>0</v>
      </c>
      <c r="J58">
        <f>Weigt!O58</f>
        <v>0</v>
      </c>
      <c r="K58" t="str">
        <f t="shared" si="2"/>
        <v/>
      </c>
    </row>
    <row r="59" spans="1:11" x14ac:dyDescent="0.35">
      <c r="A59" s="2">
        <f>'stuttgart-bkjck-rawbinary'!A59</f>
        <v>2937</v>
      </c>
      <c r="B59" t="str">
        <f ca="1">LOOKUP(A59,'stuttgart-bkjck-rawbinary'!$A$2:$A$449,'stuttgart-bkjck-rawbinary'!$H$2:$H506)</f>
        <v>z</v>
      </c>
      <c r="C59" t="str">
        <f>Weigt!C59</f>
        <v>2937</v>
      </c>
      <c r="D59" t="str">
        <f>Weigt!M59</f>
        <v>z</v>
      </c>
      <c r="E59" t="str">
        <f t="shared" ca="1" si="0"/>
        <v/>
      </c>
      <c r="F59">
        <f>'stuttgart-bkjck-rawbinary'!I59</f>
        <v>0</v>
      </c>
      <c r="G59">
        <f>Weigt!N59</f>
        <v>0</v>
      </c>
      <c r="H59" t="str">
        <f t="shared" si="1"/>
        <v/>
      </c>
      <c r="I59">
        <f>'stuttgart-bkjck-rawbinary'!J59</f>
        <v>0</v>
      </c>
      <c r="J59">
        <f>Weigt!O59</f>
        <v>0</v>
      </c>
      <c r="K59" t="str">
        <f t="shared" si="2"/>
        <v/>
      </c>
    </row>
    <row r="60" spans="1:11" x14ac:dyDescent="0.35">
      <c r="A60" s="2">
        <f>'stuttgart-bkjck-rawbinary'!A60</f>
        <v>2938</v>
      </c>
      <c r="B60" t="str">
        <f ca="1">LOOKUP(A60,'stuttgart-bkjck-rawbinary'!$A$2:$A$449,'stuttgart-bkjck-rawbinary'!$H$2:$H507)</f>
        <v>b</v>
      </c>
      <c r="C60" t="str">
        <f>Weigt!C60</f>
        <v>2938</v>
      </c>
      <c r="D60" t="str">
        <f>Weigt!M60</f>
        <v>b</v>
      </c>
      <c r="E60" t="str">
        <f t="shared" ca="1" si="0"/>
        <v/>
      </c>
      <c r="F60">
        <f>'stuttgart-bkjck-rawbinary'!I60</f>
        <v>0</v>
      </c>
      <c r="G60">
        <f>Weigt!N60</f>
        <v>0</v>
      </c>
      <c r="H60" t="str">
        <f t="shared" si="1"/>
        <v/>
      </c>
      <c r="I60">
        <f>'stuttgart-bkjck-rawbinary'!J60</f>
        <v>0</v>
      </c>
      <c r="J60">
        <f>Weigt!O60</f>
        <v>0</v>
      </c>
      <c r="K60" t="str">
        <f t="shared" si="2"/>
        <v/>
      </c>
    </row>
    <row r="61" spans="1:11" x14ac:dyDescent="0.35">
      <c r="A61" s="2">
        <f>'stuttgart-bkjck-rawbinary'!A61</f>
        <v>2939</v>
      </c>
      <c r="B61" t="str">
        <f ca="1">LOOKUP(A61,'stuttgart-bkjck-rawbinary'!$A$2:$A$449,'stuttgart-bkjck-rawbinary'!$H$2:$H508)</f>
        <v>z</v>
      </c>
      <c r="C61" t="str">
        <f>Weigt!C61</f>
        <v>2939</v>
      </c>
      <c r="D61" t="str">
        <f>Weigt!M61</f>
        <v>z</v>
      </c>
      <c r="E61" t="str">
        <f t="shared" ca="1" si="0"/>
        <v/>
      </c>
      <c r="F61">
        <f>'stuttgart-bkjck-rawbinary'!I61</f>
        <v>0</v>
      </c>
      <c r="G61">
        <f>Weigt!N61</f>
        <v>0</v>
      </c>
      <c r="H61" t="str">
        <f t="shared" si="1"/>
        <v/>
      </c>
      <c r="I61">
        <f>'stuttgart-bkjck-rawbinary'!J61</f>
        <v>0</v>
      </c>
      <c r="J61">
        <f>Weigt!O61</f>
        <v>0</v>
      </c>
      <c r="K61" t="str">
        <f t="shared" si="2"/>
        <v/>
      </c>
    </row>
    <row r="62" spans="1:11" x14ac:dyDescent="0.35">
      <c r="A62" s="2">
        <f>'stuttgart-bkjck-rawbinary'!A62</f>
        <v>2940</v>
      </c>
      <c r="B62" t="str">
        <f ca="1">LOOKUP(A62,'stuttgart-bkjck-rawbinary'!$A$2:$A$449,'stuttgart-bkjck-rawbinary'!$H$2:$H509)</f>
        <v>z</v>
      </c>
      <c r="C62" t="str">
        <f>Weigt!C62</f>
        <v>2940</v>
      </c>
      <c r="D62" t="str">
        <f>Weigt!M62</f>
        <v>z</v>
      </c>
      <c r="E62" t="str">
        <f t="shared" ca="1" si="0"/>
        <v/>
      </c>
      <c r="F62">
        <f>'stuttgart-bkjck-rawbinary'!I62</f>
        <v>0</v>
      </c>
      <c r="G62">
        <f>Weigt!N62</f>
        <v>0</v>
      </c>
      <c r="H62" t="str">
        <f t="shared" si="1"/>
        <v/>
      </c>
      <c r="I62">
        <f>'stuttgart-bkjck-rawbinary'!J62</f>
        <v>1</v>
      </c>
      <c r="J62">
        <f>Weigt!O62</f>
        <v>1</v>
      </c>
      <c r="K62" t="str">
        <f t="shared" si="2"/>
        <v/>
      </c>
    </row>
    <row r="63" spans="1:11" x14ac:dyDescent="0.35">
      <c r="A63" s="2">
        <f>'stuttgart-bkjck-rawbinary'!A63</f>
        <v>2941</v>
      </c>
      <c r="B63" t="str">
        <f ca="1">LOOKUP(A63,'stuttgart-bkjck-rawbinary'!$A$2:$A$449,'stuttgart-bkjck-rawbinary'!$H$2:$H510)</f>
        <v>a</v>
      </c>
      <c r="C63" t="str">
        <f>Weigt!C63</f>
        <v>2941</v>
      </c>
      <c r="D63" t="str">
        <f>Weigt!M63</f>
        <v>a</v>
      </c>
      <c r="E63" t="str">
        <f t="shared" ca="1" si="0"/>
        <v/>
      </c>
      <c r="F63">
        <f>'stuttgart-bkjck-rawbinary'!I63</f>
        <v>62</v>
      </c>
      <c r="G63">
        <f>Weigt!N63</f>
        <v>62</v>
      </c>
      <c r="H63" t="str">
        <f t="shared" si="1"/>
        <v/>
      </c>
      <c r="I63">
        <f>'stuttgart-bkjck-rawbinary'!J63</f>
        <v>31</v>
      </c>
      <c r="J63">
        <f>Weigt!O63</f>
        <v>31</v>
      </c>
      <c r="K63" t="str">
        <f t="shared" si="2"/>
        <v/>
      </c>
    </row>
    <row r="64" spans="1:11" x14ac:dyDescent="0.35">
      <c r="A64" s="2">
        <f>'stuttgart-bkjck-rawbinary'!A64</f>
        <v>2942</v>
      </c>
      <c r="B64" t="str">
        <f ca="1">LOOKUP(A64,'stuttgart-bkjck-rawbinary'!$A$2:$A$449,'stuttgart-bkjck-rawbinary'!$H$2:$H511)</f>
        <v>s</v>
      </c>
      <c r="C64" t="str">
        <f>Weigt!C64</f>
        <v>2942</v>
      </c>
      <c r="D64" t="str">
        <f>Weigt!M64</f>
        <v>s</v>
      </c>
      <c r="E64" t="str">
        <f t="shared" ca="1" si="0"/>
        <v/>
      </c>
      <c r="F64">
        <f>'stuttgart-bkjck-rawbinary'!I64</f>
        <v>63</v>
      </c>
      <c r="G64">
        <f>Weigt!N64</f>
        <v>63</v>
      </c>
      <c r="H64" t="str">
        <f t="shared" si="1"/>
        <v/>
      </c>
      <c r="I64">
        <f>'stuttgart-bkjck-rawbinary'!J64</f>
        <v>63</v>
      </c>
      <c r="J64">
        <f>Weigt!O64</f>
        <v>63</v>
      </c>
      <c r="K64" t="str">
        <f t="shared" si="2"/>
        <v/>
      </c>
    </row>
    <row r="65" spans="1:11" x14ac:dyDescent="0.35">
      <c r="A65" s="2">
        <f>'stuttgart-bkjck-rawbinary'!A65</f>
        <v>2943</v>
      </c>
      <c r="B65" t="str">
        <f ca="1">LOOKUP(A65,'stuttgart-bkjck-rawbinary'!$A$2:$A$449,'stuttgart-bkjck-rawbinary'!$H$2:$H512)</f>
        <v>z</v>
      </c>
      <c r="C65" t="str">
        <f>Weigt!C65</f>
        <v>2943</v>
      </c>
      <c r="D65" t="str">
        <f>Weigt!M65</f>
        <v>z</v>
      </c>
      <c r="E65" t="str">
        <f t="shared" ca="1" si="0"/>
        <v/>
      </c>
      <c r="F65">
        <f>'stuttgart-bkjck-rawbinary'!I65</f>
        <v>0</v>
      </c>
      <c r="G65">
        <f>Weigt!N65</f>
        <v>0</v>
      </c>
      <c r="H65" t="str">
        <f t="shared" si="1"/>
        <v/>
      </c>
      <c r="I65">
        <f>'stuttgart-bkjck-rawbinary'!J65</f>
        <v>0</v>
      </c>
      <c r="J65">
        <f>Weigt!O65</f>
        <v>0</v>
      </c>
      <c r="K65" t="str">
        <f t="shared" si="2"/>
        <v/>
      </c>
    </row>
    <row r="66" spans="1:11" x14ac:dyDescent="0.35">
      <c r="A66" s="2">
        <f>'stuttgart-bkjck-rawbinary'!A66</f>
        <v>2944</v>
      </c>
      <c r="B66" t="str">
        <f ca="1">LOOKUP(A66,'stuttgart-bkjck-rawbinary'!$A$2:$A$449,'stuttgart-bkjck-rawbinary'!$H$2:$H513)</f>
        <v>b</v>
      </c>
      <c r="C66" t="str">
        <f>Weigt!C66</f>
        <v>2944</v>
      </c>
      <c r="D66" t="str">
        <f>Weigt!M66</f>
        <v>b</v>
      </c>
      <c r="E66" t="str">
        <f t="shared" ca="1" si="0"/>
        <v/>
      </c>
      <c r="F66">
        <f>'stuttgart-bkjck-rawbinary'!I66</f>
        <v>45</v>
      </c>
      <c r="G66">
        <f>Weigt!N66</f>
        <v>45</v>
      </c>
      <c r="H66" t="str">
        <f t="shared" si="1"/>
        <v/>
      </c>
      <c r="I66">
        <f>'stuttgart-bkjck-rawbinary'!J66</f>
        <v>37</v>
      </c>
      <c r="J66">
        <f>Weigt!O66</f>
        <v>37</v>
      </c>
      <c r="K66" t="str">
        <f t="shared" si="2"/>
        <v/>
      </c>
    </row>
    <row r="67" spans="1:11" x14ac:dyDescent="0.35">
      <c r="A67" s="2">
        <f>'stuttgart-bkjck-rawbinary'!A67</f>
        <v>2945</v>
      </c>
      <c r="B67" t="str">
        <f ca="1">LOOKUP(A67,'stuttgart-bkjck-rawbinary'!$A$2:$A$449,'stuttgart-bkjck-rawbinary'!$H$2:$H514)</f>
        <v>s</v>
      </c>
      <c r="C67" t="str">
        <f>Weigt!C67</f>
        <v>2945</v>
      </c>
      <c r="D67" t="str">
        <f>Weigt!M67</f>
        <v>s</v>
      </c>
      <c r="E67" t="str">
        <f t="shared" ref="E67:E130" ca="1" si="3">IF(B67&lt;&gt;D67,"*","")</f>
        <v/>
      </c>
      <c r="F67">
        <f>'stuttgart-bkjck-rawbinary'!I67</f>
        <v>49</v>
      </c>
      <c r="G67">
        <f>Weigt!N67</f>
        <v>49</v>
      </c>
      <c r="H67" t="str">
        <f t="shared" ref="H67:H130" si="4">IF(F67&lt;&gt;G67,"*","")</f>
        <v/>
      </c>
      <c r="I67">
        <f>'stuttgart-bkjck-rawbinary'!J67</f>
        <v>63</v>
      </c>
      <c r="J67">
        <f>Weigt!O67</f>
        <v>63</v>
      </c>
      <c r="K67" t="str">
        <f t="shared" ref="K67:K130" si="5">IF(I67&lt;&gt;J67,"*","")</f>
        <v/>
      </c>
    </row>
    <row r="68" spans="1:11" x14ac:dyDescent="0.35">
      <c r="A68" s="2">
        <f>'stuttgart-bkjck-rawbinary'!A68</f>
        <v>2946</v>
      </c>
      <c r="B68" t="str">
        <f ca="1">LOOKUP(A68,'stuttgart-bkjck-rawbinary'!$A$2:$A$449,'stuttgart-bkjck-rawbinary'!$H$2:$H515)</f>
        <v>t</v>
      </c>
      <c r="C68" t="str">
        <f>Weigt!C68</f>
        <v>2946</v>
      </c>
      <c r="D68" t="str">
        <f>Weigt!M68</f>
        <v>t</v>
      </c>
      <c r="E68" t="str">
        <f t="shared" ca="1" si="3"/>
        <v/>
      </c>
      <c r="F68">
        <f>'stuttgart-bkjck-rawbinary'!I68</f>
        <v>46</v>
      </c>
      <c r="G68">
        <f>Weigt!N68</f>
        <v>46</v>
      </c>
      <c r="H68" t="str">
        <f t="shared" si="4"/>
        <v/>
      </c>
      <c r="I68">
        <f>'stuttgart-bkjck-rawbinary'!J68</f>
        <v>9</v>
      </c>
      <c r="J68">
        <f>Weigt!O68</f>
        <v>9</v>
      </c>
      <c r="K68" t="str">
        <f t="shared" si="5"/>
        <v/>
      </c>
    </row>
    <row r="69" spans="1:11" x14ac:dyDescent="0.35">
      <c r="A69" s="2">
        <f>'stuttgart-bkjck-rawbinary'!A69</f>
        <v>2947</v>
      </c>
      <c r="B69" t="str">
        <f ca="1">LOOKUP(A69,'stuttgart-bkjck-rawbinary'!$A$2:$A$449,'stuttgart-bkjck-rawbinary'!$H$2:$H516)</f>
        <v>s</v>
      </c>
      <c r="C69" t="str">
        <f>Weigt!C69</f>
        <v>2947</v>
      </c>
      <c r="D69" t="str">
        <f>Weigt!M69</f>
        <v>s</v>
      </c>
      <c r="E69" t="str">
        <f t="shared" ca="1" si="3"/>
        <v/>
      </c>
      <c r="F69">
        <f>'stuttgart-bkjck-rawbinary'!I69</f>
        <v>50</v>
      </c>
      <c r="G69">
        <f>Weigt!N69</f>
        <v>50</v>
      </c>
      <c r="H69" t="str">
        <f t="shared" si="4"/>
        <v/>
      </c>
      <c r="I69">
        <f>'stuttgart-bkjck-rawbinary'!J69</f>
        <v>39</v>
      </c>
      <c r="J69">
        <f>Weigt!O69</f>
        <v>39</v>
      </c>
      <c r="K69" t="str">
        <f t="shared" si="5"/>
        <v/>
      </c>
    </row>
    <row r="70" spans="1:11" x14ac:dyDescent="0.35">
      <c r="A70" s="2">
        <f>'stuttgart-bkjck-rawbinary'!A70</f>
        <v>2948</v>
      </c>
      <c r="B70" t="str">
        <f ca="1">LOOKUP(A70,'stuttgart-bkjck-rawbinary'!$A$2:$A$449,'stuttgart-bkjck-rawbinary'!$H$2:$H517)</f>
        <v>t</v>
      </c>
      <c r="C70" t="str">
        <f>Weigt!C70</f>
        <v>2948</v>
      </c>
      <c r="D70" t="str">
        <f>Weigt!M70</f>
        <v>t</v>
      </c>
      <c r="E70" t="str">
        <f t="shared" ca="1" si="3"/>
        <v/>
      </c>
      <c r="F70">
        <f>'stuttgart-bkjck-rawbinary'!I70</f>
        <v>46</v>
      </c>
      <c r="G70">
        <f>Weigt!N70</f>
        <v>46</v>
      </c>
      <c r="H70" t="str">
        <f t="shared" si="4"/>
        <v/>
      </c>
      <c r="I70">
        <f>'stuttgart-bkjck-rawbinary'!J70</f>
        <v>7</v>
      </c>
      <c r="J70">
        <f>Weigt!O70</f>
        <v>7</v>
      </c>
      <c r="K70" t="str">
        <f t="shared" si="5"/>
        <v/>
      </c>
    </row>
    <row r="71" spans="1:11" x14ac:dyDescent="0.35">
      <c r="A71" s="2">
        <f>'stuttgart-bkjck-rawbinary'!A71</f>
        <v>2949</v>
      </c>
      <c r="B71" t="str">
        <f ca="1">LOOKUP(A71,'stuttgart-bkjck-rawbinary'!$A$2:$A$449,'stuttgart-bkjck-rawbinary'!$H$2:$H518)</f>
        <v>b</v>
      </c>
      <c r="C71" t="str">
        <f>Weigt!C71</f>
        <v>2949</v>
      </c>
      <c r="D71" t="str">
        <f>Weigt!M71</f>
        <v>b</v>
      </c>
      <c r="E71" t="str">
        <f t="shared" ca="1" si="3"/>
        <v/>
      </c>
      <c r="F71">
        <f>'stuttgart-bkjck-rawbinary'!I71</f>
        <v>47</v>
      </c>
      <c r="G71">
        <f>Weigt!N71</f>
        <v>47</v>
      </c>
      <c r="H71" t="str">
        <f t="shared" si="4"/>
        <v/>
      </c>
      <c r="I71">
        <f>'stuttgart-bkjck-rawbinary'!J71</f>
        <v>49</v>
      </c>
      <c r="J71">
        <f>Weigt!O71</f>
        <v>49</v>
      </c>
      <c r="K71" t="str">
        <f t="shared" si="5"/>
        <v/>
      </c>
    </row>
    <row r="72" spans="1:11" x14ac:dyDescent="0.35">
      <c r="A72" s="2">
        <f>'stuttgart-bkjck-rawbinary'!A72</f>
        <v>2950</v>
      </c>
      <c r="B72" t="str">
        <f ca="1">LOOKUP(A72,'stuttgart-bkjck-rawbinary'!$A$2:$A$449,'stuttgart-bkjck-rawbinary'!$H$2:$H519)</f>
        <v>u</v>
      </c>
      <c r="C72" t="str">
        <f>Weigt!C72</f>
        <v>2950</v>
      </c>
      <c r="D72" t="str">
        <f>Weigt!M72</f>
        <v>u</v>
      </c>
      <c r="E72" t="str">
        <f t="shared" ca="1" si="3"/>
        <v/>
      </c>
      <c r="F72">
        <f>'stuttgart-bkjck-rawbinary'!I72</f>
        <v>46</v>
      </c>
      <c r="G72">
        <f>Weigt!N72</f>
        <v>46</v>
      </c>
      <c r="H72" t="str">
        <f t="shared" si="4"/>
        <v/>
      </c>
      <c r="I72">
        <f>'stuttgart-bkjck-rawbinary'!J72</f>
        <v>10</v>
      </c>
      <c r="J72">
        <f>Weigt!O72</f>
        <v>10</v>
      </c>
      <c r="K72" t="str">
        <f t="shared" si="5"/>
        <v/>
      </c>
    </row>
    <row r="73" spans="1:11" x14ac:dyDescent="0.35">
      <c r="A73" s="2">
        <f>'stuttgart-bkjck-rawbinary'!A73</f>
        <v>2951</v>
      </c>
      <c r="B73" t="str">
        <f ca="1">LOOKUP(A73,'stuttgart-bkjck-rawbinary'!$A$2:$A$449,'stuttgart-bkjck-rawbinary'!$H$2:$H520)</f>
        <v>b</v>
      </c>
      <c r="C73" t="str">
        <f>Weigt!C73</f>
        <v>2951</v>
      </c>
      <c r="D73" t="str">
        <f>Weigt!M73</f>
        <v>b</v>
      </c>
      <c r="E73" t="str">
        <f t="shared" ca="1" si="3"/>
        <v/>
      </c>
      <c r="F73">
        <f>'stuttgart-bkjck-rawbinary'!I73</f>
        <v>45</v>
      </c>
      <c r="G73">
        <f>Weigt!N73</f>
        <v>45</v>
      </c>
      <c r="H73" t="str">
        <f t="shared" si="4"/>
        <v/>
      </c>
      <c r="I73">
        <f>'stuttgart-bkjck-rawbinary'!J73</f>
        <v>37</v>
      </c>
      <c r="J73">
        <f>Weigt!O73</f>
        <v>37</v>
      </c>
      <c r="K73" t="str">
        <f t="shared" si="5"/>
        <v/>
      </c>
    </row>
    <row r="74" spans="1:11" x14ac:dyDescent="0.35">
      <c r="A74" s="2">
        <f>'stuttgart-bkjck-rawbinary'!A74</f>
        <v>2952</v>
      </c>
      <c r="B74" t="str">
        <f ca="1">LOOKUP(A74,'stuttgart-bkjck-rawbinary'!$A$2:$A$449,'stuttgart-bkjck-rawbinary'!$H$2:$H521)</f>
        <v>u</v>
      </c>
      <c r="C74" t="str">
        <f>Weigt!C74</f>
        <v>2952</v>
      </c>
      <c r="D74" t="str">
        <f>Weigt!M74</f>
        <v>u</v>
      </c>
      <c r="E74" t="str">
        <f t="shared" ca="1" si="3"/>
        <v/>
      </c>
      <c r="F74">
        <f>'stuttgart-bkjck-rawbinary'!I74</f>
        <v>46</v>
      </c>
      <c r="G74">
        <f>Weigt!N74</f>
        <v>46</v>
      </c>
      <c r="H74" t="str">
        <f t="shared" si="4"/>
        <v/>
      </c>
      <c r="I74">
        <f>'stuttgart-bkjck-rawbinary'!J74</f>
        <v>10</v>
      </c>
      <c r="J74">
        <f>Weigt!O74</f>
        <v>10</v>
      </c>
      <c r="K74" t="str">
        <f t="shared" si="5"/>
        <v/>
      </c>
    </row>
    <row r="75" spans="1:11" x14ac:dyDescent="0.35">
      <c r="A75" s="2">
        <f>'stuttgart-bkjck-rawbinary'!A75</f>
        <v>2953</v>
      </c>
      <c r="B75" t="str">
        <f ca="1">LOOKUP(A75,'stuttgart-bkjck-rawbinary'!$A$2:$A$449,'stuttgart-bkjck-rawbinary'!$H$2:$H522)</f>
        <v>b</v>
      </c>
      <c r="C75" t="str">
        <f>Weigt!C75</f>
        <v>2953</v>
      </c>
      <c r="D75" t="str">
        <f>Weigt!M75</f>
        <v>b</v>
      </c>
      <c r="E75" t="str">
        <f t="shared" ca="1" si="3"/>
        <v/>
      </c>
      <c r="F75">
        <f>'stuttgart-bkjck-rawbinary'!I75</f>
        <v>45</v>
      </c>
      <c r="G75">
        <f>Weigt!N75</f>
        <v>45</v>
      </c>
      <c r="H75" t="str">
        <f t="shared" si="4"/>
        <v/>
      </c>
      <c r="I75">
        <f>'stuttgart-bkjck-rawbinary'!J75</f>
        <v>60</v>
      </c>
      <c r="J75">
        <f>Weigt!O75</f>
        <v>60</v>
      </c>
      <c r="K75" t="str">
        <f t="shared" si="5"/>
        <v/>
      </c>
    </row>
    <row r="76" spans="1:11" x14ac:dyDescent="0.35">
      <c r="A76" s="2">
        <f>'stuttgart-bkjck-rawbinary'!A76</f>
        <v>2954</v>
      </c>
      <c r="B76" t="str">
        <f ca="1">LOOKUP(A76,'stuttgart-bkjck-rawbinary'!$A$2:$A$449,'stuttgart-bkjck-rawbinary'!$H$2:$H523)</f>
        <v>u</v>
      </c>
      <c r="C76" t="str">
        <f>Weigt!C76</f>
        <v>2954</v>
      </c>
      <c r="D76" t="str">
        <f>Weigt!M76</f>
        <v>u</v>
      </c>
      <c r="E76" t="str">
        <f t="shared" ca="1" si="3"/>
        <v/>
      </c>
      <c r="F76">
        <f>'stuttgart-bkjck-rawbinary'!I76</f>
        <v>47</v>
      </c>
      <c r="G76">
        <f>Weigt!N76</f>
        <v>47</v>
      </c>
      <c r="H76" t="str">
        <f t="shared" si="4"/>
        <v/>
      </c>
      <c r="I76">
        <f>'stuttgart-bkjck-rawbinary'!J76</f>
        <v>56</v>
      </c>
      <c r="J76">
        <f>Weigt!O76</f>
        <v>56</v>
      </c>
      <c r="K76" t="str">
        <f t="shared" si="5"/>
        <v/>
      </c>
    </row>
    <row r="77" spans="1:11" x14ac:dyDescent="0.35">
      <c r="A77" s="2">
        <f>'stuttgart-bkjck-rawbinary'!A77</f>
        <v>2955</v>
      </c>
      <c r="B77" t="str">
        <f ca="1">LOOKUP(A77,'stuttgart-bkjck-rawbinary'!$A$2:$A$449,'stuttgart-bkjck-rawbinary'!$H$2:$H524)</f>
        <v>b</v>
      </c>
      <c r="C77" t="str">
        <f>Weigt!C77</f>
        <v>2955</v>
      </c>
      <c r="D77" t="str">
        <f>Weigt!M77</f>
        <v>b</v>
      </c>
      <c r="E77" t="str">
        <f t="shared" ca="1" si="3"/>
        <v/>
      </c>
      <c r="F77">
        <f>'stuttgart-bkjck-rawbinary'!I77</f>
        <v>46</v>
      </c>
      <c r="G77">
        <f>Weigt!N77</f>
        <v>46</v>
      </c>
      <c r="H77" t="str">
        <f t="shared" si="4"/>
        <v/>
      </c>
      <c r="I77">
        <f>'stuttgart-bkjck-rawbinary'!J77</f>
        <v>30</v>
      </c>
      <c r="J77">
        <f>Weigt!O77</f>
        <v>30</v>
      </c>
      <c r="K77" t="str">
        <f t="shared" si="5"/>
        <v/>
      </c>
    </row>
    <row r="78" spans="1:11" x14ac:dyDescent="0.35">
      <c r="A78" s="2">
        <f>'stuttgart-bkjck-rawbinary'!A78</f>
        <v>2956</v>
      </c>
      <c r="B78" t="str">
        <f ca="1">LOOKUP(A78,'stuttgart-bkjck-rawbinary'!$A$2:$A$449,'stuttgart-bkjck-rawbinary'!$H$2:$H525)</f>
        <v>y</v>
      </c>
      <c r="C78" t="str">
        <f>Weigt!C78</f>
        <v>2956</v>
      </c>
      <c r="D78" t="str">
        <f>Weigt!M78</f>
        <v>y</v>
      </c>
      <c r="E78" t="str">
        <f t="shared" ca="1" si="3"/>
        <v/>
      </c>
      <c r="F78">
        <f>'stuttgart-bkjck-rawbinary'!I78</f>
        <v>46</v>
      </c>
      <c r="G78">
        <f>Weigt!N78</f>
        <v>46</v>
      </c>
      <c r="H78" t="str">
        <f t="shared" si="4"/>
        <v/>
      </c>
      <c r="I78">
        <f>'stuttgart-bkjck-rawbinary'!J78</f>
        <v>14</v>
      </c>
      <c r="J78">
        <f>Weigt!O78</f>
        <v>14</v>
      </c>
      <c r="K78" t="str">
        <f t="shared" si="5"/>
        <v/>
      </c>
    </row>
    <row r="79" spans="1:11" x14ac:dyDescent="0.35">
      <c r="A79" s="2">
        <f>'stuttgart-bkjck-rawbinary'!A79</f>
        <v>2957</v>
      </c>
      <c r="B79" t="str">
        <f ca="1">LOOKUP(A79,'stuttgart-bkjck-rawbinary'!$A$2:$A$449,'stuttgart-bkjck-rawbinary'!$H$2:$H526)</f>
        <v>y</v>
      </c>
      <c r="C79" t="str">
        <f>Weigt!C79</f>
        <v>2957</v>
      </c>
      <c r="D79" t="str">
        <f>Weigt!M79</f>
        <v>y</v>
      </c>
      <c r="E79" t="str">
        <f t="shared" ca="1" si="3"/>
        <v/>
      </c>
      <c r="F79">
        <f>'stuttgart-bkjck-rawbinary'!I79</f>
        <v>46</v>
      </c>
      <c r="G79">
        <f>Weigt!N79</f>
        <v>46</v>
      </c>
      <c r="H79" t="str">
        <f t="shared" si="4"/>
        <v/>
      </c>
      <c r="I79">
        <f>'stuttgart-bkjck-rawbinary'!J79</f>
        <v>16</v>
      </c>
      <c r="J79">
        <f>Weigt!O79</f>
        <v>16</v>
      </c>
      <c r="K79" t="str">
        <f t="shared" si="5"/>
        <v/>
      </c>
    </row>
    <row r="80" spans="1:11" x14ac:dyDescent="0.35">
      <c r="A80" s="2">
        <f>'stuttgart-bkjck-rawbinary'!A80</f>
        <v>2958</v>
      </c>
      <c r="B80" t="str">
        <f ca="1">LOOKUP(A80,'stuttgart-bkjck-rawbinary'!$A$2:$A$449,'stuttgart-bkjck-rawbinary'!$H$2:$H527)</f>
        <v>b</v>
      </c>
      <c r="C80" t="str">
        <f>Weigt!C80</f>
        <v>2958</v>
      </c>
      <c r="D80" t="str">
        <f>Weigt!M80</f>
        <v>b</v>
      </c>
      <c r="E80" t="str">
        <f t="shared" ca="1" si="3"/>
        <v/>
      </c>
      <c r="F80">
        <f>'stuttgart-bkjck-rawbinary'!I80</f>
        <v>45</v>
      </c>
      <c r="G80">
        <f>Weigt!N80</f>
        <v>45</v>
      </c>
      <c r="H80" t="str">
        <f t="shared" si="4"/>
        <v/>
      </c>
      <c r="I80">
        <f>'stuttgart-bkjck-rawbinary'!J80</f>
        <v>52</v>
      </c>
      <c r="J80">
        <f>Weigt!O80</f>
        <v>52</v>
      </c>
      <c r="K80" t="str">
        <f t="shared" si="5"/>
        <v/>
      </c>
    </row>
    <row r="81" spans="1:11" x14ac:dyDescent="0.35">
      <c r="A81" s="2">
        <f>'stuttgart-bkjck-rawbinary'!A81</f>
        <v>2959</v>
      </c>
      <c r="B81" t="str">
        <f ca="1">LOOKUP(A81,'stuttgart-bkjck-rawbinary'!$A$2:$A$449,'stuttgart-bkjck-rawbinary'!$H$2:$H528)</f>
        <v>e</v>
      </c>
      <c r="C81" t="str">
        <f>Weigt!C81</f>
        <v>2959</v>
      </c>
      <c r="D81" t="str">
        <f>Weigt!M81</f>
        <v>e</v>
      </c>
      <c r="E81" t="str">
        <f t="shared" ca="1" si="3"/>
        <v/>
      </c>
      <c r="F81">
        <f>'stuttgart-bkjck-rawbinary'!I81</f>
        <v>45</v>
      </c>
      <c r="G81">
        <f>Weigt!N81</f>
        <v>45</v>
      </c>
      <c r="H81" t="str">
        <f t="shared" si="4"/>
        <v/>
      </c>
      <c r="I81">
        <f>'stuttgart-bkjck-rawbinary'!J81</f>
        <v>61</v>
      </c>
      <c r="J81">
        <f>Weigt!O81</f>
        <v>61</v>
      </c>
      <c r="K81" t="str">
        <f t="shared" si="5"/>
        <v/>
      </c>
    </row>
    <row r="82" spans="1:11" x14ac:dyDescent="0.35">
      <c r="A82" s="2">
        <f>'stuttgart-bkjck-rawbinary'!A82</f>
        <v>2960</v>
      </c>
      <c r="B82" t="str">
        <f ca="1">LOOKUP(A82,'stuttgart-bkjck-rawbinary'!$A$2:$A$449,'stuttgart-bkjck-rawbinary'!$H$2:$H529)</f>
        <v>c</v>
      </c>
      <c r="C82" t="str">
        <f>Weigt!C82</f>
        <v>2960</v>
      </c>
      <c r="D82" t="str">
        <f>Weigt!M82</f>
        <v>c</v>
      </c>
      <c r="E82" t="str">
        <f t="shared" ca="1" si="3"/>
        <v/>
      </c>
      <c r="F82">
        <f>'stuttgart-bkjck-rawbinary'!I82</f>
        <v>45</v>
      </c>
      <c r="G82">
        <f>Weigt!N82</f>
        <v>45</v>
      </c>
      <c r="H82" t="str">
        <f t="shared" si="4"/>
        <v/>
      </c>
      <c r="I82">
        <f>'stuttgart-bkjck-rawbinary'!J82</f>
        <v>52</v>
      </c>
      <c r="J82">
        <f>Weigt!O82</f>
        <v>52</v>
      </c>
      <c r="K82" t="str">
        <f t="shared" si="5"/>
        <v/>
      </c>
    </row>
    <row r="83" spans="1:11" x14ac:dyDescent="0.35">
      <c r="A83" s="2">
        <f>'stuttgart-bkjck-rawbinary'!A83</f>
        <v>2961</v>
      </c>
      <c r="B83" t="str">
        <f ca="1">LOOKUP(A83,'stuttgart-bkjck-rawbinary'!$A$2:$A$449,'stuttgart-bkjck-rawbinary'!$H$2:$H530)</f>
        <v>b</v>
      </c>
      <c r="C83" t="str">
        <f>Weigt!C83</f>
        <v>2961</v>
      </c>
      <c r="D83" t="str">
        <f>Weigt!M83</f>
        <v>b</v>
      </c>
      <c r="E83" t="str">
        <f t="shared" ca="1" si="3"/>
        <v/>
      </c>
      <c r="F83">
        <f>'stuttgart-bkjck-rawbinary'!I83</f>
        <v>46</v>
      </c>
      <c r="G83">
        <f>Weigt!N83</f>
        <v>46</v>
      </c>
      <c r="H83" t="str">
        <f t="shared" si="4"/>
        <v/>
      </c>
      <c r="I83">
        <f>'stuttgart-bkjck-rawbinary'!J83</f>
        <v>14</v>
      </c>
      <c r="J83">
        <f>Weigt!O83</f>
        <v>14</v>
      </c>
      <c r="K83" t="str">
        <f t="shared" si="5"/>
        <v/>
      </c>
    </row>
    <row r="84" spans="1:11" x14ac:dyDescent="0.35">
      <c r="A84" s="2">
        <f>'stuttgart-bkjck-rawbinary'!A84</f>
        <v>2962</v>
      </c>
      <c r="B84" t="str">
        <f ca="1">LOOKUP(A84,'stuttgart-bkjck-rawbinary'!$A$2:$A$449,'stuttgart-bkjck-rawbinary'!$H$2:$H531)</f>
        <v>a</v>
      </c>
      <c r="C84" t="str">
        <f>Weigt!C84</f>
        <v>2962</v>
      </c>
      <c r="D84" t="str">
        <f>Weigt!M84</f>
        <v>a</v>
      </c>
      <c r="E84" t="str">
        <f t="shared" ca="1" si="3"/>
        <v/>
      </c>
      <c r="F84">
        <f>'stuttgart-bkjck-rawbinary'!I84</f>
        <v>46</v>
      </c>
      <c r="G84">
        <f>Weigt!N84</f>
        <v>46</v>
      </c>
      <c r="H84" t="str">
        <f t="shared" si="4"/>
        <v/>
      </c>
      <c r="I84">
        <f>'stuttgart-bkjck-rawbinary'!J84</f>
        <v>35</v>
      </c>
      <c r="J84">
        <f>Weigt!O84</f>
        <v>35</v>
      </c>
      <c r="K84" t="str">
        <f t="shared" si="5"/>
        <v/>
      </c>
    </row>
    <row r="85" spans="1:11" x14ac:dyDescent="0.35">
      <c r="A85" s="2">
        <f>'stuttgart-bkjck-rawbinary'!A85</f>
        <v>2963</v>
      </c>
      <c r="B85" t="str">
        <f ca="1">LOOKUP(A85,'stuttgart-bkjck-rawbinary'!$A$2:$A$449,'stuttgart-bkjck-rawbinary'!$H$2:$H532)</f>
        <v>h</v>
      </c>
      <c r="C85" t="str">
        <f>Weigt!C85</f>
        <v>2963</v>
      </c>
      <c r="D85" t="str">
        <f>Weigt!M85</f>
        <v>h</v>
      </c>
      <c r="E85" t="str">
        <f t="shared" ca="1" si="3"/>
        <v/>
      </c>
      <c r="F85">
        <f>'stuttgart-bkjck-rawbinary'!I85</f>
        <v>46</v>
      </c>
      <c r="G85">
        <f>Weigt!N85</f>
        <v>46</v>
      </c>
      <c r="H85" t="str">
        <f t="shared" si="4"/>
        <v/>
      </c>
      <c r="I85">
        <f>'stuttgart-bkjck-rawbinary'!J85</f>
        <v>14</v>
      </c>
      <c r="J85">
        <f>Weigt!O85</f>
        <v>14</v>
      </c>
      <c r="K85" t="str">
        <f t="shared" si="5"/>
        <v/>
      </c>
    </row>
    <row r="86" spans="1:11" x14ac:dyDescent="0.35">
      <c r="A86" s="2">
        <f>'stuttgart-bkjck-rawbinary'!A86</f>
        <v>2964</v>
      </c>
      <c r="B86" t="str">
        <f ca="1">LOOKUP(A86,'stuttgart-bkjck-rawbinary'!$A$2:$A$449,'stuttgart-bkjck-rawbinary'!$H$2:$H533)</f>
        <v>y</v>
      </c>
      <c r="C86" t="str">
        <f>Weigt!C86</f>
        <v>2964</v>
      </c>
      <c r="D86" t="str">
        <f>Weigt!M86</f>
        <v>y</v>
      </c>
      <c r="E86" t="str">
        <f t="shared" ca="1" si="3"/>
        <v/>
      </c>
      <c r="F86">
        <f>'stuttgart-bkjck-rawbinary'!I86</f>
        <v>46</v>
      </c>
      <c r="G86">
        <f>Weigt!N86</f>
        <v>46</v>
      </c>
      <c r="H86" t="str">
        <f t="shared" si="4"/>
        <v/>
      </c>
      <c r="I86">
        <f>'stuttgart-bkjck-rawbinary'!J86</f>
        <v>16</v>
      </c>
      <c r="J86">
        <f>Weigt!O86</f>
        <v>16</v>
      </c>
      <c r="K86" t="str">
        <f t="shared" si="5"/>
        <v/>
      </c>
    </row>
    <row r="87" spans="1:11" x14ac:dyDescent="0.35">
      <c r="A87" s="2">
        <f>'stuttgart-bkjck-rawbinary'!A87</f>
        <v>2965</v>
      </c>
      <c r="B87" t="str">
        <f ca="1">LOOKUP(A87,'stuttgart-bkjck-rawbinary'!$A$2:$A$449,'stuttgart-bkjck-rawbinary'!$H$2:$H534)</f>
        <v>s</v>
      </c>
      <c r="C87" t="str">
        <f>Weigt!C87</f>
        <v>2965</v>
      </c>
      <c r="D87" t="str">
        <f>Weigt!M87</f>
        <v>s</v>
      </c>
      <c r="E87" t="str">
        <f t="shared" ca="1" si="3"/>
        <v/>
      </c>
      <c r="F87">
        <f>'stuttgart-bkjck-rawbinary'!I87</f>
        <v>45</v>
      </c>
      <c r="G87">
        <f>Weigt!N87</f>
        <v>45</v>
      </c>
      <c r="H87" t="str">
        <f t="shared" si="4"/>
        <v/>
      </c>
      <c r="I87">
        <f>'stuttgart-bkjck-rawbinary'!J87</f>
        <v>25</v>
      </c>
      <c r="J87">
        <f>Weigt!O87</f>
        <v>25</v>
      </c>
      <c r="K87" t="str">
        <f t="shared" si="5"/>
        <v/>
      </c>
    </row>
    <row r="88" spans="1:11" x14ac:dyDescent="0.35">
      <c r="A88" s="2">
        <f>'stuttgart-bkjck-rawbinary'!A88</f>
        <v>2966</v>
      </c>
      <c r="B88" t="str">
        <f ca="1">LOOKUP(A88,'stuttgart-bkjck-rawbinary'!$A$2:$A$449,'stuttgart-bkjck-rawbinary'!$H$2:$H535)</f>
        <v>t</v>
      </c>
      <c r="C88" t="str">
        <f>Weigt!C88</f>
        <v>2966</v>
      </c>
      <c r="D88" t="str">
        <f>Weigt!M88</f>
        <v>t</v>
      </c>
      <c r="E88" t="str">
        <f t="shared" ca="1" si="3"/>
        <v/>
      </c>
      <c r="F88">
        <f>'stuttgart-bkjck-rawbinary'!I88</f>
        <v>46</v>
      </c>
      <c r="G88">
        <f>Weigt!N88</f>
        <v>46</v>
      </c>
      <c r="H88" t="str">
        <f t="shared" si="4"/>
        <v/>
      </c>
      <c r="I88">
        <f>'stuttgart-bkjck-rawbinary'!J88</f>
        <v>14</v>
      </c>
      <c r="J88">
        <f>Weigt!O88</f>
        <v>14</v>
      </c>
      <c r="K88" t="str">
        <f t="shared" si="5"/>
        <v/>
      </c>
    </row>
    <row r="89" spans="1:11" x14ac:dyDescent="0.35">
      <c r="A89" s="2">
        <f>'stuttgart-bkjck-rawbinary'!A89</f>
        <v>2967</v>
      </c>
      <c r="B89" t="str">
        <f ca="1">LOOKUP(A89,'stuttgart-bkjck-rawbinary'!$A$2:$A$449,'stuttgart-bkjck-rawbinary'!$H$2:$H536)</f>
        <v>c</v>
      </c>
      <c r="C89" t="str">
        <f>Weigt!C89</f>
        <v>2967</v>
      </c>
      <c r="D89" t="str">
        <f>Weigt!M89</f>
        <v>c</v>
      </c>
      <c r="E89" t="str">
        <f t="shared" ca="1" si="3"/>
        <v/>
      </c>
      <c r="F89">
        <f>'stuttgart-bkjck-rawbinary'!I89</f>
        <v>47</v>
      </c>
      <c r="G89">
        <f>Weigt!N89</f>
        <v>47</v>
      </c>
      <c r="H89" t="str">
        <f t="shared" si="4"/>
        <v/>
      </c>
      <c r="I89">
        <f>'stuttgart-bkjck-rawbinary'!J89</f>
        <v>35</v>
      </c>
      <c r="J89">
        <f>Weigt!O89</f>
        <v>35</v>
      </c>
      <c r="K89" t="str">
        <f t="shared" si="5"/>
        <v/>
      </c>
    </row>
    <row r="90" spans="1:11" x14ac:dyDescent="0.35">
      <c r="A90" s="2">
        <f>'stuttgart-bkjck-rawbinary'!A90</f>
        <v>2968</v>
      </c>
      <c r="B90" t="str">
        <f ca="1">LOOKUP(A90,'stuttgart-bkjck-rawbinary'!$A$2:$A$449,'stuttgart-bkjck-rawbinary'!$H$2:$H537)</f>
        <v>c</v>
      </c>
      <c r="C90" t="str">
        <f>Weigt!C90</f>
        <v>2968</v>
      </c>
      <c r="D90" t="str">
        <f>Weigt!M90</f>
        <v>c</v>
      </c>
      <c r="E90" t="str">
        <f t="shared" ca="1" si="3"/>
        <v/>
      </c>
      <c r="F90">
        <f>'stuttgart-bkjck-rawbinary'!I90</f>
        <v>47</v>
      </c>
      <c r="G90">
        <f>Weigt!N90</f>
        <v>47</v>
      </c>
      <c r="H90" t="str">
        <f t="shared" si="4"/>
        <v/>
      </c>
      <c r="I90">
        <f>'stuttgart-bkjck-rawbinary'!J90</f>
        <v>35</v>
      </c>
      <c r="J90">
        <f>Weigt!O90</f>
        <v>35</v>
      </c>
      <c r="K90" t="str">
        <f t="shared" si="5"/>
        <v/>
      </c>
    </row>
    <row r="91" spans="1:11" x14ac:dyDescent="0.35">
      <c r="A91" s="2">
        <f>'stuttgart-bkjck-rawbinary'!A91</f>
        <v>2969</v>
      </c>
      <c r="B91" t="str">
        <f ca="1">LOOKUP(A91,'stuttgart-bkjck-rawbinary'!$A$2:$A$449,'stuttgart-bkjck-rawbinary'!$H$2:$H538)</f>
        <v>u</v>
      </c>
      <c r="C91" t="str">
        <f>Weigt!C91</f>
        <v>2969</v>
      </c>
      <c r="D91" t="str">
        <f>Weigt!M91</f>
        <v>u</v>
      </c>
      <c r="E91" t="str">
        <f t="shared" ca="1" si="3"/>
        <v/>
      </c>
      <c r="F91">
        <f>'stuttgart-bkjck-rawbinary'!I91</f>
        <v>46</v>
      </c>
      <c r="G91">
        <f>Weigt!N91</f>
        <v>46</v>
      </c>
      <c r="H91" t="str">
        <f t="shared" si="4"/>
        <v/>
      </c>
      <c r="I91">
        <f>'stuttgart-bkjck-rawbinary'!J91</f>
        <v>34</v>
      </c>
      <c r="J91">
        <f>Weigt!O91</f>
        <v>34</v>
      </c>
      <c r="K91" t="str">
        <f t="shared" si="5"/>
        <v/>
      </c>
    </row>
    <row r="92" spans="1:11" x14ac:dyDescent="0.35">
      <c r="A92" s="2">
        <f>'stuttgart-bkjck-rawbinary'!A92</f>
        <v>2970</v>
      </c>
      <c r="B92" t="str">
        <f ca="1">LOOKUP(A92,'stuttgart-bkjck-rawbinary'!$A$2:$A$449,'stuttgart-bkjck-rawbinary'!$H$2:$H539)</f>
        <v>r</v>
      </c>
      <c r="C92" t="str">
        <f>Weigt!C92</f>
        <v>2970</v>
      </c>
      <c r="D92" t="str">
        <f>Weigt!M92</f>
        <v>r</v>
      </c>
      <c r="E92" t="str">
        <f t="shared" ca="1" si="3"/>
        <v/>
      </c>
      <c r="F92">
        <f>'stuttgart-bkjck-rawbinary'!I92</f>
        <v>50</v>
      </c>
      <c r="G92">
        <f>Weigt!N92</f>
        <v>50</v>
      </c>
      <c r="H92" t="str">
        <f t="shared" si="4"/>
        <v/>
      </c>
      <c r="I92">
        <f>'stuttgart-bkjck-rawbinary'!J92</f>
        <v>60</v>
      </c>
      <c r="J92">
        <f>Weigt!O92</f>
        <v>60</v>
      </c>
      <c r="K92" t="str">
        <f t="shared" si="5"/>
        <v/>
      </c>
    </row>
    <row r="93" spans="1:11" x14ac:dyDescent="0.35">
      <c r="A93" s="2">
        <f>'stuttgart-bkjck-rawbinary'!A93</f>
        <v>2971</v>
      </c>
      <c r="B93" t="str">
        <f ca="1">LOOKUP(A93,'stuttgart-bkjck-rawbinary'!$A$2:$A$449,'stuttgart-bkjck-rawbinary'!$H$2:$H540)</f>
        <v>u</v>
      </c>
      <c r="C93" t="str">
        <f>Weigt!C93</f>
        <v>2971</v>
      </c>
      <c r="D93" t="str">
        <f>Weigt!M93</f>
        <v>u</v>
      </c>
      <c r="E93" t="str">
        <f t="shared" ca="1" si="3"/>
        <v/>
      </c>
      <c r="F93">
        <f>'stuttgart-bkjck-rawbinary'!I93</f>
        <v>50</v>
      </c>
      <c r="G93">
        <f>Weigt!N93</f>
        <v>50</v>
      </c>
      <c r="H93" t="str">
        <f t="shared" si="4"/>
        <v/>
      </c>
      <c r="I93">
        <f>'stuttgart-bkjck-rawbinary'!J93</f>
        <v>51</v>
      </c>
      <c r="J93">
        <f>Weigt!O93</f>
        <v>51</v>
      </c>
      <c r="K93" t="str">
        <f t="shared" si="5"/>
        <v/>
      </c>
    </row>
    <row r="94" spans="1:11" x14ac:dyDescent="0.35">
      <c r="A94" s="2">
        <f>'stuttgart-bkjck-rawbinary'!A94</f>
        <v>2972</v>
      </c>
      <c r="B94" t="str">
        <f ca="1">LOOKUP(A94,'stuttgart-bkjck-rawbinary'!$A$2:$A$449,'stuttgart-bkjck-rawbinary'!$H$2:$H541)</f>
        <v>e</v>
      </c>
      <c r="C94" t="str">
        <f>Weigt!C94</f>
        <v>2972</v>
      </c>
      <c r="D94" t="str">
        <f>Weigt!M94</f>
        <v>e</v>
      </c>
      <c r="E94" t="str">
        <f t="shared" ca="1" si="3"/>
        <v/>
      </c>
      <c r="F94">
        <f>'stuttgart-bkjck-rawbinary'!I94</f>
        <v>49</v>
      </c>
      <c r="G94">
        <f>Weigt!N94</f>
        <v>49</v>
      </c>
      <c r="H94" t="str">
        <f t="shared" si="4"/>
        <v/>
      </c>
      <c r="I94">
        <f>'stuttgart-bkjck-rawbinary'!J94</f>
        <v>56</v>
      </c>
      <c r="J94">
        <f>Weigt!O94</f>
        <v>56</v>
      </c>
      <c r="K94" t="str">
        <f t="shared" si="5"/>
        <v/>
      </c>
    </row>
    <row r="95" spans="1:11" x14ac:dyDescent="0.35">
      <c r="A95" s="2">
        <f>'stuttgart-bkjck-rawbinary'!A95</f>
        <v>2973</v>
      </c>
      <c r="B95" t="str">
        <f ca="1">LOOKUP(A95,'stuttgart-bkjck-rawbinary'!$A$2:$A$449,'stuttgart-bkjck-rawbinary'!$H$2:$H542)</f>
        <v>u</v>
      </c>
      <c r="C95" t="str">
        <f>Weigt!C95</f>
        <v>2973</v>
      </c>
      <c r="D95" t="str">
        <f>Weigt!M95</f>
        <v>u</v>
      </c>
      <c r="E95" t="str">
        <f t="shared" ca="1" si="3"/>
        <v/>
      </c>
      <c r="F95">
        <f>'stuttgart-bkjck-rawbinary'!I95</f>
        <v>45</v>
      </c>
      <c r="G95">
        <f>Weigt!N95</f>
        <v>45</v>
      </c>
      <c r="H95" t="str">
        <f t="shared" si="4"/>
        <v/>
      </c>
      <c r="I95">
        <f>'stuttgart-bkjck-rawbinary'!J95</f>
        <v>3</v>
      </c>
      <c r="J95">
        <f>Weigt!O95</f>
        <v>3</v>
      </c>
      <c r="K95" t="str">
        <f t="shared" si="5"/>
        <v/>
      </c>
    </row>
    <row r="96" spans="1:11" x14ac:dyDescent="0.35">
      <c r="A96" s="2">
        <f>'stuttgart-bkjck-rawbinary'!A96</f>
        <v>2974</v>
      </c>
      <c r="B96" t="str">
        <f ca="1">LOOKUP(A96,'stuttgart-bkjck-rawbinary'!$A$2:$A$449,'stuttgart-bkjck-rawbinary'!$H$2:$H543)</f>
        <v>z</v>
      </c>
      <c r="C96" t="str">
        <f>Weigt!C96</f>
        <v>2974</v>
      </c>
      <c r="D96" t="str">
        <f>Weigt!M96</f>
        <v>z</v>
      </c>
      <c r="E96" t="str">
        <f t="shared" ca="1" si="3"/>
        <v/>
      </c>
      <c r="F96">
        <f>'stuttgart-bkjck-rawbinary'!I96</f>
        <v>45</v>
      </c>
      <c r="G96">
        <f>Weigt!N96</f>
        <v>45</v>
      </c>
      <c r="H96" t="str">
        <f t="shared" si="4"/>
        <v/>
      </c>
      <c r="I96">
        <f>'stuttgart-bkjck-rawbinary'!J96</f>
        <v>39</v>
      </c>
      <c r="J96">
        <f>Weigt!O96</f>
        <v>39</v>
      </c>
      <c r="K96" t="str">
        <f t="shared" si="5"/>
        <v/>
      </c>
    </row>
    <row r="97" spans="1:11" x14ac:dyDescent="0.35">
      <c r="A97" s="2">
        <f>'stuttgart-bkjck-rawbinary'!A97</f>
        <v>2975</v>
      </c>
      <c r="B97" t="str">
        <f ca="1">LOOKUP(A97,'stuttgart-bkjck-rawbinary'!$A$2:$A$449,'stuttgart-bkjck-rawbinary'!$H$2:$H544)</f>
        <v>b</v>
      </c>
      <c r="C97" t="str">
        <f>Weigt!C97</f>
        <v>2975</v>
      </c>
      <c r="D97" t="str">
        <f>Weigt!M97</f>
        <v>b</v>
      </c>
      <c r="E97" t="str">
        <f t="shared" ca="1" si="3"/>
        <v/>
      </c>
      <c r="F97">
        <f>'stuttgart-bkjck-rawbinary'!I97</f>
        <v>49</v>
      </c>
      <c r="G97">
        <f>Weigt!N97</f>
        <v>49</v>
      </c>
      <c r="H97" t="str">
        <f t="shared" si="4"/>
        <v/>
      </c>
      <c r="I97">
        <f>'stuttgart-bkjck-rawbinary'!J97</f>
        <v>53</v>
      </c>
      <c r="J97">
        <f>Weigt!O97</f>
        <v>53</v>
      </c>
      <c r="K97" t="str">
        <f t="shared" si="5"/>
        <v/>
      </c>
    </row>
    <row r="98" spans="1:11" x14ac:dyDescent="0.35">
      <c r="A98" s="2">
        <f>'stuttgart-bkjck-rawbinary'!A98</f>
        <v>2976</v>
      </c>
      <c r="B98" t="str">
        <f ca="1">LOOKUP(A98,'stuttgart-bkjck-rawbinary'!$A$2:$A$449,'stuttgart-bkjck-rawbinary'!$H$2:$H545)</f>
        <v>s</v>
      </c>
      <c r="C98" t="str">
        <f>Weigt!C98</f>
        <v>2976</v>
      </c>
      <c r="D98" t="str">
        <f>Weigt!M98</f>
        <v>s</v>
      </c>
      <c r="E98" t="str">
        <f t="shared" ca="1" si="3"/>
        <v/>
      </c>
      <c r="F98">
        <f>'stuttgart-bkjck-rawbinary'!I98</f>
        <v>47</v>
      </c>
      <c r="G98">
        <f>Weigt!N98</f>
        <v>47</v>
      </c>
      <c r="H98" t="str">
        <f t="shared" si="4"/>
        <v/>
      </c>
      <c r="I98">
        <f>'stuttgart-bkjck-rawbinary'!J98</f>
        <v>35</v>
      </c>
      <c r="J98">
        <f>Weigt!O98</f>
        <v>35</v>
      </c>
      <c r="K98" t="str">
        <f t="shared" si="5"/>
        <v/>
      </c>
    </row>
    <row r="99" spans="1:11" x14ac:dyDescent="0.35">
      <c r="A99" s="2">
        <f>'stuttgart-bkjck-rawbinary'!A99</f>
        <v>2977</v>
      </c>
      <c r="B99" t="str">
        <f ca="1">LOOKUP(A99,'stuttgart-bkjck-rawbinary'!$A$2:$A$449,'stuttgart-bkjck-rawbinary'!$H$2:$H546)</f>
        <v>t</v>
      </c>
      <c r="C99" t="str">
        <f>Weigt!C99</f>
        <v>2977</v>
      </c>
      <c r="D99" t="str">
        <f>Weigt!M99</f>
        <v>t</v>
      </c>
      <c r="E99" t="str">
        <f t="shared" ca="1" si="3"/>
        <v/>
      </c>
      <c r="F99">
        <f>'stuttgart-bkjck-rawbinary'!I99</f>
        <v>46</v>
      </c>
      <c r="G99">
        <f>Weigt!N99</f>
        <v>46</v>
      </c>
      <c r="H99" t="str">
        <f t="shared" si="4"/>
        <v/>
      </c>
      <c r="I99">
        <f>'stuttgart-bkjck-rawbinary'!J99</f>
        <v>11</v>
      </c>
      <c r="J99">
        <f>Weigt!O99</f>
        <v>11</v>
      </c>
      <c r="K99" t="str">
        <f t="shared" si="5"/>
        <v/>
      </c>
    </row>
    <row r="100" spans="1:11" x14ac:dyDescent="0.35">
      <c r="A100" s="2">
        <f>'stuttgart-bkjck-rawbinary'!A100</f>
        <v>2978</v>
      </c>
      <c r="B100" t="str">
        <f ca="1">LOOKUP(A100,'stuttgart-bkjck-rawbinary'!$A$2:$A$449,'stuttgart-bkjck-rawbinary'!$H$2:$H547)</f>
        <v>p</v>
      </c>
      <c r="C100" t="str">
        <f>Weigt!C100</f>
        <v>2978</v>
      </c>
      <c r="D100" t="str">
        <f>Weigt!M100</f>
        <v>p</v>
      </c>
      <c r="E100" t="str">
        <f t="shared" ca="1" si="3"/>
        <v/>
      </c>
      <c r="F100">
        <f>'stuttgart-bkjck-rawbinary'!I100</f>
        <v>16</v>
      </c>
      <c r="G100">
        <f>Weigt!N100</f>
        <v>16</v>
      </c>
      <c r="H100" t="str">
        <f t="shared" si="4"/>
        <v/>
      </c>
      <c r="I100">
        <f>'stuttgart-bkjck-rawbinary'!J100</f>
        <v>0</v>
      </c>
      <c r="J100">
        <f>Weigt!O100</f>
        <v>0</v>
      </c>
      <c r="K100" t="str">
        <f t="shared" si="5"/>
        <v/>
      </c>
    </row>
    <row r="101" spans="1:11" x14ac:dyDescent="0.35">
      <c r="A101" s="2">
        <f>'stuttgart-bkjck-rawbinary'!A101</f>
        <v>2979</v>
      </c>
      <c r="B101" t="str">
        <f ca="1">LOOKUP(A101,'stuttgart-bkjck-rawbinary'!$A$2:$A$449,'stuttgart-bkjck-rawbinary'!$H$2:$H548)</f>
        <v>z</v>
      </c>
      <c r="C101" t="str">
        <f>Weigt!C101</f>
        <v>2979</v>
      </c>
      <c r="D101" t="str">
        <f>Weigt!M101</f>
        <v>z</v>
      </c>
      <c r="E101" t="str">
        <f t="shared" ca="1" si="3"/>
        <v/>
      </c>
      <c r="F101">
        <f>'stuttgart-bkjck-rawbinary'!I101</f>
        <v>0</v>
      </c>
      <c r="G101">
        <f>Weigt!N101</f>
        <v>0</v>
      </c>
      <c r="H101" t="str">
        <f t="shared" si="4"/>
        <v/>
      </c>
      <c r="I101">
        <f>'stuttgart-bkjck-rawbinary'!J101</f>
        <v>1</v>
      </c>
      <c r="J101">
        <f>Weigt!O101</f>
        <v>1</v>
      </c>
      <c r="K101" t="str">
        <f t="shared" si="5"/>
        <v/>
      </c>
    </row>
    <row r="102" spans="1:11" x14ac:dyDescent="0.35">
      <c r="A102" s="2">
        <f>'stuttgart-bkjck-rawbinary'!A102</f>
        <v>2980</v>
      </c>
      <c r="B102" t="str">
        <f ca="1">LOOKUP(A102,'stuttgart-bkjck-rawbinary'!$A$2:$A$449,'stuttgart-bkjck-rawbinary'!$H$2:$H549)</f>
        <v>p</v>
      </c>
      <c r="C102" t="str">
        <f>Weigt!C102</f>
        <v>2980</v>
      </c>
      <c r="D102" t="str">
        <f>Weigt!M102</f>
        <v>p</v>
      </c>
      <c r="E102" t="str">
        <f t="shared" ca="1" si="3"/>
        <v/>
      </c>
      <c r="F102">
        <f>'stuttgart-bkjck-rawbinary'!I102</f>
        <v>24</v>
      </c>
      <c r="G102">
        <f>Weigt!N102</f>
        <v>24</v>
      </c>
      <c r="H102" t="str">
        <f t="shared" si="4"/>
        <v/>
      </c>
      <c r="I102">
        <f>'stuttgart-bkjck-rawbinary'!J102</f>
        <v>0</v>
      </c>
      <c r="J102">
        <f>Weigt!O102</f>
        <v>0</v>
      </c>
      <c r="K102" t="str">
        <f t="shared" si="5"/>
        <v/>
      </c>
    </row>
    <row r="103" spans="1:11" x14ac:dyDescent="0.35">
      <c r="A103" s="2">
        <f>'stuttgart-bkjck-rawbinary'!A103</f>
        <v>2981</v>
      </c>
      <c r="B103" t="str">
        <f ca="1">LOOKUP(A103,'stuttgart-bkjck-rawbinary'!$A$2:$A$449,'stuttgart-bkjck-rawbinary'!$H$2:$H550)</f>
        <v>r</v>
      </c>
      <c r="C103" t="str">
        <f>Weigt!C103</f>
        <v>2981</v>
      </c>
      <c r="D103" t="str">
        <f>Weigt!M103</f>
        <v>r</v>
      </c>
      <c r="E103" t="str">
        <f t="shared" ca="1" si="3"/>
        <v/>
      </c>
      <c r="F103">
        <f>'stuttgart-bkjck-rawbinary'!I103</f>
        <v>46</v>
      </c>
      <c r="G103">
        <f>Weigt!N103</f>
        <v>46</v>
      </c>
      <c r="H103" t="str">
        <f t="shared" si="4"/>
        <v/>
      </c>
      <c r="I103">
        <f>'stuttgart-bkjck-rawbinary'!J103</f>
        <v>10</v>
      </c>
      <c r="J103">
        <f>Weigt!O103</f>
        <v>10</v>
      </c>
      <c r="K103" t="str">
        <f t="shared" si="5"/>
        <v/>
      </c>
    </row>
    <row r="104" spans="1:11" x14ac:dyDescent="0.35">
      <c r="A104" s="2">
        <f>'stuttgart-bkjck-rawbinary'!A104</f>
        <v>2982</v>
      </c>
      <c r="B104" t="str">
        <f ca="1">LOOKUP(A104,'stuttgart-bkjck-rawbinary'!$A$2:$A$449,'stuttgart-bkjck-rawbinary'!$H$2:$H551)</f>
        <v>u</v>
      </c>
      <c r="C104" t="str">
        <f>Weigt!C104</f>
        <v>2982</v>
      </c>
      <c r="D104" t="str">
        <f>Weigt!M104</f>
        <v>u</v>
      </c>
      <c r="E104" t="str">
        <f t="shared" ca="1" si="3"/>
        <v/>
      </c>
      <c r="F104">
        <f>'stuttgart-bkjck-rawbinary'!I104</f>
        <v>46</v>
      </c>
      <c r="G104">
        <f>Weigt!N104</f>
        <v>46</v>
      </c>
      <c r="H104" t="str">
        <f t="shared" si="4"/>
        <v/>
      </c>
      <c r="I104">
        <f>'stuttgart-bkjck-rawbinary'!J104</f>
        <v>26</v>
      </c>
      <c r="J104">
        <f>Weigt!O104</f>
        <v>26</v>
      </c>
      <c r="K104" t="str">
        <f t="shared" si="5"/>
        <v/>
      </c>
    </row>
    <row r="105" spans="1:11" x14ac:dyDescent="0.35">
      <c r="A105" s="2">
        <f>'stuttgart-bkjck-rawbinary'!A105</f>
        <v>2983</v>
      </c>
      <c r="B105" t="str">
        <f ca="1">LOOKUP(A105,'stuttgart-bkjck-rawbinary'!$A$2:$A$449,'stuttgart-bkjck-rawbinary'!$H$2:$H552)</f>
        <v>c</v>
      </c>
      <c r="C105" t="str">
        <f>Weigt!C105</f>
        <v>2983</v>
      </c>
      <c r="D105" t="str">
        <f>Weigt!M105</f>
        <v>c</v>
      </c>
      <c r="E105" t="str">
        <f t="shared" ca="1" si="3"/>
        <v/>
      </c>
      <c r="F105">
        <f>'stuttgart-bkjck-rawbinary'!I105</f>
        <v>51</v>
      </c>
      <c r="G105">
        <f>Weigt!N105</f>
        <v>51</v>
      </c>
      <c r="H105" t="str">
        <f t="shared" si="4"/>
        <v/>
      </c>
      <c r="I105">
        <f>'stuttgart-bkjck-rawbinary'!J105</f>
        <v>45</v>
      </c>
      <c r="J105">
        <f>Weigt!O105</f>
        <v>45</v>
      </c>
      <c r="K105" t="str">
        <f t="shared" si="5"/>
        <v/>
      </c>
    </row>
    <row r="106" spans="1:11" x14ac:dyDescent="0.35">
      <c r="A106" s="2">
        <f>'stuttgart-bkjck-rawbinary'!A106</f>
        <v>2984</v>
      </c>
      <c r="B106" t="str">
        <f ca="1">LOOKUP(A106,'stuttgart-bkjck-rawbinary'!$A$2:$A$449,'stuttgart-bkjck-rawbinary'!$H$2:$H553)</f>
        <v>p</v>
      </c>
      <c r="C106" t="str">
        <f>Weigt!C106</f>
        <v>2984</v>
      </c>
      <c r="D106" t="str">
        <f>Weigt!M106</f>
        <v>p</v>
      </c>
      <c r="E106" t="str">
        <f t="shared" ca="1" si="3"/>
        <v/>
      </c>
      <c r="F106">
        <f>'stuttgart-bkjck-rawbinary'!I106</f>
        <v>12</v>
      </c>
      <c r="G106">
        <f>Weigt!N106</f>
        <v>12</v>
      </c>
      <c r="H106" t="str">
        <f t="shared" si="4"/>
        <v/>
      </c>
      <c r="I106">
        <f>'stuttgart-bkjck-rawbinary'!J106</f>
        <v>0</v>
      </c>
      <c r="J106">
        <f>Weigt!O106</f>
        <v>0</v>
      </c>
      <c r="K106" t="str">
        <f t="shared" si="5"/>
        <v/>
      </c>
    </row>
    <row r="107" spans="1:11" x14ac:dyDescent="0.35">
      <c r="A107" s="2">
        <f>'stuttgart-bkjck-rawbinary'!A107</f>
        <v>2985</v>
      </c>
      <c r="B107" t="str">
        <f ca="1">LOOKUP(A107,'stuttgart-bkjck-rawbinary'!$A$2:$A$449,'stuttgart-bkjck-rawbinary'!$H$2:$H554)</f>
        <v>z</v>
      </c>
      <c r="C107" t="str">
        <f>Weigt!C107</f>
        <v>2985</v>
      </c>
      <c r="D107" t="str">
        <f>Weigt!M107</f>
        <v>z</v>
      </c>
      <c r="E107" t="str">
        <f t="shared" ca="1" si="3"/>
        <v/>
      </c>
      <c r="F107">
        <f>'stuttgart-bkjck-rawbinary'!I107</f>
        <v>0</v>
      </c>
      <c r="G107">
        <f>Weigt!N107</f>
        <v>0</v>
      </c>
      <c r="H107" t="str">
        <f t="shared" si="4"/>
        <v/>
      </c>
      <c r="I107">
        <f>'stuttgart-bkjck-rawbinary'!J107</f>
        <v>22</v>
      </c>
      <c r="J107">
        <f>Weigt!O107</f>
        <v>22</v>
      </c>
      <c r="K107" t="str">
        <f t="shared" si="5"/>
        <v/>
      </c>
    </row>
    <row r="108" spans="1:11" x14ac:dyDescent="0.35">
      <c r="A108" s="2">
        <f>'stuttgart-bkjck-rawbinary'!A108</f>
        <v>2986</v>
      </c>
      <c r="B108" t="str">
        <f ca="1">LOOKUP(A108,'stuttgart-bkjck-rawbinary'!$A$2:$A$449,'stuttgart-bkjck-rawbinary'!$H$2:$H555)</f>
        <v>p</v>
      </c>
      <c r="C108" t="str">
        <f>Weigt!C108</f>
        <v>2986</v>
      </c>
      <c r="D108" t="str">
        <f>Weigt!M108</f>
        <v>p</v>
      </c>
      <c r="E108" t="str">
        <f t="shared" ca="1" si="3"/>
        <v/>
      </c>
      <c r="F108">
        <f>'stuttgart-bkjck-rawbinary'!I108</f>
        <v>24</v>
      </c>
      <c r="G108">
        <f>Weigt!N108</f>
        <v>24</v>
      </c>
      <c r="H108" t="str">
        <f t="shared" si="4"/>
        <v/>
      </c>
      <c r="I108">
        <f>'stuttgart-bkjck-rawbinary'!J108</f>
        <v>0</v>
      </c>
      <c r="J108">
        <f>Weigt!O108</f>
        <v>0</v>
      </c>
      <c r="K108" t="str">
        <f t="shared" si="5"/>
        <v/>
      </c>
    </row>
    <row r="109" spans="1:11" x14ac:dyDescent="0.35">
      <c r="A109" s="2">
        <f>'stuttgart-bkjck-rawbinary'!A109</f>
        <v>2987</v>
      </c>
      <c r="B109" t="str">
        <f ca="1">LOOKUP(A109,'stuttgart-bkjck-rawbinary'!$A$2:$A$449,'stuttgart-bkjck-rawbinary'!$H$2:$H556)</f>
        <v>r</v>
      </c>
      <c r="C109" t="str">
        <f>Weigt!C109</f>
        <v>2987</v>
      </c>
      <c r="D109" t="str">
        <f>Weigt!M109</f>
        <v>r</v>
      </c>
      <c r="E109" t="str">
        <f t="shared" ca="1" si="3"/>
        <v/>
      </c>
      <c r="F109">
        <f>'stuttgart-bkjck-rawbinary'!I109</f>
        <v>46</v>
      </c>
      <c r="G109">
        <f>Weigt!N109</f>
        <v>46</v>
      </c>
      <c r="H109" t="str">
        <f t="shared" si="4"/>
        <v/>
      </c>
      <c r="I109">
        <f>'stuttgart-bkjck-rawbinary'!J109</f>
        <v>10</v>
      </c>
      <c r="J109">
        <f>Weigt!O109</f>
        <v>10</v>
      </c>
      <c r="K109" t="str">
        <f t="shared" si="5"/>
        <v/>
      </c>
    </row>
    <row r="110" spans="1:11" x14ac:dyDescent="0.35">
      <c r="A110" s="2">
        <f>'stuttgart-bkjck-rawbinary'!A110</f>
        <v>2988</v>
      </c>
      <c r="B110" t="str">
        <f ca="1">LOOKUP(A110,'stuttgart-bkjck-rawbinary'!$A$2:$A$449,'stuttgart-bkjck-rawbinary'!$H$2:$H557)</f>
        <v>u</v>
      </c>
      <c r="C110" t="str">
        <f>Weigt!C110</f>
        <v>2988</v>
      </c>
      <c r="D110" t="str">
        <f>Weigt!M110</f>
        <v>u</v>
      </c>
      <c r="E110" t="str">
        <f t="shared" ca="1" si="3"/>
        <v/>
      </c>
      <c r="F110">
        <f>'stuttgart-bkjck-rawbinary'!I110</f>
        <v>46</v>
      </c>
      <c r="G110">
        <f>Weigt!N110</f>
        <v>46</v>
      </c>
      <c r="H110" t="str">
        <f t="shared" si="4"/>
        <v/>
      </c>
      <c r="I110">
        <f>'stuttgart-bkjck-rawbinary'!J110</f>
        <v>26</v>
      </c>
      <c r="J110">
        <f>Weigt!O110</f>
        <v>26</v>
      </c>
      <c r="K110" t="str">
        <f t="shared" si="5"/>
        <v/>
      </c>
    </row>
    <row r="111" spans="1:11" x14ac:dyDescent="0.35">
      <c r="A111" s="2">
        <f>'stuttgart-bkjck-rawbinary'!A111</f>
        <v>2989</v>
      </c>
      <c r="B111" t="str">
        <f ca="1">LOOKUP(A111,'stuttgart-bkjck-rawbinary'!$A$2:$A$449,'stuttgart-bkjck-rawbinary'!$H$2:$H558)</f>
        <v>c</v>
      </c>
      <c r="C111" t="str">
        <f>Weigt!C111</f>
        <v>2989</v>
      </c>
      <c r="D111" t="str">
        <f>Weigt!M111</f>
        <v>c</v>
      </c>
      <c r="E111" t="str">
        <f t="shared" ca="1" si="3"/>
        <v/>
      </c>
      <c r="F111">
        <f>'stuttgart-bkjck-rawbinary'!I111</f>
        <v>50</v>
      </c>
      <c r="G111">
        <f>Weigt!N111</f>
        <v>50</v>
      </c>
      <c r="H111" t="str">
        <f t="shared" si="4"/>
        <v/>
      </c>
      <c r="I111">
        <f>'stuttgart-bkjck-rawbinary'!J111</f>
        <v>29</v>
      </c>
      <c r="J111">
        <f>Weigt!O111</f>
        <v>29</v>
      </c>
      <c r="K111" t="str">
        <f t="shared" si="5"/>
        <v/>
      </c>
    </row>
    <row r="112" spans="1:11" x14ac:dyDescent="0.35">
      <c r="A112" s="2">
        <f>'stuttgart-bkjck-rawbinary'!A112</f>
        <v>2990</v>
      </c>
      <c r="B112" t="str">
        <f ca="1">LOOKUP(A112,'stuttgart-bkjck-rawbinary'!$A$2:$A$449,'stuttgart-bkjck-rawbinary'!$H$2:$H559)</f>
        <v>r</v>
      </c>
      <c r="C112" t="str">
        <f>Weigt!C112</f>
        <v>2990</v>
      </c>
      <c r="D112" t="str">
        <f>Weigt!M112</f>
        <v>r</v>
      </c>
      <c r="E112" t="str">
        <f t="shared" ca="1" si="3"/>
        <v/>
      </c>
      <c r="F112">
        <f>'stuttgart-bkjck-rawbinary'!I112</f>
        <v>51</v>
      </c>
      <c r="G112">
        <f>Weigt!N112</f>
        <v>51</v>
      </c>
      <c r="H112" t="str">
        <f t="shared" si="4"/>
        <v/>
      </c>
      <c r="I112">
        <f>'stuttgart-bkjck-rawbinary'!J112</f>
        <v>0</v>
      </c>
      <c r="J112">
        <f>Weigt!O112</f>
        <v>0</v>
      </c>
      <c r="K112" t="str">
        <f t="shared" si="5"/>
        <v/>
      </c>
    </row>
    <row r="113" spans="1:11" x14ac:dyDescent="0.35">
      <c r="A113" s="2">
        <f>'stuttgart-bkjck-rawbinary'!A113</f>
        <v>2991</v>
      </c>
      <c r="B113" t="str">
        <f ca="1">LOOKUP(A113,'stuttgart-bkjck-rawbinary'!$A$2:$A$449,'stuttgart-bkjck-rawbinary'!$H$2:$H560)</f>
        <v>u</v>
      </c>
      <c r="C113" t="str">
        <f>Weigt!C113</f>
        <v>2991</v>
      </c>
      <c r="D113" t="str">
        <f>Weigt!M113</f>
        <v>u</v>
      </c>
      <c r="E113" t="str">
        <f t="shared" ca="1" si="3"/>
        <v/>
      </c>
      <c r="F113">
        <f>'stuttgart-bkjck-rawbinary'!I113</f>
        <v>51</v>
      </c>
      <c r="G113">
        <f>Weigt!N113</f>
        <v>51</v>
      </c>
      <c r="H113" t="str">
        <f t="shared" si="4"/>
        <v/>
      </c>
      <c r="I113">
        <f>'stuttgart-bkjck-rawbinary'!J113</f>
        <v>0</v>
      </c>
      <c r="J113">
        <f>Weigt!O113</f>
        <v>0</v>
      </c>
      <c r="K113" t="str">
        <f t="shared" si="5"/>
        <v/>
      </c>
    </row>
    <row r="114" spans="1:11" x14ac:dyDescent="0.35">
      <c r="A114" s="2">
        <f>'stuttgart-bkjck-rawbinary'!A114</f>
        <v>2992</v>
      </c>
      <c r="B114" t="str">
        <f ca="1">LOOKUP(A114,'stuttgart-bkjck-rawbinary'!$A$2:$A$449,'stuttgart-bkjck-rawbinary'!$H$2:$H561)</f>
        <v>p</v>
      </c>
      <c r="C114" t="str">
        <f>Weigt!C114</f>
        <v>2992</v>
      </c>
      <c r="D114" t="str">
        <f>Weigt!M114</f>
        <v>p</v>
      </c>
      <c r="E114" t="str">
        <f t="shared" ca="1" si="3"/>
        <v/>
      </c>
      <c r="F114">
        <f>'stuttgart-bkjck-rawbinary'!I114</f>
        <v>62</v>
      </c>
      <c r="G114">
        <f>Weigt!N114</f>
        <v>62</v>
      </c>
      <c r="H114" t="str">
        <f t="shared" si="4"/>
        <v/>
      </c>
      <c r="I114">
        <f>'stuttgart-bkjck-rawbinary'!J114</f>
        <v>31</v>
      </c>
      <c r="J114">
        <f>Weigt!O114</f>
        <v>31</v>
      </c>
      <c r="K114" t="str">
        <f t="shared" si="5"/>
        <v/>
      </c>
    </row>
    <row r="115" spans="1:11" x14ac:dyDescent="0.35">
      <c r="A115" s="2">
        <f>'stuttgart-bkjck-rawbinary'!A115</f>
        <v>2993</v>
      </c>
      <c r="B115" t="str">
        <f ca="1">LOOKUP(A115,'stuttgart-bkjck-rawbinary'!$A$2:$A$449,'stuttgart-bkjck-rawbinary'!$H$2:$H562)</f>
        <v>p</v>
      </c>
      <c r="C115" t="str">
        <f>Weigt!C115</f>
        <v>2993</v>
      </c>
      <c r="D115" t="str">
        <f>Weigt!M115</f>
        <v>p</v>
      </c>
      <c r="E115" t="str">
        <f t="shared" ca="1" si="3"/>
        <v/>
      </c>
      <c r="F115">
        <f>'stuttgart-bkjck-rawbinary'!I115</f>
        <v>24</v>
      </c>
      <c r="G115">
        <f>Weigt!N115</f>
        <v>24</v>
      </c>
      <c r="H115" t="str">
        <f t="shared" si="4"/>
        <v/>
      </c>
      <c r="I115">
        <f>'stuttgart-bkjck-rawbinary'!J115</f>
        <v>0</v>
      </c>
      <c r="J115">
        <f>Weigt!O115</f>
        <v>0</v>
      </c>
      <c r="K115" t="str">
        <f t="shared" si="5"/>
        <v/>
      </c>
    </row>
    <row r="116" spans="1:11" x14ac:dyDescent="0.35">
      <c r="A116" s="2">
        <f>'stuttgart-bkjck-rawbinary'!A116</f>
        <v>2994</v>
      </c>
      <c r="B116" t="str">
        <f ca="1">LOOKUP(A116,'stuttgart-bkjck-rawbinary'!$A$2:$A$449,'stuttgart-bkjck-rawbinary'!$H$2:$H563)</f>
        <v>b</v>
      </c>
      <c r="C116" t="str">
        <f>Weigt!C116</f>
        <v>2994</v>
      </c>
      <c r="D116" t="str">
        <f>Weigt!M116</f>
        <v>b</v>
      </c>
      <c r="E116" t="str">
        <f t="shared" ca="1" si="3"/>
        <v/>
      </c>
      <c r="F116">
        <f>'stuttgart-bkjck-rawbinary'!I116</f>
        <v>50</v>
      </c>
      <c r="G116">
        <f>Weigt!N116</f>
        <v>50</v>
      </c>
      <c r="H116" t="str">
        <f t="shared" si="4"/>
        <v/>
      </c>
      <c r="I116">
        <f>'stuttgart-bkjck-rawbinary'!J116</f>
        <v>31</v>
      </c>
      <c r="J116">
        <f>Weigt!O116</f>
        <v>31</v>
      </c>
      <c r="K116" t="str">
        <f t="shared" si="5"/>
        <v/>
      </c>
    </row>
    <row r="117" spans="1:11" x14ac:dyDescent="0.35">
      <c r="A117" s="2">
        <f>'stuttgart-bkjck-rawbinary'!A117</f>
        <v>2995</v>
      </c>
      <c r="B117" t="str">
        <f ca="1">LOOKUP(A117,'stuttgart-bkjck-rawbinary'!$A$2:$A$449,'stuttgart-bkjck-rawbinary'!$H$2:$H564)</f>
        <v>a</v>
      </c>
      <c r="C117" t="str">
        <f>Weigt!C117</f>
        <v>2995</v>
      </c>
      <c r="D117" t="str">
        <f>Weigt!M117</f>
        <v>a</v>
      </c>
      <c r="E117" t="str">
        <f t="shared" ca="1" si="3"/>
        <v/>
      </c>
      <c r="F117">
        <f>'stuttgart-bkjck-rawbinary'!I117</f>
        <v>46</v>
      </c>
      <c r="G117">
        <f>Weigt!N117</f>
        <v>46</v>
      </c>
      <c r="H117" t="str">
        <f t="shared" si="4"/>
        <v/>
      </c>
      <c r="I117">
        <f>'stuttgart-bkjck-rawbinary'!J117</f>
        <v>35</v>
      </c>
      <c r="J117">
        <f>Weigt!O117</f>
        <v>35</v>
      </c>
      <c r="K117" t="str">
        <f t="shared" si="5"/>
        <v/>
      </c>
    </row>
    <row r="118" spans="1:11" x14ac:dyDescent="0.35">
      <c r="A118" s="2">
        <f>'stuttgart-bkjck-rawbinary'!A118</f>
        <v>2996</v>
      </c>
      <c r="B118" t="str">
        <f ca="1">LOOKUP(A118,'stuttgart-bkjck-rawbinary'!$A$2:$A$449,'stuttgart-bkjck-rawbinary'!$H$2:$H565)</f>
        <v>c</v>
      </c>
      <c r="C118" t="str">
        <f>Weigt!C118</f>
        <v>2996</v>
      </c>
      <c r="D118" t="str">
        <f>Weigt!M118</f>
        <v>c</v>
      </c>
      <c r="E118" t="str">
        <f t="shared" ca="1" si="3"/>
        <v/>
      </c>
      <c r="F118">
        <f>'stuttgart-bkjck-rawbinary'!I118</f>
        <v>50</v>
      </c>
      <c r="G118">
        <f>Weigt!N118</f>
        <v>50</v>
      </c>
      <c r="H118" t="str">
        <f t="shared" si="4"/>
        <v/>
      </c>
      <c r="I118">
        <f>'stuttgart-bkjck-rawbinary'!J118</f>
        <v>31</v>
      </c>
      <c r="J118">
        <f>Weigt!O118</f>
        <v>31</v>
      </c>
      <c r="K118" t="str">
        <f t="shared" si="5"/>
        <v/>
      </c>
    </row>
    <row r="119" spans="1:11" x14ac:dyDescent="0.35">
      <c r="A119" s="2">
        <f>'stuttgart-bkjck-rawbinary'!A119</f>
        <v>2997</v>
      </c>
      <c r="B119" t="str">
        <f ca="1">LOOKUP(A119,'stuttgart-bkjck-rawbinary'!$A$2:$A$449,'stuttgart-bkjck-rawbinary'!$H$2:$H566)</f>
        <v>u</v>
      </c>
      <c r="C119" t="str">
        <f>Weigt!C119</f>
        <v>2997</v>
      </c>
      <c r="D119" t="str">
        <f>Weigt!M119</f>
        <v>u</v>
      </c>
      <c r="E119" t="str">
        <f t="shared" ca="1" si="3"/>
        <v/>
      </c>
      <c r="F119">
        <f>'stuttgart-bkjck-rawbinary'!I119</f>
        <v>46</v>
      </c>
      <c r="G119">
        <f>Weigt!N119</f>
        <v>46</v>
      </c>
      <c r="H119" t="str">
        <f t="shared" si="4"/>
        <v/>
      </c>
      <c r="I119">
        <f>'stuttgart-bkjck-rawbinary'!J119</f>
        <v>54</v>
      </c>
      <c r="J119">
        <f>Weigt!O119</f>
        <v>54</v>
      </c>
      <c r="K119" t="str">
        <f t="shared" si="5"/>
        <v/>
      </c>
    </row>
    <row r="120" spans="1:11" x14ac:dyDescent="0.35">
      <c r="A120" s="2">
        <f>'stuttgart-bkjck-rawbinary'!A120</f>
        <v>2998</v>
      </c>
      <c r="B120" t="str">
        <f ca="1">LOOKUP(A120,'stuttgart-bkjck-rawbinary'!$A$2:$A$449,'stuttgart-bkjck-rawbinary'!$H$2:$H567)</f>
        <v>r</v>
      </c>
      <c r="C120" t="str">
        <f>Weigt!C120</f>
        <v>2998</v>
      </c>
      <c r="D120" t="str">
        <f>Weigt!M120</f>
        <v>r</v>
      </c>
      <c r="E120" t="str">
        <f t="shared" ca="1" si="3"/>
        <v/>
      </c>
      <c r="F120">
        <f>'stuttgart-bkjck-rawbinary'!I120</f>
        <v>46</v>
      </c>
      <c r="G120">
        <f>Weigt!N120</f>
        <v>46</v>
      </c>
      <c r="H120" t="str">
        <f t="shared" si="4"/>
        <v/>
      </c>
      <c r="I120">
        <f>'stuttgart-bkjck-rawbinary'!J120</f>
        <v>10</v>
      </c>
      <c r="J120">
        <f>Weigt!O120</f>
        <v>10</v>
      </c>
      <c r="K120" t="str">
        <f t="shared" si="5"/>
        <v/>
      </c>
    </row>
    <row r="121" spans="1:11" x14ac:dyDescent="0.35">
      <c r="A121" s="2">
        <f>'stuttgart-bkjck-rawbinary'!A121</f>
        <v>2999</v>
      </c>
      <c r="B121" t="str">
        <f ca="1">LOOKUP(A121,'stuttgart-bkjck-rawbinary'!$A$2:$A$449,'stuttgart-bkjck-rawbinary'!$H$2:$H568)</f>
        <v>u</v>
      </c>
      <c r="C121" t="str">
        <f>Weigt!C121</f>
        <v>2999</v>
      </c>
      <c r="D121" t="str">
        <f>Weigt!M121</f>
        <v>u</v>
      </c>
      <c r="E121" t="str">
        <f t="shared" ca="1" si="3"/>
        <v/>
      </c>
      <c r="F121">
        <f>'stuttgart-bkjck-rawbinary'!I121</f>
        <v>46</v>
      </c>
      <c r="G121">
        <f>Weigt!N121</f>
        <v>46</v>
      </c>
      <c r="H121" t="str">
        <f t="shared" si="4"/>
        <v/>
      </c>
      <c r="I121">
        <f>'stuttgart-bkjck-rawbinary'!J121</f>
        <v>26</v>
      </c>
      <c r="J121">
        <f>Weigt!O121</f>
        <v>26</v>
      </c>
      <c r="K121" t="str">
        <f t="shared" si="5"/>
        <v/>
      </c>
    </row>
    <row r="122" spans="1:11" x14ac:dyDescent="0.35">
      <c r="A122" s="2">
        <f>'stuttgart-bkjck-rawbinary'!A122</f>
        <v>3000</v>
      </c>
      <c r="B122" t="str">
        <f ca="1">LOOKUP(A122,'stuttgart-bkjck-rawbinary'!$A$2:$A$449,'stuttgart-bkjck-rawbinary'!$H$2:$H569)</f>
        <v>t</v>
      </c>
      <c r="C122" t="str">
        <f>Weigt!C122</f>
        <v>3000</v>
      </c>
      <c r="D122" t="str">
        <f>Weigt!M122</f>
        <v>t</v>
      </c>
      <c r="E122" t="str">
        <f t="shared" ca="1" si="3"/>
        <v/>
      </c>
      <c r="F122">
        <f>'stuttgart-bkjck-rawbinary'!I122</f>
        <v>47</v>
      </c>
      <c r="G122">
        <f>Weigt!N122</f>
        <v>47</v>
      </c>
      <c r="H122" t="str">
        <f t="shared" si="4"/>
        <v/>
      </c>
      <c r="I122">
        <f>'stuttgart-bkjck-rawbinary'!J122</f>
        <v>11</v>
      </c>
      <c r="J122">
        <f>Weigt!O122</f>
        <v>11</v>
      </c>
      <c r="K122" t="str">
        <f t="shared" si="5"/>
        <v/>
      </c>
    </row>
    <row r="123" spans="1:11" x14ac:dyDescent="0.35">
      <c r="A123" s="2">
        <f>'stuttgart-bkjck-rawbinary'!A123</f>
        <v>3001</v>
      </c>
      <c r="B123" t="str">
        <f ca="1">LOOKUP(A123,'stuttgart-bkjck-rawbinary'!$A$2:$A$449,'stuttgart-bkjck-rawbinary'!$H$2:$H570)</f>
        <v>a</v>
      </c>
      <c r="C123" t="str">
        <f>Weigt!C123</f>
        <v>3001</v>
      </c>
      <c r="D123" t="str">
        <f>Weigt!M123</f>
        <v>a</v>
      </c>
      <c r="E123" t="str">
        <f t="shared" ca="1" si="3"/>
        <v/>
      </c>
      <c r="F123">
        <f>'stuttgart-bkjck-rawbinary'!I123</f>
        <v>51</v>
      </c>
      <c r="G123">
        <f>Weigt!N123</f>
        <v>51</v>
      </c>
      <c r="H123" t="str">
        <f t="shared" si="4"/>
        <v/>
      </c>
      <c r="I123">
        <f>'stuttgart-bkjck-rawbinary'!J123</f>
        <v>45</v>
      </c>
      <c r="J123">
        <f>Weigt!O123</f>
        <v>45</v>
      </c>
      <c r="K123" t="str">
        <f t="shared" si="5"/>
        <v/>
      </c>
    </row>
    <row r="124" spans="1:11" x14ac:dyDescent="0.35">
      <c r="A124" s="2">
        <f>'stuttgart-bkjck-rawbinary'!A124</f>
        <v>3002</v>
      </c>
      <c r="B124" t="str">
        <f ca="1">LOOKUP(A124,'stuttgart-bkjck-rawbinary'!$A$2:$A$449,'stuttgart-bkjck-rawbinary'!$H$2:$H571)</f>
        <v>h</v>
      </c>
      <c r="C124" t="str">
        <f>Weigt!C124</f>
        <v>3002</v>
      </c>
      <c r="D124" t="str">
        <f>Weigt!M124</f>
        <v>h</v>
      </c>
      <c r="E124" t="str">
        <f t="shared" ca="1" si="3"/>
        <v/>
      </c>
      <c r="F124">
        <f>'stuttgart-bkjck-rawbinary'!I124</f>
        <v>51</v>
      </c>
      <c r="G124">
        <f>Weigt!N124</f>
        <v>51</v>
      </c>
      <c r="H124" t="str">
        <f t="shared" si="4"/>
        <v/>
      </c>
      <c r="I124">
        <f>'stuttgart-bkjck-rawbinary'!J124</f>
        <v>45</v>
      </c>
      <c r="J124">
        <f>Weigt!O124</f>
        <v>45</v>
      </c>
      <c r="K124" t="str">
        <f t="shared" si="5"/>
        <v/>
      </c>
    </row>
    <row r="125" spans="1:11" x14ac:dyDescent="0.35">
      <c r="A125" s="2">
        <f>'stuttgart-bkjck-rawbinary'!A125</f>
        <v>3003</v>
      </c>
      <c r="B125" t="str">
        <f ca="1">LOOKUP(A125,'stuttgart-bkjck-rawbinary'!$A$2:$A$449,'stuttgart-bkjck-rawbinary'!$H$2:$H572)</f>
        <v>e</v>
      </c>
      <c r="C125" t="str">
        <f>Weigt!C125</f>
        <v>3003</v>
      </c>
      <c r="D125" t="str">
        <f>Weigt!M125</f>
        <v>e</v>
      </c>
      <c r="E125" t="str">
        <f t="shared" ca="1" si="3"/>
        <v/>
      </c>
      <c r="F125">
        <f>'stuttgart-bkjck-rawbinary'!I125</f>
        <v>45</v>
      </c>
      <c r="G125">
        <f>Weigt!N125</f>
        <v>45</v>
      </c>
      <c r="H125" t="str">
        <f t="shared" si="4"/>
        <v/>
      </c>
      <c r="I125">
        <f>'stuttgart-bkjck-rawbinary'!J125</f>
        <v>62</v>
      </c>
      <c r="J125">
        <f>Weigt!O125</f>
        <v>62</v>
      </c>
      <c r="K125" t="str">
        <f t="shared" si="5"/>
        <v/>
      </c>
    </row>
    <row r="126" spans="1:11" x14ac:dyDescent="0.35">
      <c r="A126" s="2">
        <f>'stuttgart-bkjck-rawbinary'!A126</f>
        <v>3004</v>
      </c>
      <c r="B126" t="str">
        <f ca="1">LOOKUP(A126,'stuttgart-bkjck-rawbinary'!$A$2:$A$449,'stuttgart-bkjck-rawbinary'!$H$2:$H573)</f>
        <v>s</v>
      </c>
      <c r="C126" t="str">
        <f>Weigt!C126</f>
        <v>3004</v>
      </c>
      <c r="D126" t="str">
        <f>Weigt!M126</f>
        <v>s</v>
      </c>
      <c r="E126" t="str">
        <f t="shared" ca="1" si="3"/>
        <v/>
      </c>
      <c r="F126">
        <f>'stuttgart-bkjck-rawbinary'!I126</f>
        <v>46</v>
      </c>
      <c r="G126">
        <f>Weigt!N126</f>
        <v>46</v>
      </c>
      <c r="H126" t="str">
        <f t="shared" si="4"/>
        <v/>
      </c>
      <c r="I126">
        <f>'stuttgart-bkjck-rawbinary'!J126</f>
        <v>41</v>
      </c>
      <c r="J126">
        <f>Weigt!O126</f>
        <v>41</v>
      </c>
      <c r="K126" t="str">
        <f t="shared" si="5"/>
        <v/>
      </c>
    </row>
    <row r="127" spans="1:11" x14ac:dyDescent="0.35">
      <c r="A127" s="2">
        <f>'stuttgart-bkjck-rawbinary'!A127</f>
        <v>3005</v>
      </c>
      <c r="B127" t="str">
        <f ca="1">LOOKUP(A127,'stuttgart-bkjck-rawbinary'!$A$2:$A$449,'stuttgart-bkjck-rawbinary'!$H$2:$H574)</f>
        <v>t</v>
      </c>
      <c r="C127" t="str">
        <f>Weigt!C127</f>
        <v>3005</v>
      </c>
      <c r="D127" t="str">
        <f>Weigt!M127</f>
        <v>t</v>
      </c>
      <c r="E127" t="str">
        <f t="shared" ca="1" si="3"/>
        <v/>
      </c>
      <c r="F127">
        <f>'stuttgart-bkjck-rawbinary'!I127</f>
        <v>47</v>
      </c>
      <c r="G127">
        <f>Weigt!N127</f>
        <v>47</v>
      </c>
      <c r="H127" t="str">
        <f t="shared" si="4"/>
        <v/>
      </c>
      <c r="I127">
        <f>'stuttgart-bkjck-rawbinary'!J127</f>
        <v>24</v>
      </c>
      <c r="J127">
        <f>Weigt!O127</f>
        <v>24</v>
      </c>
      <c r="K127" t="str">
        <f t="shared" si="5"/>
        <v/>
      </c>
    </row>
    <row r="128" spans="1:11" x14ac:dyDescent="0.35">
      <c r="A128" s="2">
        <f>'stuttgart-bkjck-rawbinary'!A128</f>
        <v>3006</v>
      </c>
      <c r="B128" t="str">
        <f ca="1">LOOKUP(A128,'stuttgart-bkjck-rawbinary'!$A$2:$A$449,'stuttgart-bkjck-rawbinary'!$H$2:$H575)</f>
        <v>p</v>
      </c>
      <c r="C128" t="str">
        <f>Weigt!C128</f>
        <v>3006</v>
      </c>
      <c r="D128" t="str">
        <f>Weigt!M128</f>
        <v>p</v>
      </c>
      <c r="E128" t="str">
        <f t="shared" ca="1" si="3"/>
        <v/>
      </c>
      <c r="F128">
        <f>'stuttgart-bkjck-rawbinary'!I128</f>
        <v>12</v>
      </c>
      <c r="G128">
        <f>Weigt!N128</f>
        <v>12</v>
      </c>
      <c r="H128" t="str">
        <f t="shared" si="4"/>
        <v/>
      </c>
      <c r="I128">
        <f>'stuttgart-bkjck-rawbinary'!J128</f>
        <v>0</v>
      </c>
      <c r="J128">
        <f>Weigt!O128</f>
        <v>0</v>
      </c>
      <c r="K128" t="str">
        <f t="shared" si="5"/>
        <v/>
      </c>
    </row>
    <row r="129" spans="1:11" x14ac:dyDescent="0.35">
      <c r="A129" s="2">
        <f>'stuttgart-bkjck-rawbinary'!A129</f>
        <v>3007</v>
      </c>
      <c r="B129" t="str">
        <f ca="1">LOOKUP(A129,'stuttgart-bkjck-rawbinary'!$A$2:$A$449,'stuttgart-bkjck-rawbinary'!$H$2:$H576)</f>
        <v>z</v>
      </c>
      <c r="C129" t="str">
        <f>Weigt!C129</f>
        <v>3007</v>
      </c>
      <c r="D129" t="str">
        <f>Weigt!M129</f>
        <v>z</v>
      </c>
      <c r="E129" t="str">
        <f t="shared" ca="1" si="3"/>
        <v/>
      </c>
      <c r="F129">
        <f>'stuttgart-bkjck-rawbinary'!I129</f>
        <v>0</v>
      </c>
      <c r="G129">
        <f>Weigt!N129</f>
        <v>0</v>
      </c>
      <c r="H129" t="str">
        <f t="shared" si="4"/>
        <v/>
      </c>
      <c r="I129">
        <f>'stuttgart-bkjck-rawbinary'!J129</f>
        <v>4</v>
      </c>
      <c r="J129">
        <f>Weigt!O129</f>
        <v>4</v>
      </c>
      <c r="K129" t="str">
        <f t="shared" si="5"/>
        <v/>
      </c>
    </row>
    <row r="130" spans="1:11" x14ac:dyDescent="0.35">
      <c r="A130" s="2">
        <f>'stuttgart-bkjck-rawbinary'!A130</f>
        <v>3008</v>
      </c>
      <c r="B130" t="str">
        <f ca="1">LOOKUP(A130,'stuttgart-bkjck-rawbinary'!$A$2:$A$449,'stuttgart-bkjck-rawbinary'!$H$2:$H577)</f>
        <v>p</v>
      </c>
      <c r="C130" t="str">
        <f>Weigt!C130</f>
        <v>3008</v>
      </c>
      <c r="D130" t="str">
        <f>Weigt!M130</f>
        <v>p</v>
      </c>
      <c r="E130" t="str">
        <f t="shared" ca="1" si="3"/>
        <v/>
      </c>
      <c r="F130">
        <f>'stuttgart-bkjck-rawbinary'!I130</f>
        <v>24</v>
      </c>
      <c r="G130">
        <f>Weigt!N130</f>
        <v>24</v>
      </c>
      <c r="H130" t="str">
        <f t="shared" si="4"/>
        <v/>
      </c>
      <c r="I130">
        <f>'stuttgart-bkjck-rawbinary'!J130</f>
        <v>0</v>
      </c>
      <c r="J130">
        <f>Weigt!O130</f>
        <v>0</v>
      </c>
      <c r="K130" t="str">
        <f t="shared" si="5"/>
        <v/>
      </c>
    </row>
    <row r="131" spans="1:11" x14ac:dyDescent="0.35">
      <c r="A131" s="2">
        <f>'stuttgart-bkjck-rawbinary'!A131</f>
        <v>3009</v>
      </c>
      <c r="B131" t="str">
        <f ca="1">LOOKUP(A131,'stuttgart-bkjck-rawbinary'!$A$2:$A$449,'stuttgart-bkjck-rawbinary'!$H$2:$H578)</f>
        <v>b</v>
      </c>
      <c r="C131" t="str">
        <f>Weigt!C131</f>
        <v>3009</v>
      </c>
      <c r="D131" t="str">
        <f>Weigt!M131</f>
        <v>b</v>
      </c>
      <c r="E131" t="str">
        <f t="shared" ref="E131:E194" ca="1" si="6">IF(B131&lt;&gt;D131,"*","")</f>
        <v/>
      </c>
      <c r="F131">
        <f>'stuttgart-bkjck-rawbinary'!I131</f>
        <v>47</v>
      </c>
      <c r="G131">
        <f>Weigt!N131</f>
        <v>47</v>
      </c>
      <c r="H131" t="str">
        <f t="shared" ref="H131:H194" si="7">IF(F131&lt;&gt;G131,"*","")</f>
        <v/>
      </c>
      <c r="I131">
        <f>'stuttgart-bkjck-rawbinary'!J131</f>
        <v>23</v>
      </c>
      <c r="J131">
        <f>Weigt!O131</f>
        <v>23</v>
      </c>
      <c r="K131" t="str">
        <f t="shared" ref="K131:K194" si="8">IF(I131&lt;&gt;J131,"*","")</f>
        <v/>
      </c>
    </row>
    <row r="132" spans="1:11" x14ac:dyDescent="0.35">
      <c r="A132" s="2">
        <f>'stuttgart-bkjck-rawbinary'!A132</f>
        <v>3010</v>
      </c>
      <c r="B132" t="str">
        <f ca="1">LOOKUP(A132,'stuttgart-bkjck-rawbinary'!$A$2:$A$449,'stuttgart-bkjck-rawbinary'!$H$2:$H579)</f>
        <v>a</v>
      </c>
      <c r="C132" t="str">
        <f>Weigt!C132</f>
        <v>3010</v>
      </c>
      <c r="D132" t="str">
        <f>Weigt!M132</f>
        <v>a</v>
      </c>
      <c r="E132" t="str">
        <f t="shared" ca="1" si="6"/>
        <v/>
      </c>
      <c r="F132">
        <f>'stuttgart-bkjck-rawbinary'!I132</f>
        <v>46</v>
      </c>
      <c r="G132">
        <f>Weigt!N132</f>
        <v>46</v>
      </c>
      <c r="H132" t="str">
        <f t="shared" si="7"/>
        <v/>
      </c>
      <c r="I132">
        <f>'stuttgart-bkjck-rawbinary'!J132</f>
        <v>35</v>
      </c>
      <c r="J132">
        <f>Weigt!O132</f>
        <v>35</v>
      </c>
      <c r="K132" t="str">
        <f t="shared" si="8"/>
        <v/>
      </c>
    </row>
    <row r="133" spans="1:11" x14ac:dyDescent="0.35">
      <c r="A133" s="2">
        <f>'stuttgart-bkjck-rawbinary'!A133</f>
        <v>3011</v>
      </c>
      <c r="B133" t="str">
        <f ca="1">LOOKUP(A133,'stuttgart-bkjck-rawbinary'!$A$2:$A$449,'stuttgart-bkjck-rawbinary'!$H$2:$H580)</f>
        <v>c</v>
      </c>
      <c r="C133" t="str">
        <f>Weigt!C133</f>
        <v>3011</v>
      </c>
      <c r="D133" t="str">
        <f>Weigt!M133</f>
        <v>c</v>
      </c>
      <c r="E133" t="str">
        <f t="shared" ca="1" si="6"/>
        <v/>
      </c>
      <c r="F133">
        <f>'stuttgart-bkjck-rawbinary'!I133</f>
        <v>47</v>
      </c>
      <c r="G133">
        <f>Weigt!N133</f>
        <v>47</v>
      </c>
      <c r="H133" t="str">
        <f t="shared" si="7"/>
        <v/>
      </c>
      <c r="I133">
        <f>'stuttgart-bkjck-rawbinary'!J133</f>
        <v>23</v>
      </c>
      <c r="J133">
        <f>Weigt!O133</f>
        <v>23</v>
      </c>
      <c r="K133" t="str">
        <f t="shared" si="8"/>
        <v/>
      </c>
    </row>
    <row r="134" spans="1:11" x14ac:dyDescent="0.35">
      <c r="A134" s="2">
        <f>'stuttgart-bkjck-rawbinary'!A134</f>
        <v>3012</v>
      </c>
      <c r="B134" t="str">
        <f ca="1">LOOKUP(A134,'stuttgart-bkjck-rawbinary'!$A$2:$A$449,'stuttgart-bkjck-rawbinary'!$H$2:$H581)</f>
        <v>r</v>
      </c>
      <c r="C134" t="str">
        <f>Weigt!C134</f>
        <v>3012</v>
      </c>
      <c r="D134" t="str">
        <f>Weigt!M134</f>
        <v>r</v>
      </c>
      <c r="E134" t="str">
        <f t="shared" ca="1" si="6"/>
        <v/>
      </c>
      <c r="F134">
        <f>'stuttgart-bkjck-rawbinary'!I134</f>
        <v>46</v>
      </c>
      <c r="G134">
        <f>Weigt!N134</f>
        <v>46</v>
      </c>
      <c r="H134" t="str">
        <f t="shared" si="7"/>
        <v/>
      </c>
      <c r="I134">
        <f>'stuttgart-bkjck-rawbinary'!J134</f>
        <v>10</v>
      </c>
      <c r="J134">
        <f>Weigt!O134</f>
        <v>10</v>
      </c>
      <c r="K134" t="str">
        <f t="shared" si="8"/>
        <v/>
      </c>
    </row>
    <row r="135" spans="1:11" x14ac:dyDescent="0.35">
      <c r="A135" s="2">
        <f>'stuttgart-bkjck-rawbinary'!A135</f>
        <v>3013</v>
      </c>
      <c r="B135" t="str">
        <f ca="1">LOOKUP(A135,'stuttgart-bkjck-rawbinary'!$A$2:$A$449,'stuttgart-bkjck-rawbinary'!$H$2:$H582)</f>
        <v>u</v>
      </c>
      <c r="C135" t="str">
        <f>Weigt!C135</f>
        <v>3013</v>
      </c>
      <c r="D135" t="str">
        <f>Weigt!M135</f>
        <v>u</v>
      </c>
      <c r="E135" t="str">
        <f t="shared" ca="1" si="6"/>
        <v/>
      </c>
      <c r="F135">
        <f>'stuttgart-bkjck-rawbinary'!I135</f>
        <v>46</v>
      </c>
      <c r="G135">
        <f>Weigt!N135</f>
        <v>46</v>
      </c>
      <c r="H135" t="str">
        <f t="shared" si="7"/>
        <v/>
      </c>
      <c r="I135">
        <f>'stuttgart-bkjck-rawbinary'!J135</f>
        <v>26</v>
      </c>
      <c r="J135">
        <f>Weigt!O135</f>
        <v>26</v>
      </c>
      <c r="K135" t="str">
        <f t="shared" si="8"/>
        <v/>
      </c>
    </row>
    <row r="136" spans="1:11" x14ac:dyDescent="0.35">
      <c r="A136" s="2">
        <f>'stuttgart-bkjck-rawbinary'!A136</f>
        <v>3014</v>
      </c>
      <c r="B136" t="str">
        <f ca="1">LOOKUP(A136,'stuttgart-bkjck-rawbinary'!$A$2:$A$449,'stuttgart-bkjck-rawbinary'!$H$2:$H583)</f>
        <v>t</v>
      </c>
      <c r="C136" t="str">
        <f>Weigt!C136</f>
        <v>3014</v>
      </c>
      <c r="D136" t="str">
        <f>Weigt!M136</f>
        <v>t</v>
      </c>
      <c r="E136" t="str">
        <f t="shared" ca="1" si="6"/>
        <v/>
      </c>
      <c r="F136">
        <f>'stuttgart-bkjck-rawbinary'!I136</f>
        <v>47</v>
      </c>
      <c r="G136">
        <f>Weigt!N136</f>
        <v>47</v>
      </c>
      <c r="H136" t="str">
        <f t="shared" si="7"/>
        <v/>
      </c>
      <c r="I136">
        <f>'stuttgart-bkjck-rawbinary'!J136</f>
        <v>15</v>
      </c>
      <c r="J136">
        <f>Weigt!O136</f>
        <v>15</v>
      </c>
      <c r="K136" t="str">
        <f t="shared" si="8"/>
        <v/>
      </c>
    </row>
    <row r="137" spans="1:11" x14ac:dyDescent="0.35">
      <c r="A137" s="2">
        <f>'stuttgart-bkjck-rawbinary'!A137</f>
        <v>3015</v>
      </c>
      <c r="B137" t="str">
        <f ca="1">LOOKUP(A137,'stuttgart-bkjck-rawbinary'!$A$2:$A$449,'stuttgart-bkjck-rawbinary'!$H$2:$H584)</f>
        <v>a</v>
      </c>
      <c r="C137" t="str">
        <f>Weigt!C137</f>
        <v>3015</v>
      </c>
      <c r="D137" t="str">
        <f>Weigt!M137</f>
        <v>a</v>
      </c>
      <c r="E137" t="str">
        <f t="shared" ca="1" si="6"/>
        <v/>
      </c>
      <c r="F137">
        <f>'stuttgart-bkjck-rawbinary'!I137</f>
        <v>50</v>
      </c>
      <c r="G137">
        <f>Weigt!N137</f>
        <v>50</v>
      </c>
      <c r="H137" t="str">
        <f t="shared" si="7"/>
        <v/>
      </c>
      <c r="I137">
        <f>'stuttgart-bkjck-rawbinary'!J137</f>
        <v>29</v>
      </c>
      <c r="J137">
        <f>Weigt!O137</f>
        <v>29</v>
      </c>
      <c r="K137" t="str">
        <f t="shared" si="8"/>
        <v/>
      </c>
    </row>
    <row r="138" spans="1:11" x14ac:dyDescent="0.35">
      <c r="A138" s="2">
        <f>'stuttgart-bkjck-rawbinary'!A138</f>
        <v>3016</v>
      </c>
      <c r="B138" t="str">
        <f ca="1">LOOKUP(A138,'stuttgart-bkjck-rawbinary'!$A$2:$A$449,'stuttgart-bkjck-rawbinary'!$H$2:$H585)</f>
        <v>h</v>
      </c>
      <c r="C138" t="str">
        <f>Weigt!C138</f>
        <v>3016</v>
      </c>
      <c r="D138" t="str">
        <f>Weigt!M138</f>
        <v>h</v>
      </c>
      <c r="E138" t="str">
        <f t="shared" ca="1" si="6"/>
        <v/>
      </c>
      <c r="F138">
        <f>'stuttgart-bkjck-rawbinary'!I138</f>
        <v>50</v>
      </c>
      <c r="G138">
        <f>Weigt!N138</f>
        <v>50</v>
      </c>
      <c r="H138" t="str">
        <f t="shared" si="7"/>
        <v/>
      </c>
      <c r="I138">
        <f>'stuttgart-bkjck-rawbinary'!J138</f>
        <v>29</v>
      </c>
      <c r="J138">
        <f>Weigt!O138</f>
        <v>29</v>
      </c>
      <c r="K138" t="str">
        <f t="shared" si="8"/>
        <v/>
      </c>
    </row>
    <row r="139" spans="1:11" x14ac:dyDescent="0.35">
      <c r="A139" s="2">
        <f>'stuttgart-bkjck-rawbinary'!A139</f>
        <v>3017</v>
      </c>
      <c r="B139" t="str">
        <f ca="1">LOOKUP(A139,'stuttgart-bkjck-rawbinary'!$A$2:$A$449,'stuttgart-bkjck-rawbinary'!$H$2:$H586)</f>
        <v>t</v>
      </c>
      <c r="C139" t="str">
        <f>Weigt!C139</f>
        <v>3017</v>
      </c>
      <c r="D139" t="str">
        <f>Weigt!M139</f>
        <v>t</v>
      </c>
      <c r="E139" t="str">
        <f t="shared" ca="1" si="6"/>
        <v/>
      </c>
      <c r="F139">
        <f>'stuttgart-bkjck-rawbinary'!I139</f>
        <v>48</v>
      </c>
      <c r="G139">
        <f>Weigt!N139</f>
        <v>48</v>
      </c>
      <c r="H139" t="str">
        <f t="shared" si="7"/>
        <v/>
      </c>
      <c r="I139">
        <f>'stuttgart-bkjck-rawbinary'!J139</f>
        <v>26</v>
      </c>
      <c r="J139">
        <f>Weigt!O139</f>
        <v>26</v>
      </c>
      <c r="K139" t="str">
        <f t="shared" si="8"/>
        <v/>
      </c>
    </row>
    <row r="140" spans="1:11" x14ac:dyDescent="0.35">
      <c r="A140" s="2">
        <f>'stuttgart-bkjck-rawbinary'!A140</f>
        <v>3018</v>
      </c>
      <c r="B140" t="str">
        <f ca="1">LOOKUP(A140,'stuttgart-bkjck-rawbinary'!$A$2:$A$449,'stuttgart-bkjck-rawbinary'!$H$2:$H587)</f>
        <v>u</v>
      </c>
      <c r="C140" t="str">
        <f>Weigt!C140</f>
        <v>3018</v>
      </c>
      <c r="D140" t="str">
        <f>Weigt!M140</f>
        <v>u</v>
      </c>
      <c r="E140" t="str">
        <f t="shared" ca="1" si="6"/>
        <v/>
      </c>
      <c r="F140">
        <f>'stuttgart-bkjck-rawbinary'!I140</f>
        <v>47</v>
      </c>
      <c r="G140">
        <f>Weigt!N140</f>
        <v>47</v>
      </c>
      <c r="H140" t="str">
        <f t="shared" si="7"/>
        <v/>
      </c>
      <c r="I140">
        <f>'stuttgart-bkjck-rawbinary'!J140</f>
        <v>62</v>
      </c>
      <c r="J140">
        <f>Weigt!O140</f>
        <v>62</v>
      </c>
      <c r="K140" t="str">
        <f t="shared" si="8"/>
        <v/>
      </c>
    </row>
    <row r="141" spans="1:11" x14ac:dyDescent="0.35">
      <c r="A141" s="2">
        <f>'stuttgart-bkjck-rawbinary'!A141</f>
        <v>3019</v>
      </c>
      <c r="B141" t="str">
        <f ca="1">LOOKUP(A141,'stuttgart-bkjck-rawbinary'!$A$2:$A$449,'stuttgart-bkjck-rawbinary'!$H$2:$H588)</f>
        <v>b</v>
      </c>
      <c r="C141" t="str">
        <f>Weigt!C141</f>
        <v>3019</v>
      </c>
      <c r="D141" t="str">
        <f>Weigt!M141</f>
        <v>b</v>
      </c>
      <c r="E141" t="str">
        <f t="shared" ca="1" si="6"/>
        <v/>
      </c>
      <c r="F141">
        <f>'stuttgart-bkjck-rawbinary'!I141</f>
        <v>51</v>
      </c>
      <c r="G141">
        <f>Weigt!N141</f>
        <v>51</v>
      </c>
      <c r="H141" t="str">
        <f t="shared" si="7"/>
        <v/>
      </c>
      <c r="I141">
        <f>'stuttgart-bkjck-rawbinary'!J141</f>
        <v>45</v>
      </c>
      <c r="J141">
        <f>Weigt!O141</f>
        <v>45</v>
      </c>
      <c r="K141" t="str">
        <f t="shared" si="8"/>
        <v/>
      </c>
    </row>
    <row r="142" spans="1:11" x14ac:dyDescent="0.35">
      <c r="A142" s="2">
        <f>'stuttgart-bkjck-rawbinary'!A142</f>
        <v>3020</v>
      </c>
      <c r="B142" t="str">
        <f ca="1">LOOKUP(A142,'stuttgart-bkjck-rawbinary'!$A$2:$A$449,'stuttgart-bkjck-rawbinary'!$H$2:$H589)</f>
        <v>e</v>
      </c>
      <c r="C142" t="str">
        <f>Weigt!C142</f>
        <v>3020</v>
      </c>
      <c r="D142" t="str">
        <f>Weigt!M142</f>
        <v>e</v>
      </c>
      <c r="E142" t="str">
        <f t="shared" ca="1" si="6"/>
        <v/>
      </c>
      <c r="F142">
        <f>'stuttgart-bkjck-rawbinary'!I142</f>
        <v>45</v>
      </c>
      <c r="G142">
        <f>Weigt!N142</f>
        <v>45</v>
      </c>
      <c r="H142" t="str">
        <f t="shared" si="7"/>
        <v/>
      </c>
      <c r="I142">
        <f>'stuttgart-bkjck-rawbinary'!J142</f>
        <v>62</v>
      </c>
      <c r="J142">
        <f>Weigt!O142</f>
        <v>62</v>
      </c>
      <c r="K142" t="str">
        <f t="shared" si="8"/>
        <v/>
      </c>
    </row>
    <row r="143" spans="1:11" x14ac:dyDescent="0.35">
      <c r="A143" s="2">
        <f>'stuttgart-bkjck-rawbinary'!A143</f>
        <v>3021</v>
      </c>
      <c r="B143" t="str">
        <f ca="1">LOOKUP(A143,'stuttgart-bkjck-rawbinary'!$A$2:$A$449,'stuttgart-bkjck-rawbinary'!$H$2:$H590)</f>
        <v>a</v>
      </c>
      <c r="C143" t="str">
        <f>Weigt!C143</f>
        <v>3021</v>
      </c>
      <c r="D143" t="str">
        <f>Weigt!M143</f>
        <v>a</v>
      </c>
      <c r="E143" t="str">
        <f t="shared" ca="1" si="6"/>
        <v/>
      </c>
      <c r="F143">
        <f>'stuttgart-bkjck-rawbinary'!I143</f>
        <v>45</v>
      </c>
      <c r="G143">
        <f>Weigt!N143</f>
        <v>45</v>
      </c>
      <c r="H143" t="str">
        <f t="shared" si="7"/>
        <v/>
      </c>
      <c r="I143">
        <f>'stuttgart-bkjck-rawbinary'!J143</f>
        <v>60</v>
      </c>
      <c r="J143">
        <f>Weigt!O143</f>
        <v>60</v>
      </c>
      <c r="K143" t="str">
        <f t="shared" si="8"/>
        <v/>
      </c>
    </row>
    <row r="144" spans="1:11" x14ac:dyDescent="0.35">
      <c r="A144" s="2">
        <f>'stuttgart-bkjck-rawbinary'!A144</f>
        <v>3022</v>
      </c>
      <c r="B144" t="str">
        <f ca="1">LOOKUP(A144,'stuttgart-bkjck-rawbinary'!$A$2:$A$449,'stuttgart-bkjck-rawbinary'!$H$2:$H591)</f>
        <v>u</v>
      </c>
      <c r="C144" t="str">
        <f>Weigt!C144</f>
        <v>3022</v>
      </c>
      <c r="D144" t="str">
        <f>Weigt!M144</f>
        <v>u</v>
      </c>
      <c r="E144" t="str">
        <f t="shared" ca="1" si="6"/>
        <v/>
      </c>
      <c r="F144">
        <f>'stuttgart-bkjck-rawbinary'!I144</f>
        <v>46</v>
      </c>
      <c r="G144">
        <f>Weigt!N144</f>
        <v>46</v>
      </c>
      <c r="H144" t="str">
        <f t="shared" si="7"/>
        <v/>
      </c>
      <c r="I144">
        <f>'stuttgart-bkjck-rawbinary'!J144</f>
        <v>58</v>
      </c>
      <c r="J144">
        <f>Weigt!O144</f>
        <v>58</v>
      </c>
      <c r="K144" t="str">
        <f t="shared" si="8"/>
        <v/>
      </c>
    </row>
    <row r="145" spans="1:11" x14ac:dyDescent="0.35">
      <c r="A145" s="2">
        <f>'stuttgart-bkjck-rawbinary'!A145</f>
        <v>3023</v>
      </c>
      <c r="B145" t="str">
        <f ca="1">LOOKUP(A145,'stuttgart-bkjck-rawbinary'!$A$2:$A$449,'stuttgart-bkjck-rawbinary'!$H$2:$H592)</f>
        <v>b</v>
      </c>
      <c r="C145" t="str">
        <f>Weigt!C145</f>
        <v>3023</v>
      </c>
      <c r="D145" t="str">
        <f>Weigt!M145</f>
        <v>b</v>
      </c>
      <c r="E145" t="str">
        <f t="shared" ca="1" si="6"/>
        <v/>
      </c>
      <c r="F145">
        <f>'stuttgart-bkjck-rawbinary'!I145</f>
        <v>50</v>
      </c>
      <c r="G145">
        <f>Weigt!N145</f>
        <v>50</v>
      </c>
      <c r="H145" t="str">
        <f t="shared" si="7"/>
        <v/>
      </c>
      <c r="I145">
        <f>'stuttgart-bkjck-rawbinary'!J145</f>
        <v>29</v>
      </c>
      <c r="J145">
        <f>Weigt!O145</f>
        <v>29</v>
      </c>
      <c r="K145" t="str">
        <f t="shared" si="8"/>
        <v/>
      </c>
    </row>
    <row r="146" spans="1:11" x14ac:dyDescent="0.35">
      <c r="A146" s="2">
        <f>'stuttgart-bkjck-rawbinary'!A146</f>
        <v>3024</v>
      </c>
      <c r="B146" t="str">
        <f ca="1">LOOKUP(A146,'stuttgart-bkjck-rawbinary'!$A$2:$A$449,'stuttgart-bkjck-rawbinary'!$H$2:$H593)</f>
        <v>e</v>
      </c>
      <c r="C146" t="str">
        <f>Weigt!C146</f>
        <v>3024</v>
      </c>
      <c r="D146" t="str">
        <f>Weigt!M146</f>
        <v>e</v>
      </c>
      <c r="E146" t="str">
        <f t="shared" ca="1" si="6"/>
        <v/>
      </c>
      <c r="F146">
        <f>'stuttgart-bkjck-rawbinary'!I146</f>
        <v>45</v>
      </c>
      <c r="G146">
        <f>Weigt!N146</f>
        <v>45</v>
      </c>
      <c r="H146" t="str">
        <f t="shared" si="7"/>
        <v/>
      </c>
      <c r="I146">
        <f>'stuttgart-bkjck-rawbinary'!J146</f>
        <v>62</v>
      </c>
      <c r="J146">
        <f>Weigt!O146</f>
        <v>62</v>
      </c>
      <c r="K146" t="str">
        <f t="shared" si="8"/>
        <v/>
      </c>
    </row>
    <row r="147" spans="1:11" x14ac:dyDescent="0.35">
      <c r="A147" s="2">
        <f>'stuttgart-bkjck-rawbinary'!A147</f>
        <v>3025</v>
      </c>
      <c r="B147" t="str">
        <f ca="1">LOOKUP(A147,'stuttgart-bkjck-rawbinary'!$A$2:$A$449,'stuttgart-bkjck-rawbinary'!$H$2:$H594)</f>
        <v>a</v>
      </c>
      <c r="C147" t="str">
        <f>Weigt!C147</f>
        <v>3025</v>
      </c>
      <c r="D147" t="str">
        <f>Weigt!M147</f>
        <v>a</v>
      </c>
      <c r="E147" t="str">
        <f t="shared" ca="1" si="6"/>
        <v/>
      </c>
      <c r="F147">
        <f>'stuttgart-bkjck-rawbinary'!I147</f>
        <v>45</v>
      </c>
      <c r="G147">
        <f>Weigt!N147</f>
        <v>45</v>
      </c>
      <c r="H147" t="str">
        <f t="shared" si="7"/>
        <v/>
      </c>
      <c r="I147">
        <f>'stuttgart-bkjck-rawbinary'!J147</f>
        <v>60</v>
      </c>
      <c r="J147">
        <f>Weigt!O147</f>
        <v>60</v>
      </c>
      <c r="K147" t="str">
        <f t="shared" si="8"/>
        <v/>
      </c>
    </row>
    <row r="148" spans="1:11" x14ac:dyDescent="0.35">
      <c r="A148" s="2">
        <f>'stuttgart-bkjck-rawbinary'!A148</f>
        <v>3026</v>
      </c>
      <c r="B148" t="str">
        <f ca="1">LOOKUP(A148,'stuttgart-bkjck-rawbinary'!$A$2:$A$449,'stuttgart-bkjck-rawbinary'!$H$2:$H595)</f>
        <v>u</v>
      </c>
      <c r="C148" t="str">
        <f>Weigt!C148</f>
        <v>3026</v>
      </c>
      <c r="D148" t="str">
        <f>Weigt!M148</f>
        <v>u</v>
      </c>
      <c r="E148" t="str">
        <f t="shared" ca="1" si="6"/>
        <v/>
      </c>
      <c r="F148">
        <f>'stuttgart-bkjck-rawbinary'!I148</f>
        <v>47</v>
      </c>
      <c r="G148">
        <f>Weigt!N148</f>
        <v>47</v>
      </c>
      <c r="H148" t="str">
        <f t="shared" si="7"/>
        <v/>
      </c>
      <c r="I148">
        <f>'stuttgart-bkjck-rawbinary'!J148</f>
        <v>8</v>
      </c>
      <c r="J148">
        <f>Weigt!O148</f>
        <v>8</v>
      </c>
      <c r="K148" t="str">
        <f t="shared" si="8"/>
        <v/>
      </c>
    </row>
    <row r="149" spans="1:11" x14ac:dyDescent="0.35">
      <c r="A149" s="2">
        <f>'stuttgart-bkjck-rawbinary'!A149</f>
        <v>3027</v>
      </c>
      <c r="B149" t="str">
        <f ca="1">LOOKUP(A149,'stuttgart-bkjck-rawbinary'!$A$2:$A$449,'stuttgart-bkjck-rawbinary'!$H$2:$H596)</f>
        <v>b</v>
      </c>
      <c r="C149" t="str">
        <f>Weigt!C149</f>
        <v>3027</v>
      </c>
      <c r="D149" t="str">
        <f>Weigt!M149</f>
        <v>b</v>
      </c>
      <c r="E149" t="str">
        <f t="shared" ca="1" si="6"/>
        <v/>
      </c>
      <c r="F149">
        <f>'stuttgart-bkjck-rawbinary'!I149</f>
        <v>50</v>
      </c>
      <c r="G149">
        <f>Weigt!N149</f>
        <v>50</v>
      </c>
      <c r="H149" t="str">
        <f t="shared" si="7"/>
        <v/>
      </c>
      <c r="I149">
        <f>'stuttgart-bkjck-rawbinary'!J149</f>
        <v>29</v>
      </c>
      <c r="J149">
        <f>Weigt!O149</f>
        <v>29</v>
      </c>
      <c r="K149" t="str">
        <f t="shared" si="8"/>
        <v/>
      </c>
    </row>
    <row r="150" spans="1:11" x14ac:dyDescent="0.35">
      <c r="A150" s="2">
        <f>'stuttgart-bkjck-rawbinary'!A150</f>
        <v>3028</v>
      </c>
      <c r="B150" t="str">
        <f ca="1">LOOKUP(A150,'stuttgart-bkjck-rawbinary'!$A$2:$A$449,'stuttgart-bkjck-rawbinary'!$H$2:$H597)</f>
        <v>e</v>
      </c>
      <c r="C150" t="str">
        <f>Weigt!C150</f>
        <v>3028</v>
      </c>
      <c r="D150" t="str">
        <f>Weigt!M150</f>
        <v>e</v>
      </c>
      <c r="E150" t="str">
        <f t="shared" ca="1" si="6"/>
        <v/>
      </c>
      <c r="F150">
        <f>'stuttgart-bkjck-rawbinary'!I150</f>
        <v>45</v>
      </c>
      <c r="G150">
        <f>Weigt!N150</f>
        <v>45</v>
      </c>
      <c r="H150" t="str">
        <f t="shared" si="7"/>
        <v/>
      </c>
      <c r="I150">
        <f>'stuttgart-bkjck-rawbinary'!J150</f>
        <v>62</v>
      </c>
      <c r="J150">
        <f>Weigt!O150</f>
        <v>62</v>
      </c>
      <c r="K150" t="str">
        <f t="shared" si="8"/>
        <v/>
      </c>
    </row>
    <row r="151" spans="1:11" x14ac:dyDescent="0.35">
      <c r="A151" s="2">
        <f>'stuttgart-bkjck-rawbinary'!A151</f>
        <v>3029</v>
      </c>
      <c r="B151" t="str">
        <f ca="1">LOOKUP(A151,'stuttgart-bkjck-rawbinary'!$A$2:$A$449,'stuttgart-bkjck-rawbinary'!$H$2:$H598)</f>
        <v>a</v>
      </c>
      <c r="C151" t="str">
        <f>Weigt!C151</f>
        <v>3029</v>
      </c>
      <c r="D151" t="str">
        <f>Weigt!M151</f>
        <v>a</v>
      </c>
      <c r="E151" t="str">
        <f t="shared" ca="1" si="6"/>
        <v/>
      </c>
      <c r="F151">
        <f>'stuttgart-bkjck-rawbinary'!I151</f>
        <v>45</v>
      </c>
      <c r="G151">
        <f>Weigt!N151</f>
        <v>45</v>
      </c>
      <c r="H151" t="str">
        <f t="shared" si="7"/>
        <v/>
      </c>
      <c r="I151">
        <f>'stuttgart-bkjck-rawbinary'!J151</f>
        <v>60</v>
      </c>
      <c r="J151">
        <f>Weigt!O151</f>
        <v>60</v>
      </c>
      <c r="K151" t="str">
        <f t="shared" si="8"/>
        <v/>
      </c>
    </row>
    <row r="152" spans="1:11" x14ac:dyDescent="0.35">
      <c r="A152" s="2">
        <f>'stuttgart-bkjck-rawbinary'!A152</f>
        <v>3030</v>
      </c>
      <c r="B152" t="str">
        <f ca="1">LOOKUP(A152,'stuttgart-bkjck-rawbinary'!$A$2:$A$449,'stuttgart-bkjck-rawbinary'!$H$2:$H599)</f>
        <v>u</v>
      </c>
      <c r="C152" t="str">
        <f>Weigt!C152</f>
        <v>3030</v>
      </c>
      <c r="D152" t="str">
        <f>Weigt!M152</f>
        <v>u</v>
      </c>
      <c r="E152" t="str">
        <f t="shared" ca="1" si="6"/>
        <v/>
      </c>
      <c r="F152">
        <f>'stuttgart-bkjck-rawbinary'!I152</f>
        <v>47</v>
      </c>
      <c r="G152">
        <f>Weigt!N152</f>
        <v>47</v>
      </c>
      <c r="H152" t="str">
        <f t="shared" si="7"/>
        <v/>
      </c>
      <c r="I152">
        <f>'stuttgart-bkjck-rawbinary'!J152</f>
        <v>58</v>
      </c>
      <c r="J152">
        <f>Weigt!O152</f>
        <v>58</v>
      </c>
      <c r="K152" t="str">
        <f t="shared" si="8"/>
        <v/>
      </c>
    </row>
    <row r="153" spans="1:11" x14ac:dyDescent="0.35">
      <c r="A153" s="2">
        <f>'stuttgart-bkjck-rawbinary'!A153</f>
        <v>3031</v>
      </c>
      <c r="B153" t="str">
        <f ca="1">LOOKUP(A153,'stuttgart-bkjck-rawbinary'!$A$2:$A$449,'stuttgart-bkjck-rawbinary'!$H$2:$H600)</f>
        <v>z</v>
      </c>
      <c r="C153" t="str">
        <f>Weigt!C153</f>
        <v>3031</v>
      </c>
      <c r="D153" t="str">
        <f>Weigt!M153</f>
        <v>z</v>
      </c>
      <c r="E153" t="str">
        <f t="shared" ca="1" si="6"/>
        <v/>
      </c>
      <c r="F153">
        <f>'stuttgart-bkjck-rawbinary'!I153</f>
        <v>0</v>
      </c>
      <c r="G153">
        <f>Weigt!N153</f>
        <v>0</v>
      </c>
      <c r="H153" t="str">
        <f t="shared" si="7"/>
        <v/>
      </c>
      <c r="I153">
        <f>'stuttgart-bkjck-rawbinary'!J153</f>
        <v>0</v>
      </c>
      <c r="J153">
        <f>Weigt!O153</f>
        <v>0</v>
      </c>
      <c r="K153" t="str">
        <f t="shared" si="8"/>
        <v/>
      </c>
    </row>
    <row r="154" spans="1:11" x14ac:dyDescent="0.35">
      <c r="A154" s="2">
        <f>'stuttgart-bkjck-rawbinary'!A154</f>
        <v>3032</v>
      </c>
      <c r="B154" t="str">
        <f ca="1">LOOKUP(A154,'stuttgart-bkjck-rawbinary'!$A$2:$A$449,'stuttgart-bkjck-rawbinary'!$H$2:$H601)</f>
        <v>r</v>
      </c>
      <c r="C154" t="str">
        <f>Weigt!C154</f>
        <v>3032</v>
      </c>
      <c r="D154" t="str">
        <f>Weigt!M154</f>
        <v>r</v>
      </c>
      <c r="E154" t="str">
        <f t="shared" ca="1" si="6"/>
        <v/>
      </c>
      <c r="F154">
        <f>'stuttgart-bkjck-rawbinary'!I154</f>
        <v>51</v>
      </c>
      <c r="G154">
        <f>Weigt!N154</f>
        <v>51</v>
      </c>
      <c r="H154" t="str">
        <f t="shared" si="7"/>
        <v/>
      </c>
      <c r="I154">
        <f>'stuttgart-bkjck-rawbinary'!J154</f>
        <v>0</v>
      </c>
      <c r="J154">
        <f>Weigt!O154</f>
        <v>0</v>
      </c>
      <c r="K154" t="str">
        <f t="shared" si="8"/>
        <v/>
      </c>
    </row>
    <row r="155" spans="1:11" x14ac:dyDescent="0.35">
      <c r="A155" s="2">
        <f>'stuttgart-bkjck-rawbinary'!A155</f>
        <v>3033</v>
      </c>
      <c r="B155" t="str">
        <f ca="1">LOOKUP(A155,'stuttgart-bkjck-rawbinary'!$A$2:$A$449,'stuttgart-bkjck-rawbinary'!$H$2:$H602)</f>
        <v>u</v>
      </c>
      <c r="C155" t="str">
        <f>Weigt!C155</f>
        <v>3033</v>
      </c>
      <c r="D155" t="str">
        <f>Weigt!M155</f>
        <v>u</v>
      </c>
      <c r="E155" t="str">
        <f t="shared" ca="1" si="6"/>
        <v/>
      </c>
      <c r="F155">
        <f>'stuttgart-bkjck-rawbinary'!I155</f>
        <v>51</v>
      </c>
      <c r="G155">
        <f>Weigt!N155</f>
        <v>51</v>
      </c>
      <c r="H155" t="str">
        <f t="shared" si="7"/>
        <v/>
      </c>
      <c r="I155">
        <f>'stuttgart-bkjck-rawbinary'!J155</f>
        <v>0</v>
      </c>
      <c r="J155">
        <f>Weigt!O155</f>
        <v>0</v>
      </c>
      <c r="K155" t="str">
        <f t="shared" si="8"/>
        <v/>
      </c>
    </row>
    <row r="156" spans="1:11" x14ac:dyDescent="0.35">
      <c r="A156" s="2">
        <f>'stuttgart-bkjck-rawbinary'!A156</f>
        <v>3034</v>
      </c>
      <c r="B156" t="str">
        <f ca="1">LOOKUP(A156,'stuttgart-bkjck-rawbinary'!$A$2:$A$449,'stuttgart-bkjck-rawbinary'!$H$2:$H603)</f>
        <v>z</v>
      </c>
      <c r="C156" t="str">
        <f>Weigt!C156</f>
        <v>3034</v>
      </c>
      <c r="D156" t="str">
        <f>Weigt!M156</f>
        <v>z</v>
      </c>
      <c r="E156" t="str">
        <f t="shared" ca="1" si="6"/>
        <v/>
      </c>
      <c r="F156">
        <f>'stuttgart-bkjck-rawbinary'!I156</f>
        <v>42</v>
      </c>
      <c r="G156">
        <f>Weigt!N156</f>
        <v>42</v>
      </c>
      <c r="H156" t="str">
        <f t="shared" si="7"/>
        <v/>
      </c>
      <c r="I156">
        <f>'stuttgart-bkjck-rawbinary'!J156</f>
        <v>2</v>
      </c>
      <c r="J156">
        <f>Weigt!O156</f>
        <v>2</v>
      </c>
      <c r="K156" t="str">
        <f t="shared" si="8"/>
        <v/>
      </c>
    </row>
    <row r="157" spans="1:11" x14ac:dyDescent="0.35">
      <c r="A157" s="2">
        <f>'stuttgart-bkjck-rawbinary'!A157</f>
        <v>3035</v>
      </c>
      <c r="B157" t="str">
        <f ca="1">LOOKUP(A157,'stuttgart-bkjck-rawbinary'!$A$2:$A$449,'stuttgart-bkjck-rawbinary'!$H$2:$H604)</f>
        <v>u</v>
      </c>
      <c r="C157" t="str">
        <f>Weigt!C157</f>
        <v>3035</v>
      </c>
      <c r="D157" t="str">
        <f>Weigt!M157</f>
        <v>u</v>
      </c>
      <c r="E157" t="str">
        <f t="shared" ca="1" si="6"/>
        <v/>
      </c>
      <c r="F157">
        <f>'stuttgart-bkjck-rawbinary'!I157</f>
        <v>42</v>
      </c>
      <c r="G157">
        <f>Weigt!N157</f>
        <v>42</v>
      </c>
      <c r="H157" t="str">
        <f t="shared" si="7"/>
        <v/>
      </c>
      <c r="I157">
        <f>'stuttgart-bkjck-rawbinary'!J157</f>
        <v>4</v>
      </c>
      <c r="J157">
        <f>Weigt!O157</f>
        <v>4</v>
      </c>
      <c r="K157" t="str">
        <f t="shared" si="8"/>
        <v/>
      </c>
    </row>
    <row r="158" spans="1:11" x14ac:dyDescent="0.35">
      <c r="A158" s="2">
        <f>'stuttgart-bkjck-rawbinary'!A158</f>
        <v>3036</v>
      </c>
      <c r="B158" t="str">
        <f ca="1">LOOKUP(A158,'stuttgart-bkjck-rawbinary'!$A$2:$A$449,'stuttgart-bkjck-rawbinary'!$H$2:$H605)</f>
        <v>p</v>
      </c>
      <c r="C158" t="str">
        <f>Weigt!C158</f>
        <v>3036</v>
      </c>
      <c r="D158" t="str">
        <f>Weigt!M158</f>
        <v>p</v>
      </c>
      <c r="E158" t="str">
        <f t="shared" ca="1" si="6"/>
        <v/>
      </c>
      <c r="F158">
        <f>'stuttgart-bkjck-rawbinary'!I158</f>
        <v>6</v>
      </c>
      <c r="G158">
        <f>Weigt!N158</f>
        <v>6</v>
      </c>
      <c r="H158" t="str">
        <f t="shared" si="7"/>
        <v/>
      </c>
      <c r="I158">
        <f>'stuttgart-bkjck-rawbinary'!J158</f>
        <v>31</v>
      </c>
      <c r="J158">
        <f>Weigt!O158</f>
        <v>31</v>
      </c>
      <c r="K158" t="str">
        <f t="shared" si="8"/>
        <v/>
      </c>
    </row>
    <row r="159" spans="1:11" x14ac:dyDescent="0.35">
      <c r="A159" s="2">
        <f>'stuttgart-bkjck-rawbinary'!A159</f>
        <v>3037</v>
      </c>
      <c r="B159" t="str">
        <f ca="1">LOOKUP(A159,'stuttgart-bkjck-rawbinary'!$A$2:$A$449,'stuttgart-bkjck-rawbinary'!$H$2:$H606)</f>
        <v>p</v>
      </c>
      <c r="C159" t="str">
        <f>Weigt!C159</f>
        <v>3037</v>
      </c>
      <c r="D159" t="str">
        <f>Weigt!M159</f>
        <v>p</v>
      </c>
      <c r="E159" t="str">
        <f t="shared" ca="1" si="6"/>
        <v/>
      </c>
      <c r="F159">
        <f>'stuttgart-bkjck-rawbinary'!I159</f>
        <v>0</v>
      </c>
      <c r="G159">
        <f>Weigt!N159</f>
        <v>0</v>
      </c>
      <c r="H159" t="str">
        <f t="shared" si="7"/>
        <v/>
      </c>
      <c r="I159">
        <f>'stuttgart-bkjck-rawbinary'!J159</f>
        <v>0</v>
      </c>
      <c r="J159">
        <f>Weigt!O159</f>
        <v>0</v>
      </c>
      <c r="K159" t="str">
        <f t="shared" si="8"/>
        <v/>
      </c>
    </row>
    <row r="160" spans="1:11" x14ac:dyDescent="0.35">
      <c r="A160" s="2">
        <f>'stuttgart-bkjck-rawbinary'!A160</f>
        <v>3038</v>
      </c>
      <c r="B160" t="str">
        <f ca="1">LOOKUP(A160,'stuttgart-bkjck-rawbinary'!$A$2:$A$449,'stuttgart-bkjck-rawbinary'!$H$2:$H607)</f>
        <v>i</v>
      </c>
      <c r="C160" t="str">
        <f>Weigt!C160</f>
        <v>3038</v>
      </c>
      <c r="D160" t="str">
        <f>Weigt!M160</f>
        <v>i</v>
      </c>
      <c r="E160" t="str">
        <f t="shared" ca="1" si="6"/>
        <v/>
      </c>
      <c r="F160">
        <f>'stuttgart-bkjck-rawbinary'!I160</f>
        <v>0</v>
      </c>
      <c r="G160">
        <f>Weigt!N160</f>
        <v>0</v>
      </c>
      <c r="H160" t="str">
        <f t="shared" si="7"/>
        <v/>
      </c>
      <c r="I160">
        <f>'stuttgart-bkjck-rawbinary'!J160</f>
        <v>0</v>
      </c>
      <c r="J160">
        <f>Weigt!O160</f>
        <v>0</v>
      </c>
      <c r="K160" t="str">
        <f t="shared" si="8"/>
        <v/>
      </c>
    </row>
    <row r="161" spans="1:11" x14ac:dyDescent="0.35">
      <c r="A161" s="2">
        <f>'stuttgart-bkjck-rawbinary'!A161</f>
        <v>3039</v>
      </c>
      <c r="B161" t="str">
        <f ca="1">LOOKUP(A161,'stuttgart-bkjck-rawbinary'!$A$2:$A$449,'stuttgart-bkjck-rawbinary'!$H$2:$H608)</f>
        <v>e</v>
      </c>
      <c r="C161" t="str">
        <f>Weigt!C161</f>
        <v>3039</v>
      </c>
      <c r="D161" t="str">
        <f>Weigt!M161</f>
        <v>e</v>
      </c>
      <c r="E161" t="str">
        <f t="shared" ca="1" si="6"/>
        <v/>
      </c>
      <c r="F161">
        <f>'stuttgart-bkjck-rawbinary'!I161</f>
        <v>46</v>
      </c>
      <c r="G161">
        <f>Weigt!N161</f>
        <v>46</v>
      </c>
      <c r="H161" t="str">
        <f t="shared" si="7"/>
        <v/>
      </c>
      <c r="I161">
        <f>'stuttgart-bkjck-rawbinary'!J161</f>
        <v>63</v>
      </c>
      <c r="J161">
        <f>Weigt!O161</f>
        <v>63</v>
      </c>
      <c r="K161" t="str">
        <f t="shared" si="8"/>
        <v/>
      </c>
    </row>
    <row r="162" spans="1:11" x14ac:dyDescent="0.35">
      <c r="A162" s="2">
        <f>'stuttgart-bkjck-rawbinary'!A162</f>
        <v>3040</v>
      </c>
      <c r="B162" t="str">
        <f ca="1">LOOKUP(A162,'stuttgart-bkjck-rawbinary'!$A$2:$A$449,'stuttgart-bkjck-rawbinary'!$H$2:$H609)</f>
        <v>s</v>
      </c>
      <c r="C162" t="str">
        <f>Weigt!C162</f>
        <v>3040</v>
      </c>
      <c r="D162" t="str">
        <f>Weigt!M162</f>
        <v>s</v>
      </c>
      <c r="E162" t="str">
        <f t="shared" ca="1" si="6"/>
        <v/>
      </c>
      <c r="F162">
        <f>'stuttgart-bkjck-rawbinary'!I162</f>
        <v>46</v>
      </c>
      <c r="G162">
        <f>Weigt!N162</f>
        <v>46</v>
      </c>
      <c r="H162" t="str">
        <f t="shared" si="7"/>
        <v/>
      </c>
      <c r="I162">
        <f>'stuttgart-bkjck-rawbinary'!J162</f>
        <v>63</v>
      </c>
      <c r="J162">
        <f>Weigt!O162</f>
        <v>63</v>
      </c>
      <c r="K162" t="str">
        <f t="shared" si="8"/>
        <v/>
      </c>
    </row>
    <row r="163" spans="1:11" x14ac:dyDescent="0.35">
      <c r="A163" s="2">
        <f>'stuttgart-bkjck-rawbinary'!A163</f>
        <v>3041</v>
      </c>
      <c r="B163" t="str">
        <f ca="1">LOOKUP(A163,'stuttgart-bkjck-rawbinary'!$A$2:$A$449,'stuttgart-bkjck-rawbinary'!$H$2:$H610)</f>
        <v>t</v>
      </c>
      <c r="C163" t="str">
        <f>Weigt!C163</f>
        <v>3041</v>
      </c>
      <c r="D163" t="str">
        <f>Weigt!M163</f>
        <v>t</v>
      </c>
      <c r="E163" t="str">
        <f t="shared" ca="1" si="6"/>
        <v/>
      </c>
      <c r="F163">
        <f>'stuttgart-bkjck-rawbinary'!I163</f>
        <v>47</v>
      </c>
      <c r="G163">
        <f>Weigt!N163</f>
        <v>47</v>
      </c>
      <c r="H163" t="str">
        <f t="shared" si="7"/>
        <v/>
      </c>
      <c r="I163">
        <f>'stuttgart-bkjck-rawbinary'!J163</f>
        <v>36</v>
      </c>
      <c r="J163">
        <f>Weigt!O163</f>
        <v>36</v>
      </c>
      <c r="K163" t="str">
        <f t="shared" si="8"/>
        <v/>
      </c>
    </row>
    <row r="164" spans="1:11" x14ac:dyDescent="0.35">
      <c r="A164" s="2">
        <f>'stuttgart-bkjck-rawbinary'!A164</f>
        <v>3042</v>
      </c>
      <c r="B164" t="str">
        <f ca="1">LOOKUP(A164,'stuttgart-bkjck-rawbinary'!$A$2:$A$449,'stuttgart-bkjck-rawbinary'!$H$2:$H611)</f>
        <v>u</v>
      </c>
      <c r="C164" t="str">
        <f>Weigt!C164</f>
        <v>3042</v>
      </c>
      <c r="D164" t="str">
        <f>Weigt!M164</f>
        <v>u</v>
      </c>
      <c r="E164" t="str">
        <f t="shared" ca="1" si="6"/>
        <v/>
      </c>
      <c r="F164">
        <f>'stuttgart-bkjck-rawbinary'!I164</f>
        <v>46</v>
      </c>
      <c r="G164">
        <f>Weigt!N164</f>
        <v>46</v>
      </c>
      <c r="H164" t="str">
        <f t="shared" si="7"/>
        <v/>
      </c>
      <c r="I164">
        <f>'stuttgart-bkjck-rawbinary'!J164</f>
        <v>49</v>
      </c>
      <c r="J164">
        <f>Weigt!O164</f>
        <v>49</v>
      </c>
      <c r="K164" t="str">
        <f t="shared" si="8"/>
        <v/>
      </c>
    </row>
    <row r="165" spans="1:11" x14ac:dyDescent="0.35">
      <c r="A165" s="2">
        <f>'stuttgart-bkjck-rawbinary'!A165</f>
        <v>3043</v>
      </c>
      <c r="B165" t="str">
        <f ca="1">LOOKUP(A165,'stuttgart-bkjck-rawbinary'!$A$2:$A$449,'stuttgart-bkjck-rawbinary'!$H$2:$H612)</f>
        <v>z</v>
      </c>
      <c r="C165" t="str">
        <f>Weigt!C165</f>
        <v>3043</v>
      </c>
      <c r="D165" t="str">
        <f>Weigt!M165</f>
        <v>z</v>
      </c>
      <c r="E165" t="str">
        <f t="shared" ca="1" si="6"/>
        <v/>
      </c>
      <c r="F165">
        <f>'stuttgart-bkjck-rawbinary'!I165</f>
        <v>45</v>
      </c>
      <c r="G165">
        <f>Weigt!N165</f>
        <v>45</v>
      </c>
      <c r="H165" t="str">
        <f t="shared" si="7"/>
        <v/>
      </c>
      <c r="I165">
        <f>'stuttgart-bkjck-rawbinary'!J165</f>
        <v>39</v>
      </c>
      <c r="J165">
        <f>Weigt!O165</f>
        <v>39</v>
      </c>
      <c r="K165" t="str">
        <f t="shared" si="8"/>
        <v/>
      </c>
    </row>
    <row r="166" spans="1:11" x14ac:dyDescent="0.35">
      <c r="A166" s="2">
        <f>'stuttgart-bkjck-rawbinary'!A166</f>
        <v>3044</v>
      </c>
      <c r="B166" t="str">
        <f ca="1">LOOKUP(A166,'stuttgart-bkjck-rawbinary'!$A$2:$A$449,'stuttgart-bkjck-rawbinary'!$H$2:$H613)</f>
        <v>p</v>
      </c>
      <c r="C166" t="str">
        <f>Weigt!C166</f>
        <v>3044</v>
      </c>
      <c r="D166" t="str">
        <f>Weigt!M166</f>
        <v>p</v>
      </c>
      <c r="E166" t="str">
        <f t="shared" ca="1" si="6"/>
        <v/>
      </c>
      <c r="F166">
        <f>'stuttgart-bkjck-rawbinary'!I166</f>
        <v>24</v>
      </c>
      <c r="G166">
        <f>Weigt!N166</f>
        <v>24</v>
      </c>
      <c r="H166" t="str">
        <f t="shared" si="7"/>
        <v/>
      </c>
      <c r="I166">
        <f>'stuttgart-bkjck-rawbinary'!J166</f>
        <v>0</v>
      </c>
      <c r="J166">
        <f>Weigt!O166</f>
        <v>0</v>
      </c>
      <c r="K166" t="str">
        <f t="shared" si="8"/>
        <v/>
      </c>
    </row>
    <row r="167" spans="1:11" x14ac:dyDescent="0.35">
      <c r="A167" s="2">
        <f>'stuttgart-bkjck-rawbinary'!A167</f>
        <v>3045</v>
      </c>
      <c r="B167" t="str">
        <f ca="1">LOOKUP(A167,'stuttgart-bkjck-rawbinary'!$A$2:$A$449,'stuttgart-bkjck-rawbinary'!$H$2:$H614)</f>
        <v>z</v>
      </c>
      <c r="C167" t="str">
        <f>Weigt!C167</f>
        <v>3045</v>
      </c>
      <c r="D167" t="str">
        <f>Weigt!M167</f>
        <v>z</v>
      </c>
      <c r="E167" t="str">
        <f t="shared" ca="1" si="6"/>
        <v/>
      </c>
      <c r="F167">
        <f>'stuttgart-bkjck-rawbinary'!I167</f>
        <v>0</v>
      </c>
      <c r="G167">
        <f>Weigt!N167</f>
        <v>0</v>
      </c>
      <c r="H167" t="str">
        <f t="shared" si="7"/>
        <v/>
      </c>
      <c r="I167">
        <f>'stuttgart-bkjck-rawbinary'!J167</f>
        <v>12</v>
      </c>
      <c r="J167">
        <f>Weigt!O167</f>
        <v>12</v>
      </c>
      <c r="K167" t="str">
        <f t="shared" si="8"/>
        <v/>
      </c>
    </row>
    <row r="168" spans="1:11" x14ac:dyDescent="0.35">
      <c r="A168" s="2">
        <f>'stuttgart-bkjck-rawbinary'!A168</f>
        <v>3046</v>
      </c>
      <c r="B168" t="str">
        <f ca="1">LOOKUP(A168,'stuttgart-bkjck-rawbinary'!$A$2:$A$449,'stuttgart-bkjck-rawbinary'!$H$2:$H615)</f>
        <v>b</v>
      </c>
      <c r="C168" t="str">
        <f>Weigt!C168</f>
        <v>3046</v>
      </c>
      <c r="D168" t="str">
        <f>Weigt!M168</f>
        <v>b</v>
      </c>
      <c r="E168" t="str">
        <f t="shared" ca="1" si="6"/>
        <v/>
      </c>
      <c r="F168">
        <f>'stuttgart-bkjck-rawbinary'!I168</f>
        <v>51</v>
      </c>
      <c r="G168">
        <f>Weigt!N168</f>
        <v>51</v>
      </c>
      <c r="H168" t="str">
        <f t="shared" si="7"/>
        <v/>
      </c>
      <c r="I168">
        <f>'stuttgart-bkjck-rawbinary'!J168</f>
        <v>45</v>
      </c>
      <c r="J168">
        <f>Weigt!O168</f>
        <v>45</v>
      </c>
      <c r="K168" t="str">
        <f t="shared" si="8"/>
        <v/>
      </c>
    </row>
    <row r="169" spans="1:11" x14ac:dyDescent="0.35">
      <c r="A169" s="2">
        <f>'stuttgart-bkjck-rawbinary'!A169</f>
        <v>3047</v>
      </c>
      <c r="B169" t="str">
        <f ca="1">LOOKUP(A169,'stuttgart-bkjck-rawbinary'!$A$2:$A$449,'stuttgart-bkjck-rawbinary'!$H$2:$H616)</f>
        <v>t</v>
      </c>
      <c r="C169" t="str">
        <f>Weigt!C169</f>
        <v>3047</v>
      </c>
      <c r="D169" t="str">
        <f>Weigt!M169</f>
        <v>t</v>
      </c>
      <c r="E169" t="str">
        <f t="shared" ca="1" si="6"/>
        <v/>
      </c>
      <c r="F169">
        <f>'stuttgart-bkjck-rawbinary'!I169</f>
        <v>47</v>
      </c>
      <c r="G169">
        <f>Weigt!N169</f>
        <v>47</v>
      </c>
      <c r="H169" t="str">
        <f t="shared" si="7"/>
        <v/>
      </c>
      <c r="I169">
        <f>'stuttgart-bkjck-rawbinary'!J169</f>
        <v>41</v>
      </c>
      <c r="J169">
        <f>Weigt!O169</f>
        <v>41</v>
      </c>
      <c r="K169" t="str">
        <f t="shared" si="8"/>
        <v/>
      </c>
    </row>
    <row r="170" spans="1:11" x14ac:dyDescent="0.35">
      <c r="A170" s="2">
        <f>'stuttgart-bkjck-rawbinary'!A170</f>
        <v>3048</v>
      </c>
      <c r="B170" t="str">
        <f ca="1">LOOKUP(A170,'stuttgart-bkjck-rawbinary'!$A$2:$A$449,'stuttgart-bkjck-rawbinary'!$H$2:$H617)</f>
        <v>u</v>
      </c>
      <c r="C170" t="str">
        <f>Weigt!C170</f>
        <v>3048</v>
      </c>
      <c r="D170" t="str">
        <f>Weigt!M170</f>
        <v>u</v>
      </c>
      <c r="E170" t="str">
        <f t="shared" ca="1" si="6"/>
        <v/>
      </c>
      <c r="F170">
        <f>'stuttgart-bkjck-rawbinary'!I170</f>
        <v>47</v>
      </c>
      <c r="G170">
        <f>Weigt!N170</f>
        <v>47</v>
      </c>
      <c r="H170" t="str">
        <f t="shared" si="7"/>
        <v/>
      </c>
      <c r="I170">
        <f>'stuttgart-bkjck-rawbinary'!J170</f>
        <v>48</v>
      </c>
      <c r="J170">
        <f>Weigt!O170</f>
        <v>48</v>
      </c>
      <c r="K170" t="str">
        <f t="shared" si="8"/>
        <v/>
      </c>
    </row>
    <row r="171" spans="1:11" x14ac:dyDescent="0.35">
      <c r="A171" s="2">
        <f>'stuttgart-bkjck-rawbinary'!A171</f>
        <v>3049</v>
      </c>
      <c r="B171" t="str">
        <f ca="1">LOOKUP(A171,'stuttgart-bkjck-rawbinary'!$A$2:$A$449,'stuttgart-bkjck-rawbinary'!$H$2:$H618)</f>
        <v>e</v>
      </c>
      <c r="C171" t="str">
        <f>Weigt!C171</f>
        <v>3049</v>
      </c>
      <c r="D171" t="str">
        <f>Weigt!M171</f>
        <v>e</v>
      </c>
      <c r="E171" t="str">
        <f t="shared" ca="1" si="6"/>
        <v/>
      </c>
      <c r="F171">
        <f>'stuttgart-bkjck-rawbinary'!I171</f>
        <v>45</v>
      </c>
      <c r="G171">
        <f>Weigt!N171</f>
        <v>45</v>
      </c>
      <c r="H171" t="str">
        <f t="shared" si="7"/>
        <v/>
      </c>
      <c r="I171">
        <f>'stuttgart-bkjck-rawbinary'!J171</f>
        <v>62</v>
      </c>
      <c r="J171">
        <f>Weigt!O171</f>
        <v>62</v>
      </c>
      <c r="K171" t="str">
        <f t="shared" si="8"/>
        <v/>
      </c>
    </row>
    <row r="172" spans="1:11" x14ac:dyDescent="0.35">
      <c r="A172" s="2">
        <f>'stuttgart-bkjck-rawbinary'!A172</f>
        <v>3050</v>
      </c>
      <c r="B172" t="str">
        <f ca="1">LOOKUP(A172,'stuttgart-bkjck-rawbinary'!$A$2:$A$449,'stuttgart-bkjck-rawbinary'!$H$2:$H619)</f>
        <v>h</v>
      </c>
      <c r="C172" t="str">
        <f>Weigt!C172</f>
        <v>3050</v>
      </c>
      <c r="D172" t="str">
        <f>Weigt!M172</f>
        <v>h</v>
      </c>
      <c r="E172" t="str">
        <f t="shared" ca="1" si="6"/>
        <v/>
      </c>
      <c r="F172">
        <f>'stuttgart-bkjck-rawbinary'!I172</f>
        <v>51</v>
      </c>
      <c r="G172">
        <f>Weigt!N172</f>
        <v>51</v>
      </c>
      <c r="H172" t="str">
        <f t="shared" si="7"/>
        <v/>
      </c>
      <c r="I172">
        <f>'stuttgart-bkjck-rawbinary'!J172</f>
        <v>45</v>
      </c>
      <c r="J172">
        <f>Weigt!O172</f>
        <v>45</v>
      </c>
      <c r="K172" t="str">
        <f t="shared" si="8"/>
        <v/>
      </c>
    </row>
    <row r="173" spans="1:11" x14ac:dyDescent="0.35">
      <c r="A173" s="2">
        <f>'stuttgart-bkjck-rawbinary'!A173</f>
        <v>3051</v>
      </c>
      <c r="B173" t="str">
        <f ca="1">LOOKUP(A173,'stuttgart-bkjck-rawbinary'!$A$2:$A$449,'stuttgart-bkjck-rawbinary'!$H$2:$H620)</f>
        <v>s</v>
      </c>
      <c r="C173" t="str">
        <f>Weigt!C173</f>
        <v>3051</v>
      </c>
      <c r="D173" t="str">
        <f>Weigt!M173</f>
        <v>s</v>
      </c>
      <c r="E173" t="str">
        <f t="shared" ca="1" si="6"/>
        <v/>
      </c>
      <c r="F173">
        <f>'stuttgart-bkjck-rawbinary'!I173</f>
        <v>47</v>
      </c>
      <c r="G173">
        <f>Weigt!N173</f>
        <v>47</v>
      </c>
      <c r="H173" t="str">
        <f t="shared" si="7"/>
        <v/>
      </c>
      <c r="I173">
        <f>'stuttgart-bkjck-rawbinary'!J173</f>
        <v>37</v>
      </c>
      <c r="J173">
        <f>Weigt!O173</f>
        <v>37</v>
      </c>
      <c r="K173" t="str">
        <f t="shared" si="8"/>
        <v/>
      </c>
    </row>
    <row r="174" spans="1:11" x14ac:dyDescent="0.35">
      <c r="A174" s="2">
        <f>'stuttgart-bkjck-rawbinary'!A174</f>
        <v>3052</v>
      </c>
      <c r="B174" t="str">
        <f ca="1">LOOKUP(A174,'stuttgart-bkjck-rawbinary'!$A$2:$A$449,'stuttgart-bkjck-rawbinary'!$H$2:$H621)</f>
        <v>t</v>
      </c>
      <c r="C174" t="str">
        <f>Weigt!C174</f>
        <v>3052</v>
      </c>
      <c r="D174" t="str">
        <f>Weigt!M174</f>
        <v>t</v>
      </c>
      <c r="E174" t="str">
        <f t="shared" ca="1" si="6"/>
        <v/>
      </c>
      <c r="F174">
        <f>'stuttgart-bkjck-rawbinary'!I174</f>
        <v>47</v>
      </c>
      <c r="G174">
        <f>Weigt!N174</f>
        <v>47</v>
      </c>
      <c r="H174" t="str">
        <f t="shared" si="7"/>
        <v/>
      </c>
      <c r="I174">
        <f>'stuttgart-bkjck-rawbinary'!J174</f>
        <v>46</v>
      </c>
      <c r="J174">
        <f>Weigt!O174</f>
        <v>46</v>
      </c>
      <c r="K174" t="str">
        <f t="shared" si="8"/>
        <v/>
      </c>
    </row>
    <row r="175" spans="1:11" x14ac:dyDescent="0.35">
      <c r="A175" s="2">
        <f>'stuttgart-bkjck-rawbinary'!A175</f>
        <v>3053</v>
      </c>
      <c r="B175" t="str">
        <f ca="1">LOOKUP(A175,'stuttgart-bkjck-rawbinary'!$A$2:$A$449,'stuttgart-bkjck-rawbinary'!$H$2:$H622)</f>
        <v>u</v>
      </c>
      <c r="C175" t="str">
        <f>Weigt!C175</f>
        <v>3053</v>
      </c>
      <c r="D175" t="str">
        <f>Weigt!M175</f>
        <v>u</v>
      </c>
      <c r="E175" t="str">
        <f t="shared" ca="1" si="6"/>
        <v/>
      </c>
      <c r="F175">
        <f>'stuttgart-bkjck-rawbinary'!I175</f>
        <v>47</v>
      </c>
      <c r="G175">
        <f>Weigt!N175</f>
        <v>47</v>
      </c>
      <c r="H175" t="str">
        <f t="shared" si="7"/>
        <v/>
      </c>
      <c r="I175">
        <f>'stuttgart-bkjck-rawbinary'!J175</f>
        <v>48</v>
      </c>
      <c r="J175">
        <f>Weigt!O175</f>
        <v>48</v>
      </c>
      <c r="K175" t="str">
        <f t="shared" si="8"/>
        <v/>
      </c>
    </row>
    <row r="176" spans="1:11" x14ac:dyDescent="0.35">
      <c r="A176" s="2">
        <f>'stuttgart-bkjck-rawbinary'!A176</f>
        <v>3054</v>
      </c>
      <c r="B176" t="str">
        <f ca="1">LOOKUP(A176,'stuttgart-bkjck-rawbinary'!$A$2:$A$449,'stuttgart-bkjck-rawbinary'!$H$2:$H623)</f>
        <v>a</v>
      </c>
      <c r="C176" t="str">
        <f>Weigt!C176</f>
        <v>3054</v>
      </c>
      <c r="D176" t="str">
        <f>Weigt!M176</f>
        <v>a</v>
      </c>
      <c r="E176" t="str">
        <f t="shared" ca="1" si="6"/>
        <v/>
      </c>
      <c r="F176">
        <f>'stuttgart-bkjck-rawbinary'!I176</f>
        <v>46</v>
      </c>
      <c r="G176">
        <f>Weigt!N176</f>
        <v>46</v>
      </c>
      <c r="H176" t="str">
        <f t="shared" si="7"/>
        <v/>
      </c>
      <c r="I176">
        <f>'stuttgart-bkjck-rawbinary'!J176</f>
        <v>41</v>
      </c>
      <c r="J176">
        <f>Weigt!O176</f>
        <v>41</v>
      </c>
      <c r="K176" t="str">
        <f t="shared" si="8"/>
        <v/>
      </c>
    </row>
    <row r="177" spans="1:11" x14ac:dyDescent="0.35">
      <c r="A177" s="2">
        <f>'stuttgart-bkjck-rawbinary'!A177</f>
        <v>3055</v>
      </c>
      <c r="B177" t="str">
        <f ca="1">LOOKUP(A177,'stuttgart-bkjck-rawbinary'!$A$2:$A$449,'stuttgart-bkjck-rawbinary'!$H$2:$H624)</f>
        <v>c</v>
      </c>
      <c r="C177" t="str">
        <f>Weigt!C177</f>
        <v>3055</v>
      </c>
      <c r="D177" t="str">
        <f>Weigt!M177</f>
        <v>c</v>
      </c>
      <c r="E177" t="str">
        <f t="shared" ca="1" si="6"/>
        <v/>
      </c>
      <c r="F177">
        <f>'stuttgart-bkjck-rawbinary'!I177</f>
        <v>51</v>
      </c>
      <c r="G177">
        <f>Weigt!N177</f>
        <v>51</v>
      </c>
      <c r="H177" t="str">
        <f t="shared" si="7"/>
        <v/>
      </c>
      <c r="I177">
        <f>'stuttgart-bkjck-rawbinary'!J177</f>
        <v>45</v>
      </c>
      <c r="J177">
        <f>Weigt!O177</f>
        <v>45</v>
      </c>
      <c r="K177" t="str">
        <f t="shared" si="8"/>
        <v/>
      </c>
    </row>
    <row r="178" spans="1:11" x14ac:dyDescent="0.35">
      <c r="A178" s="2">
        <f>'stuttgart-bkjck-rawbinary'!A178</f>
        <v>3056</v>
      </c>
      <c r="B178" t="str">
        <f ca="1">LOOKUP(A178,'stuttgart-bkjck-rawbinary'!$A$2:$A$449,'stuttgart-bkjck-rawbinary'!$H$2:$H625)</f>
        <v>p</v>
      </c>
      <c r="C178" t="str">
        <f>Weigt!C178</f>
        <v>3056</v>
      </c>
      <c r="D178" t="str">
        <f>Weigt!M178</f>
        <v>p</v>
      </c>
      <c r="E178" t="str">
        <f t="shared" ca="1" si="6"/>
        <v/>
      </c>
      <c r="F178">
        <f>'stuttgart-bkjck-rawbinary'!I178</f>
        <v>12</v>
      </c>
      <c r="G178">
        <f>Weigt!N178</f>
        <v>12</v>
      </c>
      <c r="H178" t="str">
        <f t="shared" si="7"/>
        <v/>
      </c>
      <c r="I178">
        <f>'stuttgart-bkjck-rawbinary'!J178</f>
        <v>0</v>
      </c>
      <c r="J178">
        <f>Weigt!O178</f>
        <v>0</v>
      </c>
      <c r="K178" t="str">
        <f t="shared" si="8"/>
        <v/>
      </c>
    </row>
    <row r="179" spans="1:11" x14ac:dyDescent="0.35">
      <c r="A179" s="2">
        <f>'stuttgart-bkjck-rawbinary'!A179</f>
        <v>3057</v>
      </c>
      <c r="B179" t="str">
        <f ca="1">LOOKUP(A179,'stuttgart-bkjck-rawbinary'!$A$2:$A$449,'stuttgart-bkjck-rawbinary'!$H$2:$H626)</f>
        <v>z</v>
      </c>
      <c r="C179" t="str">
        <f>Weigt!C179</f>
        <v>3057</v>
      </c>
      <c r="D179" t="str">
        <f>Weigt!M179</f>
        <v>z</v>
      </c>
      <c r="E179" t="str">
        <f t="shared" ca="1" si="6"/>
        <v/>
      </c>
      <c r="F179">
        <f>'stuttgart-bkjck-rawbinary'!I179</f>
        <v>0</v>
      </c>
      <c r="G179">
        <f>Weigt!N179</f>
        <v>0</v>
      </c>
      <c r="H179" t="str">
        <f t="shared" si="7"/>
        <v/>
      </c>
      <c r="I179">
        <f>'stuttgart-bkjck-rawbinary'!J179</f>
        <v>10</v>
      </c>
      <c r="J179">
        <f>Weigt!O179</f>
        <v>10</v>
      </c>
      <c r="K179" t="str">
        <f t="shared" si="8"/>
        <v/>
      </c>
    </row>
    <row r="180" spans="1:11" x14ac:dyDescent="0.35">
      <c r="A180" s="2">
        <f>'stuttgart-bkjck-rawbinary'!A180</f>
        <v>3058</v>
      </c>
      <c r="B180" t="str">
        <f ca="1">LOOKUP(A180,'stuttgart-bkjck-rawbinary'!$A$2:$A$449,'stuttgart-bkjck-rawbinary'!$H$2:$H627)</f>
        <v>p</v>
      </c>
      <c r="C180" t="str">
        <f>Weigt!C180</f>
        <v>3058</v>
      </c>
      <c r="D180" t="str">
        <f>Weigt!M180</f>
        <v>p</v>
      </c>
      <c r="E180" t="str">
        <f t="shared" ca="1" si="6"/>
        <v/>
      </c>
      <c r="F180">
        <f>'stuttgart-bkjck-rawbinary'!I180</f>
        <v>24</v>
      </c>
      <c r="G180">
        <f>Weigt!N180</f>
        <v>24</v>
      </c>
      <c r="H180" t="str">
        <f t="shared" si="7"/>
        <v/>
      </c>
      <c r="I180">
        <f>'stuttgart-bkjck-rawbinary'!J180</f>
        <v>0</v>
      </c>
      <c r="J180">
        <f>Weigt!O180</f>
        <v>0</v>
      </c>
      <c r="K180" t="str">
        <f t="shared" si="8"/>
        <v/>
      </c>
    </row>
    <row r="181" spans="1:11" x14ac:dyDescent="0.35">
      <c r="A181" s="2">
        <f>'stuttgart-bkjck-rawbinary'!A181</f>
        <v>3059</v>
      </c>
      <c r="B181" t="str">
        <f ca="1">LOOKUP(A181,'stuttgart-bkjck-rawbinary'!$A$2:$A$449,'stuttgart-bkjck-rawbinary'!$H$2:$H628)</f>
        <v>b</v>
      </c>
      <c r="C181" t="str">
        <f>Weigt!C181</f>
        <v>3059</v>
      </c>
      <c r="D181" t="str">
        <f>Weigt!M181</f>
        <v>b</v>
      </c>
      <c r="E181" t="str">
        <f t="shared" ca="1" si="6"/>
        <v/>
      </c>
      <c r="F181">
        <f>'stuttgart-bkjck-rawbinary'!I181</f>
        <v>47</v>
      </c>
      <c r="G181">
        <f>Weigt!N181</f>
        <v>47</v>
      </c>
      <c r="H181" t="str">
        <f t="shared" si="7"/>
        <v/>
      </c>
      <c r="I181">
        <f>'stuttgart-bkjck-rawbinary'!J181</f>
        <v>23</v>
      </c>
      <c r="J181">
        <f>Weigt!O181</f>
        <v>23</v>
      </c>
      <c r="K181" t="str">
        <f t="shared" si="8"/>
        <v/>
      </c>
    </row>
    <row r="182" spans="1:11" x14ac:dyDescent="0.35">
      <c r="A182" s="2">
        <f>'stuttgart-bkjck-rawbinary'!A182</f>
        <v>3060</v>
      </c>
      <c r="B182" t="str">
        <f ca="1">LOOKUP(A182,'stuttgart-bkjck-rawbinary'!$A$2:$A$449,'stuttgart-bkjck-rawbinary'!$H$2:$H629)</f>
        <v>a</v>
      </c>
      <c r="C182" t="str">
        <f>Weigt!C182</f>
        <v>3060</v>
      </c>
      <c r="D182" t="str">
        <f>Weigt!M182</f>
        <v>a</v>
      </c>
      <c r="E182" t="str">
        <f t="shared" ca="1" si="6"/>
        <v/>
      </c>
      <c r="F182">
        <f>'stuttgart-bkjck-rawbinary'!I182</f>
        <v>46</v>
      </c>
      <c r="G182">
        <f>Weigt!N182</f>
        <v>46</v>
      </c>
      <c r="H182" t="str">
        <f t="shared" si="7"/>
        <v/>
      </c>
      <c r="I182">
        <f>'stuttgart-bkjck-rawbinary'!J182</f>
        <v>35</v>
      </c>
      <c r="J182">
        <f>Weigt!O182</f>
        <v>35</v>
      </c>
      <c r="K182" t="str">
        <f t="shared" si="8"/>
        <v/>
      </c>
    </row>
    <row r="183" spans="1:11" x14ac:dyDescent="0.35">
      <c r="A183" s="2">
        <f>'stuttgart-bkjck-rawbinary'!A183</f>
        <v>3061</v>
      </c>
      <c r="B183" t="str">
        <f ca="1">LOOKUP(A183,'stuttgart-bkjck-rawbinary'!$A$2:$A$449,'stuttgart-bkjck-rawbinary'!$H$2:$H630)</f>
        <v>c</v>
      </c>
      <c r="C183" t="str">
        <f>Weigt!C183</f>
        <v>3061</v>
      </c>
      <c r="D183" t="str">
        <f>Weigt!M183</f>
        <v>c</v>
      </c>
      <c r="E183" t="str">
        <f t="shared" ca="1" si="6"/>
        <v/>
      </c>
      <c r="F183">
        <f>'stuttgart-bkjck-rawbinary'!I183</f>
        <v>47</v>
      </c>
      <c r="G183">
        <f>Weigt!N183</f>
        <v>47</v>
      </c>
      <c r="H183" t="str">
        <f t="shared" si="7"/>
        <v/>
      </c>
      <c r="I183">
        <f>'stuttgart-bkjck-rawbinary'!J183</f>
        <v>23</v>
      </c>
      <c r="J183">
        <f>Weigt!O183</f>
        <v>23</v>
      </c>
      <c r="K183" t="str">
        <f t="shared" si="8"/>
        <v/>
      </c>
    </row>
    <row r="184" spans="1:11" x14ac:dyDescent="0.35">
      <c r="A184" s="2">
        <f>'stuttgart-bkjck-rawbinary'!A184</f>
        <v>3062</v>
      </c>
      <c r="B184" t="str">
        <f ca="1">LOOKUP(A184,'stuttgart-bkjck-rawbinary'!$A$2:$A$449,'stuttgart-bkjck-rawbinary'!$H$2:$H631)</f>
        <v>r</v>
      </c>
      <c r="C184" t="str">
        <f>Weigt!C184</f>
        <v>3062</v>
      </c>
      <c r="D184" t="str">
        <f>Weigt!M184</f>
        <v>r</v>
      </c>
      <c r="E184" t="str">
        <f t="shared" ca="1" si="6"/>
        <v/>
      </c>
      <c r="F184">
        <f>'stuttgart-bkjck-rawbinary'!I184</f>
        <v>46</v>
      </c>
      <c r="G184">
        <f>Weigt!N184</f>
        <v>46</v>
      </c>
      <c r="H184" t="str">
        <f t="shared" si="7"/>
        <v/>
      </c>
      <c r="I184">
        <f>'stuttgart-bkjck-rawbinary'!J184</f>
        <v>10</v>
      </c>
      <c r="J184">
        <f>Weigt!O184</f>
        <v>10</v>
      </c>
      <c r="K184" t="str">
        <f t="shared" si="8"/>
        <v/>
      </c>
    </row>
    <row r="185" spans="1:11" x14ac:dyDescent="0.35">
      <c r="A185" s="2">
        <f>'stuttgart-bkjck-rawbinary'!A185</f>
        <v>3063</v>
      </c>
      <c r="B185" t="str">
        <f ca="1">LOOKUP(A185,'stuttgart-bkjck-rawbinary'!$A$2:$A$449,'stuttgart-bkjck-rawbinary'!$H$2:$H632)</f>
        <v>u</v>
      </c>
      <c r="C185" t="str">
        <f>Weigt!C185</f>
        <v>3063</v>
      </c>
      <c r="D185" t="str">
        <f>Weigt!M185</f>
        <v>u</v>
      </c>
      <c r="E185" t="str">
        <f t="shared" ca="1" si="6"/>
        <v/>
      </c>
      <c r="F185">
        <f>'stuttgart-bkjck-rawbinary'!I185</f>
        <v>46</v>
      </c>
      <c r="G185">
        <f>Weigt!N185</f>
        <v>46</v>
      </c>
      <c r="H185" t="str">
        <f t="shared" si="7"/>
        <v/>
      </c>
      <c r="I185">
        <f>'stuttgart-bkjck-rawbinary'!J185</f>
        <v>26</v>
      </c>
      <c r="J185">
        <f>Weigt!O185</f>
        <v>26</v>
      </c>
      <c r="K185" t="str">
        <f t="shared" si="8"/>
        <v/>
      </c>
    </row>
    <row r="186" spans="1:11" x14ac:dyDescent="0.35">
      <c r="A186" s="2">
        <f>'stuttgart-bkjck-rawbinary'!A186</f>
        <v>3064</v>
      </c>
      <c r="B186" t="str">
        <f ca="1">LOOKUP(A186,'stuttgart-bkjck-rawbinary'!$A$2:$A$449,'stuttgart-bkjck-rawbinary'!$H$2:$H633)</f>
        <v>t</v>
      </c>
      <c r="C186" t="str">
        <f>Weigt!C186</f>
        <v>3064</v>
      </c>
      <c r="D186" t="str">
        <f>Weigt!M186</f>
        <v>t</v>
      </c>
      <c r="E186" t="str">
        <f t="shared" ca="1" si="6"/>
        <v/>
      </c>
      <c r="F186">
        <f>'stuttgart-bkjck-rawbinary'!I186</f>
        <v>47</v>
      </c>
      <c r="G186">
        <f>Weigt!N186</f>
        <v>47</v>
      </c>
      <c r="H186" t="str">
        <f t="shared" si="7"/>
        <v/>
      </c>
      <c r="I186">
        <f>'stuttgart-bkjck-rawbinary'!J186</f>
        <v>19</v>
      </c>
      <c r="J186">
        <f>Weigt!O186</f>
        <v>19</v>
      </c>
      <c r="K186" t="str">
        <f t="shared" si="8"/>
        <v/>
      </c>
    </row>
    <row r="187" spans="1:11" x14ac:dyDescent="0.35">
      <c r="A187" s="2">
        <f>'stuttgart-bkjck-rawbinary'!A187</f>
        <v>3065</v>
      </c>
      <c r="B187" t="str">
        <f ca="1">LOOKUP(A187,'stuttgart-bkjck-rawbinary'!$A$2:$A$449,'stuttgart-bkjck-rawbinary'!$H$2:$H634)</f>
        <v>a</v>
      </c>
      <c r="C187" t="str">
        <f>Weigt!C187</f>
        <v>3065</v>
      </c>
      <c r="D187" t="str">
        <f>Weigt!M187</f>
        <v>a</v>
      </c>
      <c r="E187" t="str">
        <f t="shared" ca="1" si="6"/>
        <v/>
      </c>
      <c r="F187">
        <f>'stuttgart-bkjck-rawbinary'!I187</f>
        <v>50</v>
      </c>
      <c r="G187">
        <f>Weigt!N187</f>
        <v>50</v>
      </c>
      <c r="H187" t="str">
        <f t="shared" si="7"/>
        <v/>
      </c>
      <c r="I187">
        <f>'stuttgart-bkjck-rawbinary'!J187</f>
        <v>29</v>
      </c>
      <c r="J187">
        <f>Weigt!O187</f>
        <v>29</v>
      </c>
      <c r="K187" t="str">
        <f t="shared" si="8"/>
        <v/>
      </c>
    </row>
    <row r="188" spans="1:11" x14ac:dyDescent="0.35">
      <c r="A188" s="2">
        <f>'stuttgart-bkjck-rawbinary'!A188</f>
        <v>3066</v>
      </c>
      <c r="B188" t="str">
        <f ca="1">LOOKUP(A188,'stuttgart-bkjck-rawbinary'!$A$2:$A$449,'stuttgart-bkjck-rawbinary'!$H$2:$H635)</f>
        <v>h</v>
      </c>
      <c r="C188" t="str">
        <f>Weigt!C188</f>
        <v>3066</v>
      </c>
      <c r="D188" t="str">
        <f>Weigt!M188</f>
        <v>h</v>
      </c>
      <c r="E188" t="str">
        <f t="shared" ca="1" si="6"/>
        <v/>
      </c>
      <c r="F188">
        <f>'stuttgart-bkjck-rawbinary'!I188</f>
        <v>50</v>
      </c>
      <c r="G188">
        <f>Weigt!N188</f>
        <v>50</v>
      </c>
      <c r="H188" t="str">
        <f t="shared" si="7"/>
        <v/>
      </c>
      <c r="I188">
        <f>'stuttgart-bkjck-rawbinary'!J188</f>
        <v>29</v>
      </c>
      <c r="J188">
        <f>Weigt!O188</f>
        <v>29</v>
      </c>
      <c r="K188" t="str">
        <f t="shared" si="8"/>
        <v/>
      </c>
    </row>
    <row r="189" spans="1:11" x14ac:dyDescent="0.35">
      <c r="A189" s="2">
        <f>'stuttgart-bkjck-rawbinary'!A189</f>
        <v>3067</v>
      </c>
      <c r="B189" t="str">
        <f ca="1">LOOKUP(A189,'stuttgart-bkjck-rawbinary'!$A$2:$A$449,'stuttgart-bkjck-rawbinary'!$H$2:$H636)</f>
        <v>e</v>
      </c>
      <c r="C189" t="str">
        <f>Weigt!C189</f>
        <v>3067</v>
      </c>
      <c r="D189" t="str">
        <f>Weigt!M189</f>
        <v>e</v>
      </c>
      <c r="E189" t="str">
        <f t="shared" ca="1" si="6"/>
        <v/>
      </c>
      <c r="F189">
        <f>'stuttgart-bkjck-rawbinary'!I189</f>
        <v>45</v>
      </c>
      <c r="G189">
        <f>Weigt!N189</f>
        <v>45</v>
      </c>
      <c r="H189" t="str">
        <f t="shared" si="7"/>
        <v/>
      </c>
      <c r="I189">
        <f>'stuttgart-bkjck-rawbinary'!J189</f>
        <v>62</v>
      </c>
      <c r="J189">
        <f>Weigt!O189</f>
        <v>62</v>
      </c>
      <c r="K189" t="str">
        <f t="shared" si="8"/>
        <v/>
      </c>
    </row>
    <row r="190" spans="1:11" x14ac:dyDescent="0.35">
      <c r="A190" s="2">
        <f>'stuttgart-bkjck-rawbinary'!A190</f>
        <v>3068</v>
      </c>
      <c r="B190" t="str">
        <f ca="1">LOOKUP(A190,'stuttgart-bkjck-rawbinary'!$A$2:$A$449,'stuttgart-bkjck-rawbinary'!$H$2:$H637)</f>
        <v>s</v>
      </c>
      <c r="C190" t="str">
        <f>Weigt!C190</f>
        <v>3068</v>
      </c>
      <c r="D190" t="str">
        <f>Weigt!M190</f>
        <v>s</v>
      </c>
      <c r="E190" t="str">
        <f t="shared" ca="1" si="6"/>
        <v/>
      </c>
      <c r="F190">
        <f>'stuttgart-bkjck-rawbinary'!I190</f>
        <v>46</v>
      </c>
      <c r="G190">
        <f>Weigt!N190</f>
        <v>46</v>
      </c>
      <c r="H190" t="str">
        <f t="shared" si="7"/>
        <v/>
      </c>
      <c r="I190">
        <f>'stuttgart-bkjck-rawbinary'!J190</f>
        <v>41</v>
      </c>
      <c r="J190">
        <f>Weigt!O190</f>
        <v>41</v>
      </c>
      <c r="K190" t="str">
        <f t="shared" si="8"/>
        <v/>
      </c>
    </row>
    <row r="191" spans="1:11" x14ac:dyDescent="0.35">
      <c r="A191" s="2">
        <f>'stuttgart-bkjck-rawbinary'!A191</f>
        <v>3069</v>
      </c>
      <c r="B191" t="str">
        <f ca="1">LOOKUP(A191,'stuttgart-bkjck-rawbinary'!$A$2:$A$449,'stuttgart-bkjck-rawbinary'!$H$2:$H638)</f>
        <v>t</v>
      </c>
      <c r="C191" t="str">
        <f>Weigt!C191</f>
        <v>3069</v>
      </c>
      <c r="D191" t="str">
        <f>Weigt!M191</f>
        <v>t</v>
      </c>
      <c r="E191" t="str">
        <f t="shared" ca="1" si="6"/>
        <v/>
      </c>
      <c r="F191">
        <f>'stuttgart-bkjck-rawbinary'!I191</f>
        <v>48</v>
      </c>
      <c r="G191">
        <f>Weigt!N191</f>
        <v>48</v>
      </c>
      <c r="H191" t="str">
        <f t="shared" si="7"/>
        <v/>
      </c>
      <c r="I191">
        <f>'stuttgart-bkjck-rawbinary'!J191</f>
        <v>1</v>
      </c>
      <c r="J191">
        <f>Weigt!O191</f>
        <v>1</v>
      </c>
      <c r="K191" t="str">
        <f t="shared" si="8"/>
        <v/>
      </c>
    </row>
    <row r="192" spans="1:11" x14ac:dyDescent="0.35">
      <c r="A192" s="2">
        <f>'stuttgart-bkjck-rawbinary'!A192</f>
        <v>3070</v>
      </c>
      <c r="B192" t="str">
        <f ca="1">LOOKUP(A192,'stuttgart-bkjck-rawbinary'!$A$2:$A$449,'stuttgart-bkjck-rawbinary'!$H$2:$H639)</f>
        <v>p</v>
      </c>
      <c r="C192" t="str">
        <f>Weigt!C192</f>
        <v>3070</v>
      </c>
      <c r="D192" t="str">
        <f>Weigt!M192</f>
        <v>p</v>
      </c>
      <c r="E192" t="str">
        <f t="shared" ca="1" si="6"/>
        <v/>
      </c>
      <c r="F192">
        <f>'stuttgart-bkjck-rawbinary'!I192</f>
        <v>12</v>
      </c>
      <c r="G192">
        <f>Weigt!N192</f>
        <v>12</v>
      </c>
      <c r="H192" t="str">
        <f t="shared" si="7"/>
        <v/>
      </c>
      <c r="I192">
        <f>'stuttgart-bkjck-rawbinary'!J192</f>
        <v>0</v>
      </c>
      <c r="J192">
        <f>Weigt!O192</f>
        <v>0</v>
      </c>
      <c r="K192" t="str">
        <f t="shared" si="8"/>
        <v/>
      </c>
    </row>
    <row r="193" spans="1:11" x14ac:dyDescent="0.35">
      <c r="A193" s="2">
        <f>'stuttgart-bkjck-rawbinary'!A193</f>
        <v>3071</v>
      </c>
      <c r="B193" t="str">
        <f ca="1">LOOKUP(A193,'stuttgart-bkjck-rawbinary'!$A$2:$A$449,'stuttgart-bkjck-rawbinary'!$H$2:$H640)</f>
        <v>b</v>
      </c>
      <c r="C193" t="str">
        <f>Weigt!C193</f>
        <v>3071</v>
      </c>
      <c r="D193" t="str">
        <f>Weigt!M193</f>
        <v>b</v>
      </c>
      <c r="E193" t="str">
        <f t="shared" ca="1" si="6"/>
        <v/>
      </c>
      <c r="F193">
        <f>'stuttgart-bkjck-rawbinary'!I193</f>
        <v>51</v>
      </c>
      <c r="G193">
        <f>Weigt!N193</f>
        <v>51</v>
      </c>
      <c r="H193" t="str">
        <f t="shared" si="7"/>
        <v/>
      </c>
      <c r="I193">
        <f>'stuttgart-bkjck-rawbinary'!J193</f>
        <v>45</v>
      </c>
      <c r="J193">
        <f>Weigt!O193</f>
        <v>45</v>
      </c>
      <c r="K193" t="str">
        <f t="shared" si="8"/>
        <v/>
      </c>
    </row>
    <row r="194" spans="1:11" x14ac:dyDescent="0.35">
      <c r="A194" s="2">
        <f>'stuttgart-bkjck-rawbinary'!A194</f>
        <v>3072</v>
      </c>
      <c r="B194" t="str">
        <f ca="1">LOOKUP(A194,'stuttgart-bkjck-rawbinary'!$A$2:$A$449,'stuttgart-bkjck-rawbinary'!$H$2:$H641)</f>
        <v>u</v>
      </c>
      <c r="C194" t="str">
        <f>Weigt!C194</f>
        <v>3072</v>
      </c>
      <c r="D194" t="str">
        <f>Weigt!M194</f>
        <v>u</v>
      </c>
      <c r="E194" t="str">
        <f t="shared" ca="1" si="6"/>
        <v/>
      </c>
      <c r="F194">
        <f>'stuttgart-bkjck-rawbinary'!I194</f>
        <v>48</v>
      </c>
      <c r="G194">
        <f>Weigt!N194</f>
        <v>48</v>
      </c>
      <c r="H194" t="str">
        <f t="shared" si="7"/>
        <v/>
      </c>
      <c r="I194">
        <f>'stuttgart-bkjck-rawbinary'!J194</f>
        <v>29</v>
      </c>
      <c r="J194">
        <f>Weigt!O194</f>
        <v>29</v>
      </c>
      <c r="K194" t="str">
        <f t="shared" si="8"/>
        <v/>
      </c>
    </row>
    <row r="195" spans="1:11" x14ac:dyDescent="0.35">
      <c r="A195" s="2">
        <f>'stuttgart-bkjck-rawbinary'!A195</f>
        <v>3073</v>
      </c>
      <c r="B195" t="str">
        <f ca="1">LOOKUP(A195,'stuttgart-bkjck-rawbinary'!$A$2:$A$449,'stuttgart-bkjck-rawbinary'!$H$2:$H642)</f>
        <v>a</v>
      </c>
      <c r="C195" t="str">
        <f>Weigt!C195</f>
        <v>3073</v>
      </c>
      <c r="D195" t="str">
        <f>Weigt!M195</f>
        <v>a</v>
      </c>
      <c r="E195" t="str">
        <f t="shared" ref="E195:E258" ca="1" si="9">IF(B195&lt;&gt;D195,"*","")</f>
        <v/>
      </c>
      <c r="F195">
        <f>'stuttgart-bkjck-rawbinary'!I195</f>
        <v>46</v>
      </c>
      <c r="G195">
        <f>Weigt!N195</f>
        <v>46</v>
      </c>
      <c r="H195" t="str">
        <f t="shared" ref="H195:H258" si="10">IF(F195&lt;&gt;G195,"*","")</f>
        <v/>
      </c>
      <c r="I195">
        <f>'stuttgart-bkjck-rawbinary'!J195</f>
        <v>63</v>
      </c>
      <c r="J195">
        <f>Weigt!O195</f>
        <v>63</v>
      </c>
      <c r="K195" t="str">
        <f t="shared" ref="K195:K258" si="11">IF(I195&lt;&gt;J195,"*","")</f>
        <v/>
      </c>
    </row>
    <row r="196" spans="1:11" x14ac:dyDescent="0.35">
      <c r="A196" s="2">
        <f>'stuttgart-bkjck-rawbinary'!A196</f>
        <v>3074</v>
      </c>
      <c r="B196" t="str">
        <f ca="1">LOOKUP(A196,'stuttgart-bkjck-rawbinary'!$A$2:$A$449,'stuttgart-bkjck-rawbinary'!$H$2:$H643)</f>
        <v>t</v>
      </c>
      <c r="C196" t="str">
        <f>Weigt!C196</f>
        <v>3074</v>
      </c>
      <c r="D196" t="str">
        <f>Weigt!M196</f>
        <v>t</v>
      </c>
      <c r="E196" t="str">
        <f t="shared" ca="1" si="9"/>
        <v/>
      </c>
      <c r="F196">
        <f>'stuttgart-bkjck-rawbinary'!I196</f>
        <v>48</v>
      </c>
      <c r="G196">
        <f>Weigt!N196</f>
        <v>48</v>
      </c>
      <c r="H196" t="str">
        <f t="shared" si="10"/>
        <v/>
      </c>
      <c r="I196">
        <f>'stuttgart-bkjck-rawbinary'!J196</f>
        <v>4</v>
      </c>
      <c r="J196">
        <f>Weigt!O196</f>
        <v>4</v>
      </c>
      <c r="K196" t="str">
        <f t="shared" si="11"/>
        <v/>
      </c>
    </row>
    <row r="197" spans="1:11" x14ac:dyDescent="0.35">
      <c r="A197" s="2">
        <f>'stuttgart-bkjck-rawbinary'!A197</f>
        <v>3075</v>
      </c>
      <c r="B197" t="str">
        <f ca="1">LOOKUP(A197,'stuttgart-bkjck-rawbinary'!$A$2:$A$449,'stuttgart-bkjck-rawbinary'!$H$2:$H644)</f>
        <v>u</v>
      </c>
      <c r="C197" t="str">
        <f>Weigt!C197</f>
        <v>3075</v>
      </c>
      <c r="D197" t="str">
        <f>Weigt!M197</f>
        <v>u</v>
      </c>
      <c r="E197" t="str">
        <f t="shared" ca="1" si="9"/>
        <v/>
      </c>
      <c r="F197">
        <f>'stuttgart-bkjck-rawbinary'!I197</f>
        <v>47</v>
      </c>
      <c r="G197">
        <f>Weigt!N197</f>
        <v>47</v>
      </c>
      <c r="H197" t="str">
        <f t="shared" si="10"/>
        <v/>
      </c>
      <c r="I197">
        <f>'stuttgart-bkjck-rawbinary'!J197</f>
        <v>62</v>
      </c>
      <c r="J197">
        <f>Weigt!O197</f>
        <v>62</v>
      </c>
      <c r="K197" t="str">
        <f t="shared" si="11"/>
        <v/>
      </c>
    </row>
    <row r="198" spans="1:11" x14ac:dyDescent="0.35">
      <c r="A198" s="2">
        <f>'stuttgart-bkjck-rawbinary'!A198</f>
        <v>3076</v>
      </c>
      <c r="B198" t="str">
        <f ca="1">LOOKUP(A198,'stuttgart-bkjck-rawbinary'!$A$2:$A$449,'stuttgart-bkjck-rawbinary'!$H$2:$H645)</f>
        <v>a</v>
      </c>
      <c r="C198" t="str">
        <f>Weigt!C198</f>
        <v>3076</v>
      </c>
      <c r="D198" t="str">
        <f>Weigt!M198</f>
        <v>a</v>
      </c>
      <c r="E198" t="str">
        <f t="shared" ca="1" si="9"/>
        <v/>
      </c>
      <c r="F198">
        <f>'stuttgart-bkjck-rawbinary'!I198</f>
        <v>46</v>
      </c>
      <c r="G198">
        <f>Weigt!N198</f>
        <v>46</v>
      </c>
      <c r="H198" t="str">
        <f t="shared" si="10"/>
        <v/>
      </c>
      <c r="I198">
        <f>'stuttgart-bkjck-rawbinary'!J198</f>
        <v>35</v>
      </c>
      <c r="J198">
        <f>Weigt!O198</f>
        <v>35</v>
      </c>
      <c r="K198" t="str">
        <f t="shared" si="11"/>
        <v/>
      </c>
    </row>
    <row r="199" spans="1:11" x14ac:dyDescent="0.35">
      <c r="A199" s="2">
        <f>'stuttgart-bkjck-rawbinary'!A199</f>
        <v>3077</v>
      </c>
      <c r="B199" t="str">
        <f ca="1">LOOKUP(A199,'stuttgart-bkjck-rawbinary'!$A$2:$A$449,'stuttgart-bkjck-rawbinary'!$H$2:$H646)</f>
        <v>t</v>
      </c>
      <c r="C199" t="str">
        <f>Weigt!C199</f>
        <v>3077</v>
      </c>
      <c r="D199" t="str">
        <f>Weigt!M199</f>
        <v>t</v>
      </c>
      <c r="E199" t="str">
        <f t="shared" ca="1" si="9"/>
        <v/>
      </c>
      <c r="F199">
        <f>'stuttgart-bkjck-rawbinary'!I199</f>
        <v>48</v>
      </c>
      <c r="G199">
        <f>Weigt!N199</f>
        <v>48</v>
      </c>
      <c r="H199" t="str">
        <f t="shared" si="10"/>
        <v/>
      </c>
      <c r="I199">
        <f>'stuttgart-bkjck-rawbinary'!J199</f>
        <v>15</v>
      </c>
      <c r="J199">
        <f>Weigt!O199</f>
        <v>15</v>
      </c>
      <c r="K199" t="str">
        <f t="shared" si="11"/>
        <v/>
      </c>
    </row>
    <row r="200" spans="1:11" x14ac:dyDescent="0.35">
      <c r="A200" s="2">
        <f>'stuttgart-bkjck-rawbinary'!A200</f>
        <v>3078</v>
      </c>
      <c r="B200" t="str">
        <f ca="1">LOOKUP(A200,'stuttgart-bkjck-rawbinary'!$A$2:$A$449,'stuttgart-bkjck-rawbinary'!$H$2:$H647)</f>
        <v>r</v>
      </c>
      <c r="C200" t="str">
        <f>Weigt!C200</f>
        <v>3078</v>
      </c>
      <c r="D200" t="str">
        <f>Weigt!M200</f>
        <v>r</v>
      </c>
      <c r="E200" t="str">
        <f t="shared" ca="1" si="9"/>
        <v/>
      </c>
      <c r="F200">
        <f>'stuttgart-bkjck-rawbinary'!I200</f>
        <v>50</v>
      </c>
      <c r="G200">
        <f>Weigt!N200</f>
        <v>50</v>
      </c>
      <c r="H200" t="str">
        <f t="shared" si="10"/>
        <v/>
      </c>
      <c r="I200">
        <f>'stuttgart-bkjck-rawbinary'!J200</f>
        <v>60</v>
      </c>
      <c r="J200">
        <f>Weigt!O200</f>
        <v>60</v>
      </c>
      <c r="K200" t="str">
        <f t="shared" si="11"/>
        <v/>
      </c>
    </row>
    <row r="201" spans="1:11" x14ac:dyDescent="0.35">
      <c r="A201" s="2">
        <f>'stuttgart-bkjck-rawbinary'!A201</f>
        <v>3079</v>
      </c>
      <c r="B201" t="str">
        <f ca="1">LOOKUP(A201,'stuttgart-bkjck-rawbinary'!$A$2:$A$449,'stuttgart-bkjck-rawbinary'!$H$2:$H648)</f>
        <v>u</v>
      </c>
      <c r="C201" t="str">
        <f>Weigt!C201</f>
        <v>3079</v>
      </c>
      <c r="D201" t="str">
        <f>Weigt!M201</f>
        <v>u</v>
      </c>
      <c r="E201" t="str">
        <f t="shared" ca="1" si="9"/>
        <v/>
      </c>
      <c r="F201">
        <f>'stuttgart-bkjck-rawbinary'!I201</f>
        <v>50</v>
      </c>
      <c r="G201">
        <f>Weigt!N201</f>
        <v>50</v>
      </c>
      <c r="H201" t="str">
        <f t="shared" si="10"/>
        <v/>
      </c>
      <c r="I201">
        <f>'stuttgart-bkjck-rawbinary'!J201</f>
        <v>54</v>
      </c>
      <c r="J201">
        <f>Weigt!O201</f>
        <v>54</v>
      </c>
      <c r="K201" t="str">
        <f t="shared" si="11"/>
        <v/>
      </c>
    </row>
    <row r="202" spans="1:11" x14ac:dyDescent="0.35">
      <c r="A202" s="2">
        <f>'stuttgart-bkjck-rawbinary'!A202</f>
        <v>3080</v>
      </c>
      <c r="B202" t="str">
        <f ca="1">LOOKUP(A202,'stuttgart-bkjck-rawbinary'!$A$2:$A$449,'stuttgart-bkjck-rawbinary'!$H$2:$H649)</f>
        <v>e</v>
      </c>
      <c r="C202" t="str">
        <f>Weigt!C202</f>
        <v>3080</v>
      </c>
      <c r="D202" t="str">
        <f>Weigt!M202</f>
        <v>e</v>
      </c>
      <c r="E202" t="str">
        <f t="shared" ca="1" si="9"/>
        <v/>
      </c>
      <c r="F202">
        <f>'stuttgart-bkjck-rawbinary'!I202</f>
        <v>47</v>
      </c>
      <c r="G202">
        <f>Weigt!N202</f>
        <v>47</v>
      </c>
      <c r="H202" t="str">
        <f t="shared" si="10"/>
        <v/>
      </c>
      <c r="I202">
        <f>'stuttgart-bkjck-rawbinary'!J202</f>
        <v>37</v>
      </c>
      <c r="J202">
        <f>Weigt!O202</f>
        <v>37</v>
      </c>
      <c r="K202" t="str">
        <f t="shared" si="11"/>
        <v/>
      </c>
    </row>
    <row r="203" spans="1:11" x14ac:dyDescent="0.35">
      <c r="A203" s="2">
        <f>'stuttgart-bkjck-rawbinary'!A203</f>
        <v>3081</v>
      </c>
      <c r="B203" t="str">
        <f ca="1">LOOKUP(A203,'stuttgart-bkjck-rawbinary'!$A$2:$A$449,'stuttgart-bkjck-rawbinary'!$H$2:$H650)</f>
        <v>s</v>
      </c>
      <c r="C203" t="str">
        <f>Weigt!C203</f>
        <v>3081</v>
      </c>
      <c r="D203" t="str">
        <f>Weigt!M203</f>
        <v>s</v>
      </c>
      <c r="E203" t="str">
        <f t="shared" ca="1" si="9"/>
        <v/>
      </c>
      <c r="F203">
        <f>'stuttgart-bkjck-rawbinary'!I203</f>
        <v>47</v>
      </c>
      <c r="G203">
        <f>Weigt!N203</f>
        <v>47</v>
      </c>
      <c r="H203" t="str">
        <f t="shared" si="10"/>
        <v/>
      </c>
      <c r="I203">
        <f>'stuttgart-bkjck-rawbinary'!J203</f>
        <v>37</v>
      </c>
      <c r="J203">
        <f>Weigt!O203</f>
        <v>37</v>
      </c>
      <c r="K203" t="str">
        <f t="shared" si="11"/>
        <v/>
      </c>
    </row>
    <row r="204" spans="1:11" x14ac:dyDescent="0.35">
      <c r="A204" s="2">
        <f>'stuttgart-bkjck-rawbinary'!A204</f>
        <v>3082</v>
      </c>
      <c r="B204" t="str">
        <f ca="1">LOOKUP(A204,'stuttgart-bkjck-rawbinary'!$A$2:$A$449,'stuttgart-bkjck-rawbinary'!$H$2:$H651)</f>
        <v>t</v>
      </c>
      <c r="C204" t="str">
        <f>Weigt!C204</f>
        <v>3082</v>
      </c>
      <c r="D204" t="str">
        <f>Weigt!M204</f>
        <v>t</v>
      </c>
      <c r="E204" t="str">
        <f t="shared" ca="1" si="9"/>
        <v/>
      </c>
      <c r="F204">
        <f>'stuttgart-bkjck-rawbinary'!I204</f>
        <v>47</v>
      </c>
      <c r="G204">
        <f>Weigt!N204</f>
        <v>47</v>
      </c>
      <c r="H204" t="str">
        <f t="shared" si="10"/>
        <v/>
      </c>
      <c r="I204">
        <f>'stuttgart-bkjck-rawbinary'!J204</f>
        <v>62</v>
      </c>
      <c r="J204">
        <f>Weigt!O204</f>
        <v>62</v>
      </c>
      <c r="K204" t="str">
        <f t="shared" si="11"/>
        <v/>
      </c>
    </row>
    <row r="205" spans="1:11" x14ac:dyDescent="0.35">
      <c r="A205" s="2">
        <f>'stuttgart-bkjck-rawbinary'!A205</f>
        <v>3083</v>
      </c>
      <c r="B205" t="str">
        <f ca="1">LOOKUP(A205,'stuttgart-bkjck-rawbinary'!$A$2:$A$449,'stuttgart-bkjck-rawbinary'!$H$2:$H652)</f>
        <v>p</v>
      </c>
      <c r="C205" t="str">
        <f>Weigt!C205</f>
        <v>3083</v>
      </c>
      <c r="D205" t="str">
        <f>Weigt!M205</f>
        <v>p</v>
      </c>
      <c r="E205" t="str">
        <f t="shared" ca="1" si="9"/>
        <v/>
      </c>
      <c r="F205">
        <f>'stuttgart-bkjck-rawbinary'!I205</f>
        <v>16</v>
      </c>
      <c r="G205">
        <f>Weigt!N205</f>
        <v>16</v>
      </c>
      <c r="H205" t="str">
        <f t="shared" si="10"/>
        <v/>
      </c>
      <c r="I205">
        <f>'stuttgart-bkjck-rawbinary'!J205</f>
        <v>0</v>
      </c>
      <c r="J205">
        <f>Weigt!O205</f>
        <v>0</v>
      </c>
      <c r="K205" t="str">
        <f t="shared" si="11"/>
        <v/>
      </c>
    </row>
    <row r="206" spans="1:11" x14ac:dyDescent="0.35">
      <c r="A206" s="2">
        <f>'stuttgart-bkjck-rawbinary'!A206</f>
        <v>3084</v>
      </c>
      <c r="B206" t="str">
        <f ca="1">LOOKUP(A206,'stuttgart-bkjck-rawbinary'!$A$2:$A$449,'stuttgart-bkjck-rawbinary'!$H$2:$H653)</f>
        <v>z</v>
      </c>
      <c r="C206" t="str">
        <f>Weigt!C206</f>
        <v>3084</v>
      </c>
      <c r="D206" t="str">
        <f>Weigt!M206</f>
        <v>z</v>
      </c>
      <c r="E206" t="str">
        <f t="shared" ca="1" si="9"/>
        <v/>
      </c>
      <c r="F206">
        <f>'stuttgart-bkjck-rawbinary'!I206</f>
        <v>0</v>
      </c>
      <c r="G206">
        <f>Weigt!N206</f>
        <v>0</v>
      </c>
      <c r="H206" t="str">
        <f t="shared" si="10"/>
        <v/>
      </c>
      <c r="I206">
        <f>'stuttgart-bkjck-rawbinary'!J206</f>
        <v>5</v>
      </c>
      <c r="J206">
        <f>Weigt!O206</f>
        <v>5</v>
      </c>
      <c r="K206" t="str">
        <f t="shared" si="11"/>
        <v/>
      </c>
    </row>
    <row r="207" spans="1:11" x14ac:dyDescent="0.35">
      <c r="A207" s="2">
        <f>'stuttgart-bkjck-rawbinary'!A207</f>
        <v>3085</v>
      </c>
      <c r="B207" t="str">
        <f ca="1">LOOKUP(A207,'stuttgart-bkjck-rawbinary'!$A$2:$A$449,'stuttgart-bkjck-rawbinary'!$H$2:$H654)</f>
        <v>p</v>
      </c>
      <c r="C207" t="str">
        <f>Weigt!C207</f>
        <v>3085</v>
      </c>
      <c r="D207" t="str">
        <f>Weigt!M207</f>
        <v>p</v>
      </c>
      <c r="E207" t="str">
        <f t="shared" ca="1" si="9"/>
        <v/>
      </c>
      <c r="F207">
        <f>'stuttgart-bkjck-rawbinary'!I207</f>
        <v>24</v>
      </c>
      <c r="G207">
        <f>Weigt!N207</f>
        <v>24</v>
      </c>
      <c r="H207" t="str">
        <f t="shared" si="10"/>
        <v/>
      </c>
      <c r="I207">
        <f>'stuttgart-bkjck-rawbinary'!J207</f>
        <v>0</v>
      </c>
      <c r="J207">
        <f>Weigt!O207</f>
        <v>0</v>
      </c>
      <c r="K207" t="str">
        <f t="shared" si="11"/>
        <v/>
      </c>
    </row>
    <row r="208" spans="1:11" x14ac:dyDescent="0.35">
      <c r="A208" s="2">
        <f>'stuttgart-bkjck-rawbinary'!A208</f>
        <v>3086</v>
      </c>
      <c r="B208" t="str">
        <f ca="1">LOOKUP(A208,'stuttgart-bkjck-rawbinary'!$A$2:$A$449,'stuttgart-bkjck-rawbinary'!$H$2:$H655)</f>
        <v>u</v>
      </c>
      <c r="C208" t="str">
        <f>Weigt!C208</f>
        <v>3086</v>
      </c>
      <c r="D208" t="str">
        <f>Weigt!M208</f>
        <v>u</v>
      </c>
      <c r="E208" t="str">
        <f t="shared" ca="1" si="9"/>
        <v/>
      </c>
      <c r="F208">
        <f>'stuttgart-bkjck-rawbinary'!I208</f>
        <v>47</v>
      </c>
      <c r="G208">
        <f>Weigt!N208</f>
        <v>47</v>
      </c>
      <c r="H208" t="str">
        <f t="shared" si="10"/>
        <v/>
      </c>
      <c r="I208">
        <f>'stuttgart-bkjck-rawbinary'!J208</f>
        <v>49</v>
      </c>
      <c r="J208">
        <f>Weigt!O208</f>
        <v>49</v>
      </c>
      <c r="K208" t="str">
        <f t="shared" si="11"/>
        <v/>
      </c>
    </row>
    <row r="209" spans="1:11" x14ac:dyDescent="0.35">
      <c r="A209" s="2">
        <f>'stuttgart-bkjck-rawbinary'!A209</f>
        <v>3087</v>
      </c>
      <c r="B209" t="str">
        <f ca="1">LOOKUP(A209,'stuttgart-bkjck-rawbinary'!$A$2:$A$449,'stuttgart-bkjck-rawbinary'!$H$2:$H656)</f>
        <v>a</v>
      </c>
      <c r="C209" t="str">
        <f>Weigt!C209</f>
        <v>3087</v>
      </c>
      <c r="D209" t="str">
        <f>Weigt!M209</f>
        <v>a</v>
      </c>
      <c r="E209" t="str">
        <f t="shared" ca="1" si="9"/>
        <v/>
      </c>
      <c r="F209">
        <f>'stuttgart-bkjck-rawbinary'!I209</f>
        <v>48</v>
      </c>
      <c r="G209">
        <f>Weigt!N209</f>
        <v>48</v>
      </c>
      <c r="H209" t="str">
        <f t="shared" si="10"/>
        <v/>
      </c>
      <c r="I209">
        <f>'stuttgart-bkjck-rawbinary'!J209</f>
        <v>12</v>
      </c>
      <c r="J209">
        <f>Weigt!O209</f>
        <v>12</v>
      </c>
      <c r="K209" t="str">
        <f t="shared" si="11"/>
        <v/>
      </c>
    </row>
    <row r="210" spans="1:11" x14ac:dyDescent="0.35">
      <c r="A210" s="2">
        <f>'stuttgart-bkjck-rawbinary'!A210</f>
        <v>3088</v>
      </c>
      <c r="B210" t="str">
        <f ca="1">LOOKUP(A210,'stuttgart-bkjck-rawbinary'!$A$2:$A$449,'stuttgart-bkjck-rawbinary'!$H$2:$H657)</f>
        <v>t</v>
      </c>
      <c r="C210" t="str">
        <f>Weigt!C210</f>
        <v>3088</v>
      </c>
      <c r="D210" t="str">
        <f>Weigt!M210</f>
        <v>t</v>
      </c>
      <c r="E210" t="str">
        <f t="shared" ca="1" si="9"/>
        <v/>
      </c>
      <c r="F210">
        <f>'stuttgart-bkjck-rawbinary'!I210</f>
        <v>48</v>
      </c>
      <c r="G210">
        <f>Weigt!N210</f>
        <v>48</v>
      </c>
      <c r="H210" t="str">
        <f t="shared" si="10"/>
        <v/>
      </c>
      <c r="I210">
        <f>'stuttgart-bkjck-rawbinary'!J210</f>
        <v>19</v>
      </c>
      <c r="J210">
        <f>Weigt!O210</f>
        <v>19</v>
      </c>
      <c r="K210" t="str">
        <f t="shared" si="11"/>
        <v/>
      </c>
    </row>
    <row r="211" spans="1:11" x14ac:dyDescent="0.35">
      <c r="A211" s="2">
        <f>'stuttgart-bkjck-rawbinary'!A211</f>
        <v>3089</v>
      </c>
      <c r="B211" t="str">
        <f ca="1">LOOKUP(A211,'stuttgart-bkjck-rawbinary'!$A$2:$A$449,'stuttgart-bkjck-rawbinary'!$H$2:$H658)</f>
        <v>u</v>
      </c>
      <c r="C211" t="str">
        <f>Weigt!C211</f>
        <v>3089</v>
      </c>
      <c r="D211" t="str">
        <f>Weigt!M211</f>
        <v>u</v>
      </c>
      <c r="E211" t="str">
        <f t="shared" ca="1" si="9"/>
        <v/>
      </c>
      <c r="F211">
        <f>'stuttgart-bkjck-rawbinary'!I211</f>
        <v>48</v>
      </c>
      <c r="G211">
        <f>Weigt!N211</f>
        <v>48</v>
      </c>
      <c r="H211" t="str">
        <f t="shared" si="10"/>
        <v/>
      </c>
      <c r="I211">
        <f>'stuttgart-bkjck-rawbinary'!J211</f>
        <v>11</v>
      </c>
      <c r="J211">
        <f>Weigt!O211</f>
        <v>11</v>
      </c>
      <c r="K211" t="str">
        <f t="shared" si="11"/>
        <v/>
      </c>
    </row>
    <row r="212" spans="1:11" x14ac:dyDescent="0.35">
      <c r="A212" s="2">
        <f>'stuttgart-bkjck-rawbinary'!A212</f>
        <v>3090</v>
      </c>
      <c r="B212" t="str">
        <f ca="1">LOOKUP(A212,'stuttgart-bkjck-rawbinary'!$A$2:$A$449,'stuttgart-bkjck-rawbinary'!$H$2:$H659)</f>
        <v>t</v>
      </c>
      <c r="C212" t="str">
        <f>Weigt!C212</f>
        <v>3090</v>
      </c>
      <c r="D212" t="str">
        <f>Weigt!M212</f>
        <v>t</v>
      </c>
      <c r="E212" t="str">
        <f t="shared" ca="1" si="9"/>
        <v/>
      </c>
      <c r="F212">
        <f>'stuttgart-bkjck-rawbinary'!I212</f>
        <v>24</v>
      </c>
      <c r="G212">
        <f>Weigt!N212</f>
        <v>24</v>
      </c>
      <c r="H212" t="str">
        <f t="shared" si="10"/>
        <v/>
      </c>
      <c r="I212">
        <f>'stuttgart-bkjck-rawbinary'!J212</f>
        <v>38</v>
      </c>
      <c r="J212">
        <f>Weigt!O212</f>
        <v>38</v>
      </c>
      <c r="K212" t="str">
        <f t="shared" si="11"/>
        <v/>
      </c>
    </row>
    <row r="213" spans="1:11" x14ac:dyDescent="0.35">
      <c r="A213" s="2">
        <f>'stuttgart-bkjck-rawbinary'!A213</f>
        <v>3091</v>
      </c>
      <c r="B213" t="str">
        <f ca="1">LOOKUP(A213,'stuttgart-bkjck-rawbinary'!$A$2:$A$449,'stuttgart-bkjck-rawbinary'!$H$2:$H660)</f>
        <v>a</v>
      </c>
      <c r="C213" t="str">
        <f>Weigt!C213</f>
        <v>3091</v>
      </c>
      <c r="D213" t="str">
        <f>Weigt!M213</f>
        <v>a</v>
      </c>
      <c r="E213" t="str">
        <f t="shared" ca="1" si="9"/>
        <v/>
      </c>
      <c r="F213">
        <f>'stuttgart-bkjck-rawbinary'!I213</f>
        <v>46</v>
      </c>
      <c r="G213">
        <f>Weigt!N213</f>
        <v>46</v>
      </c>
      <c r="H213" t="str">
        <f t="shared" si="10"/>
        <v/>
      </c>
      <c r="I213">
        <f>'stuttgart-bkjck-rawbinary'!J213</f>
        <v>63</v>
      </c>
      <c r="J213">
        <f>Weigt!O213</f>
        <v>63</v>
      </c>
      <c r="K213" t="str">
        <f t="shared" si="11"/>
        <v/>
      </c>
    </row>
    <row r="214" spans="1:11" x14ac:dyDescent="0.35">
      <c r="A214" s="2">
        <f>'stuttgart-bkjck-rawbinary'!A214</f>
        <v>3092</v>
      </c>
      <c r="B214" t="str">
        <f ca="1">LOOKUP(A214,'stuttgart-bkjck-rawbinary'!$A$2:$A$449,'stuttgart-bkjck-rawbinary'!$H$2:$H661)</f>
        <v>t</v>
      </c>
      <c r="C214" t="str">
        <f>Weigt!C214</f>
        <v>3092</v>
      </c>
      <c r="D214" t="str">
        <f>Weigt!M214</f>
        <v>t</v>
      </c>
      <c r="E214" t="str">
        <f t="shared" ca="1" si="9"/>
        <v/>
      </c>
      <c r="F214">
        <f>'stuttgart-bkjck-rawbinary'!I214</f>
        <v>48</v>
      </c>
      <c r="G214">
        <f>Weigt!N214</f>
        <v>48</v>
      </c>
      <c r="H214" t="str">
        <f t="shared" si="10"/>
        <v/>
      </c>
      <c r="I214">
        <f>'stuttgart-bkjck-rawbinary'!J214</f>
        <v>11</v>
      </c>
      <c r="J214">
        <f>Weigt!O214</f>
        <v>11</v>
      </c>
      <c r="K214" t="str">
        <f t="shared" si="11"/>
        <v/>
      </c>
    </row>
    <row r="215" spans="1:11" x14ac:dyDescent="0.35">
      <c r="A215" s="2">
        <f>'stuttgart-bkjck-rawbinary'!A215</f>
        <v>3093</v>
      </c>
      <c r="B215" t="str">
        <f ca="1">LOOKUP(A215,'stuttgart-bkjck-rawbinary'!$A$2:$A$449,'stuttgart-bkjck-rawbinary'!$H$2:$H662)</f>
        <v>b</v>
      </c>
      <c r="C215" t="str">
        <f>Weigt!C215</f>
        <v>3093</v>
      </c>
      <c r="D215" t="str">
        <f>Weigt!M215</f>
        <v>b</v>
      </c>
      <c r="E215" t="str">
        <f t="shared" ca="1" si="9"/>
        <v/>
      </c>
      <c r="F215">
        <f>'stuttgart-bkjck-rawbinary'!I215</f>
        <v>50</v>
      </c>
      <c r="G215">
        <f>Weigt!N215</f>
        <v>50</v>
      </c>
      <c r="H215" t="str">
        <f t="shared" si="10"/>
        <v/>
      </c>
      <c r="I215">
        <f>'stuttgart-bkjck-rawbinary'!J215</f>
        <v>29</v>
      </c>
      <c r="J215">
        <f>Weigt!O215</f>
        <v>29</v>
      </c>
      <c r="K215" t="str">
        <f t="shared" si="11"/>
        <v/>
      </c>
    </row>
    <row r="216" spans="1:11" x14ac:dyDescent="0.35">
      <c r="A216" s="2">
        <f>'stuttgart-bkjck-rawbinary'!A216</f>
        <v>3094</v>
      </c>
      <c r="B216" t="str">
        <f ca="1">LOOKUP(A216,'stuttgart-bkjck-rawbinary'!$A$2:$A$449,'stuttgart-bkjck-rawbinary'!$H$2:$H663)</f>
        <v>t</v>
      </c>
      <c r="C216" t="str">
        <f>Weigt!C216</f>
        <v>3094</v>
      </c>
      <c r="D216" t="str">
        <f>Weigt!M216</f>
        <v>t</v>
      </c>
      <c r="E216" t="str">
        <f t="shared" ca="1" si="9"/>
        <v/>
      </c>
      <c r="F216">
        <f>'stuttgart-bkjck-rawbinary'!I216</f>
        <v>48</v>
      </c>
      <c r="G216">
        <f>Weigt!N216</f>
        <v>48</v>
      </c>
      <c r="H216" t="str">
        <f t="shared" si="10"/>
        <v/>
      </c>
      <c r="I216">
        <f>'stuttgart-bkjck-rawbinary'!J216</f>
        <v>24</v>
      </c>
      <c r="J216">
        <f>Weigt!O216</f>
        <v>24</v>
      </c>
      <c r="K216" t="str">
        <f t="shared" si="11"/>
        <v/>
      </c>
    </row>
    <row r="217" spans="1:11" x14ac:dyDescent="0.35">
      <c r="A217" s="2">
        <f>'stuttgart-bkjck-rawbinary'!A217</f>
        <v>3095</v>
      </c>
      <c r="B217" t="str">
        <f ca="1">LOOKUP(A217,'stuttgart-bkjck-rawbinary'!$A$2:$A$449,'stuttgart-bkjck-rawbinary'!$H$2:$H664)</f>
        <v>u</v>
      </c>
      <c r="C217" t="str">
        <f>Weigt!C217</f>
        <v>3095</v>
      </c>
      <c r="D217" t="str">
        <f>Weigt!M217</f>
        <v>u</v>
      </c>
      <c r="E217" t="str">
        <f t="shared" ca="1" si="9"/>
        <v/>
      </c>
      <c r="F217">
        <f>'stuttgart-bkjck-rawbinary'!I217</f>
        <v>48</v>
      </c>
      <c r="G217">
        <f>Weigt!N217</f>
        <v>48</v>
      </c>
      <c r="H217" t="str">
        <f t="shared" si="10"/>
        <v/>
      </c>
      <c r="I217">
        <f>'stuttgart-bkjck-rawbinary'!J217</f>
        <v>11</v>
      </c>
      <c r="J217">
        <f>Weigt!O217</f>
        <v>11</v>
      </c>
      <c r="K217" t="str">
        <f t="shared" si="11"/>
        <v/>
      </c>
    </row>
    <row r="218" spans="1:11" x14ac:dyDescent="0.35">
      <c r="A218" s="2">
        <f>'stuttgart-bkjck-rawbinary'!A218</f>
        <v>3096</v>
      </c>
      <c r="B218" t="str">
        <f ca="1">LOOKUP(A218,'stuttgart-bkjck-rawbinary'!$A$2:$A$449,'stuttgart-bkjck-rawbinary'!$H$2:$H665)</f>
        <v>a</v>
      </c>
      <c r="C218" t="str">
        <f>Weigt!C218</f>
        <v>3096</v>
      </c>
      <c r="D218" t="str">
        <f>Weigt!M218</f>
        <v>a</v>
      </c>
      <c r="E218" t="str">
        <f t="shared" ca="1" si="9"/>
        <v/>
      </c>
      <c r="F218">
        <f>'stuttgart-bkjck-rawbinary'!I218</f>
        <v>47</v>
      </c>
      <c r="G218">
        <f>Weigt!N218</f>
        <v>47</v>
      </c>
      <c r="H218" t="str">
        <f t="shared" si="10"/>
        <v/>
      </c>
      <c r="I218">
        <f>'stuttgart-bkjck-rawbinary'!J218</f>
        <v>49</v>
      </c>
      <c r="J218">
        <f>Weigt!O218</f>
        <v>49</v>
      </c>
      <c r="K218" t="str">
        <f t="shared" si="11"/>
        <v/>
      </c>
    </row>
    <row r="219" spans="1:11" x14ac:dyDescent="0.35">
      <c r="A219" s="2">
        <f>'stuttgart-bkjck-rawbinary'!A219</f>
        <v>3097</v>
      </c>
      <c r="B219" t="str">
        <f ca="1">LOOKUP(A219,'stuttgart-bkjck-rawbinary'!$A$2:$A$449,'stuttgart-bkjck-rawbinary'!$H$2:$H666)</f>
        <v>u</v>
      </c>
      <c r="C219" t="str">
        <f>Weigt!C219</f>
        <v>3097</v>
      </c>
      <c r="D219" t="str">
        <f>Weigt!M219</f>
        <v>u</v>
      </c>
      <c r="E219" t="str">
        <f t="shared" ca="1" si="9"/>
        <v/>
      </c>
      <c r="F219">
        <f>'stuttgart-bkjck-rawbinary'!I219</f>
        <v>47</v>
      </c>
      <c r="G219">
        <f>Weigt!N219</f>
        <v>47</v>
      </c>
      <c r="H219" t="str">
        <f t="shared" si="10"/>
        <v/>
      </c>
      <c r="I219">
        <f>'stuttgart-bkjck-rawbinary'!J219</f>
        <v>58</v>
      </c>
      <c r="J219">
        <f>Weigt!O219</f>
        <v>58</v>
      </c>
      <c r="K219" t="str">
        <f t="shared" si="11"/>
        <v/>
      </c>
    </row>
    <row r="220" spans="1:11" x14ac:dyDescent="0.35">
      <c r="A220" s="2">
        <f>'stuttgart-bkjck-rawbinary'!A220</f>
        <v>3098</v>
      </c>
      <c r="B220" t="str">
        <f ca="1">LOOKUP(A220,'stuttgart-bkjck-rawbinary'!$A$2:$A$449,'stuttgart-bkjck-rawbinary'!$H$2:$H667)</f>
        <v>a</v>
      </c>
      <c r="C220" t="str">
        <f>Weigt!C220</f>
        <v>3098</v>
      </c>
      <c r="D220" t="str">
        <f>Weigt!M220</f>
        <v>a</v>
      </c>
      <c r="E220" t="str">
        <f t="shared" ca="1" si="9"/>
        <v/>
      </c>
      <c r="F220">
        <f>'stuttgart-bkjck-rawbinary'!I220</f>
        <v>47</v>
      </c>
      <c r="G220">
        <f>Weigt!N220</f>
        <v>47</v>
      </c>
      <c r="H220" t="str">
        <f t="shared" si="10"/>
        <v/>
      </c>
      <c r="I220">
        <f>'stuttgart-bkjck-rawbinary'!J220</f>
        <v>49</v>
      </c>
      <c r="J220">
        <f>Weigt!O220</f>
        <v>49</v>
      </c>
      <c r="K220" t="str">
        <f t="shared" si="11"/>
        <v/>
      </c>
    </row>
    <row r="221" spans="1:11" x14ac:dyDescent="0.35">
      <c r="A221" s="2">
        <f>'stuttgart-bkjck-rawbinary'!A221</f>
        <v>3099</v>
      </c>
      <c r="B221" t="str">
        <f ca="1">LOOKUP(A221,'stuttgart-bkjck-rawbinary'!$A$2:$A$449,'stuttgart-bkjck-rawbinary'!$H$2:$H668)</f>
        <v>c</v>
      </c>
      <c r="C221" t="str">
        <f>Weigt!C221</f>
        <v>3099</v>
      </c>
      <c r="D221" t="str">
        <f>Weigt!M221</f>
        <v>c</v>
      </c>
      <c r="E221" t="str">
        <f t="shared" ca="1" si="9"/>
        <v/>
      </c>
      <c r="F221">
        <f>'stuttgart-bkjck-rawbinary'!I221</f>
        <v>50</v>
      </c>
      <c r="G221">
        <f>Weigt!N221</f>
        <v>50</v>
      </c>
      <c r="H221" t="str">
        <f t="shared" si="10"/>
        <v/>
      </c>
      <c r="I221">
        <f>'stuttgart-bkjck-rawbinary'!J221</f>
        <v>29</v>
      </c>
      <c r="J221">
        <f>Weigt!O221</f>
        <v>29</v>
      </c>
      <c r="K221" t="str">
        <f t="shared" si="11"/>
        <v/>
      </c>
    </row>
    <row r="222" spans="1:11" x14ac:dyDescent="0.35">
      <c r="A222" s="2">
        <f>'stuttgart-bkjck-rawbinary'!A222</f>
        <v>3100</v>
      </c>
      <c r="B222" t="str">
        <f ca="1">LOOKUP(A222,'stuttgart-bkjck-rawbinary'!$A$2:$A$449,'stuttgart-bkjck-rawbinary'!$H$2:$H669)</f>
        <v>u</v>
      </c>
      <c r="C222" t="str">
        <f>Weigt!C222</f>
        <v>3100</v>
      </c>
      <c r="D222" t="str">
        <f>Weigt!M222</f>
        <v>u</v>
      </c>
      <c r="E222" t="str">
        <f t="shared" ca="1" si="9"/>
        <v/>
      </c>
      <c r="F222">
        <f>'stuttgart-bkjck-rawbinary'!I222</f>
        <v>47</v>
      </c>
      <c r="G222">
        <f>Weigt!N222</f>
        <v>47</v>
      </c>
      <c r="H222" t="str">
        <f t="shared" si="10"/>
        <v/>
      </c>
      <c r="I222">
        <f>'stuttgart-bkjck-rawbinary'!J222</f>
        <v>62</v>
      </c>
      <c r="J222">
        <f>Weigt!O222</f>
        <v>62</v>
      </c>
      <c r="K222" t="str">
        <f t="shared" si="11"/>
        <v/>
      </c>
    </row>
    <row r="223" spans="1:11" x14ac:dyDescent="0.35">
      <c r="A223" s="2">
        <f>'stuttgart-bkjck-rawbinary'!A223</f>
        <v>3101</v>
      </c>
      <c r="B223" t="str">
        <f ca="1">LOOKUP(A223,'stuttgart-bkjck-rawbinary'!$A$2:$A$449,'stuttgart-bkjck-rawbinary'!$H$2:$H670)</f>
        <v>e</v>
      </c>
      <c r="C223" t="str">
        <f>Weigt!C223</f>
        <v>3101</v>
      </c>
      <c r="D223" t="str">
        <f>Weigt!M223</f>
        <v>e</v>
      </c>
      <c r="E223" t="str">
        <f t="shared" ca="1" si="9"/>
        <v/>
      </c>
      <c r="F223">
        <f>'stuttgart-bkjck-rawbinary'!I223</f>
        <v>45</v>
      </c>
      <c r="G223">
        <f>Weigt!N223</f>
        <v>45</v>
      </c>
      <c r="H223" t="str">
        <f t="shared" si="10"/>
        <v/>
      </c>
      <c r="I223">
        <f>'stuttgart-bkjck-rawbinary'!J223</f>
        <v>62</v>
      </c>
      <c r="J223">
        <f>Weigt!O223</f>
        <v>62</v>
      </c>
      <c r="K223" t="str">
        <f t="shared" si="11"/>
        <v/>
      </c>
    </row>
    <row r="224" spans="1:11" x14ac:dyDescent="0.35">
      <c r="A224" s="2">
        <f>'stuttgart-bkjck-rawbinary'!A224</f>
        <v>3102</v>
      </c>
      <c r="B224" t="str">
        <f ca="1">LOOKUP(A224,'stuttgart-bkjck-rawbinary'!$A$2:$A$449,'stuttgart-bkjck-rawbinary'!$H$2:$H671)</f>
        <v>h</v>
      </c>
      <c r="C224" t="str">
        <f>Weigt!C224</f>
        <v>3102</v>
      </c>
      <c r="D224" t="str">
        <f>Weigt!M224</f>
        <v>h</v>
      </c>
      <c r="E224" t="str">
        <f t="shared" ca="1" si="9"/>
        <v/>
      </c>
      <c r="F224">
        <f>'stuttgart-bkjck-rawbinary'!I224</f>
        <v>51</v>
      </c>
      <c r="G224">
        <f>Weigt!N224</f>
        <v>51</v>
      </c>
      <c r="H224" t="str">
        <f t="shared" si="10"/>
        <v/>
      </c>
      <c r="I224">
        <f>'stuttgart-bkjck-rawbinary'!J224</f>
        <v>45</v>
      </c>
      <c r="J224">
        <f>Weigt!O224</f>
        <v>45</v>
      </c>
      <c r="K224" t="str">
        <f t="shared" si="11"/>
        <v/>
      </c>
    </row>
    <row r="225" spans="1:11" x14ac:dyDescent="0.35">
      <c r="A225" s="2">
        <f>'stuttgart-bkjck-rawbinary'!A225</f>
        <v>3103</v>
      </c>
      <c r="B225" t="str">
        <f ca="1">LOOKUP(A225,'stuttgart-bkjck-rawbinary'!$A$2:$A$449,'stuttgart-bkjck-rawbinary'!$H$2:$H672)</f>
        <v>s</v>
      </c>
      <c r="C225" t="str">
        <f>Weigt!C225</f>
        <v>3103</v>
      </c>
      <c r="D225" t="str">
        <f>Weigt!M225</f>
        <v>s</v>
      </c>
      <c r="E225" t="str">
        <f t="shared" ca="1" si="9"/>
        <v/>
      </c>
      <c r="F225">
        <f>'stuttgart-bkjck-rawbinary'!I225</f>
        <v>46</v>
      </c>
      <c r="G225">
        <f>Weigt!N225</f>
        <v>46</v>
      </c>
      <c r="H225" t="str">
        <f t="shared" si="10"/>
        <v/>
      </c>
      <c r="I225">
        <f>'stuttgart-bkjck-rawbinary'!J225</f>
        <v>41</v>
      </c>
      <c r="J225">
        <f>Weigt!O225</f>
        <v>41</v>
      </c>
      <c r="K225" t="str">
        <f t="shared" si="11"/>
        <v/>
      </c>
    </row>
    <row r="226" spans="1:11" x14ac:dyDescent="0.35">
      <c r="A226" s="2">
        <f>'stuttgart-bkjck-rawbinary'!A226</f>
        <v>3104</v>
      </c>
      <c r="B226" t="str">
        <f ca="1">LOOKUP(A226,'stuttgart-bkjck-rawbinary'!$A$2:$A$449,'stuttgart-bkjck-rawbinary'!$H$2:$H673)</f>
        <v>t</v>
      </c>
      <c r="C226" t="str">
        <f>Weigt!C226</f>
        <v>3104</v>
      </c>
      <c r="D226" t="str">
        <f>Weigt!M226</f>
        <v>t</v>
      </c>
      <c r="E226" t="str">
        <f t="shared" ca="1" si="9"/>
        <v/>
      </c>
      <c r="F226">
        <f>'stuttgart-bkjck-rawbinary'!I226</f>
        <v>48</v>
      </c>
      <c r="G226">
        <f>Weigt!N226</f>
        <v>48</v>
      </c>
      <c r="H226" t="str">
        <f t="shared" si="10"/>
        <v/>
      </c>
      <c r="I226">
        <f>'stuttgart-bkjck-rawbinary'!J226</f>
        <v>40</v>
      </c>
      <c r="J226">
        <f>Weigt!O226</f>
        <v>40</v>
      </c>
      <c r="K226" t="str">
        <f t="shared" si="11"/>
        <v/>
      </c>
    </row>
    <row r="227" spans="1:11" x14ac:dyDescent="0.35">
      <c r="A227" s="2">
        <f>'stuttgart-bkjck-rawbinary'!A227</f>
        <v>3105</v>
      </c>
      <c r="B227" t="str">
        <f ca="1">LOOKUP(A227,'stuttgart-bkjck-rawbinary'!$A$2:$A$449,'stuttgart-bkjck-rawbinary'!$H$2:$H674)</f>
        <v>r</v>
      </c>
      <c r="C227" t="str">
        <f>Weigt!C227</f>
        <v>3105</v>
      </c>
      <c r="D227" t="str">
        <f>Weigt!M227</f>
        <v>r</v>
      </c>
      <c r="E227" t="str">
        <f t="shared" ca="1" si="9"/>
        <v/>
      </c>
      <c r="F227">
        <f>'stuttgart-bkjck-rawbinary'!I227</f>
        <v>51</v>
      </c>
      <c r="G227">
        <f>Weigt!N227</f>
        <v>51</v>
      </c>
      <c r="H227" t="str">
        <f t="shared" si="10"/>
        <v/>
      </c>
      <c r="I227">
        <f>'stuttgart-bkjck-rawbinary'!J227</f>
        <v>0</v>
      </c>
      <c r="J227">
        <f>Weigt!O227</f>
        <v>0</v>
      </c>
      <c r="K227" t="str">
        <f t="shared" si="11"/>
        <v/>
      </c>
    </row>
    <row r="228" spans="1:11" x14ac:dyDescent="0.35">
      <c r="A228" s="2">
        <f>'stuttgart-bkjck-rawbinary'!A228</f>
        <v>3106</v>
      </c>
      <c r="B228" t="str">
        <f ca="1">LOOKUP(A228,'stuttgart-bkjck-rawbinary'!$A$2:$A$449,'stuttgart-bkjck-rawbinary'!$H$2:$H675)</f>
        <v>u</v>
      </c>
      <c r="C228" t="str">
        <f>Weigt!C228</f>
        <v>3106</v>
      </c>
      <c r="D228" t="str">
        <f>Weigt!M228</f>
        <v>u</v>
      </c>
      <c r="E228" t="str">
        <f t="shared" ca="1" si="9"/>
        <v/>
      </c>
      <c r="F228">
        <f>'stuttgart-bkjck-rawbinary'!I228</f>
        <v>51</v>
      </c>
      <c r="G228">
        <f>Weigt!N228</f>
        <v>51</v>
      </c>
      <c r="H228" t="str">
        <f t="shared" si="10"/>
        <v/>
      </c>
      <c r="I228">
        <f>'stuttgart-bkjck-rawbinary'!J228</f>
        <v>0</v>
      </c>
      <c r="J228">
        <f>Weigt!O228</f>
        <v>0</v>
      </c>
      <c r="K228" t="str">
        <f t="shared" si="11"/>
        <v/>
      </c>
    </row>
    <row r="229" spans="1:11" x14ac:dyDescent="0.35">
      <c r="A229" s="2">
        <f>'stuttgart-bkjck-rawbinary'!A229</f>
        <v>3107</v>
      </c>
      <c r="B229" t="str">
        <f ca="1">LOOKUP(A229,'stuttgart-bkjck-rawbinary'!$A$2:$A$449,'stuttgart-bkjck-rawbinary'!$H$2:$H676)</f>
        <v>z</v>
      </c>
      <c r="C229" t="str">
        <f>Weigt!C229</f>
        <v>3107</v>
      </c>
      <c r="D229" t="str">
        <f>Weigt!M229</f>
        <v>z</v>
      </c>
      <c r="E229" t="str">
        <f t="shared" ca="1" si="9"/>
        <v/>
      </c>
      <c r="F229">
        <f>'stuttgart-bkjck-rawbinary'!I229</f>
        <v>10</v>
      </c>
      <c r="G229">
        <f>Weigt!N229</f>
        <v>10</v>
      </c>
      <c r="H229" t="str">
        <f t="shared" si="10"/>
        <v/>
      </c>
      <c r="I229">
        <f>'stuttgart-bkjck-rawbinary'!J229</f>
        <v>20</v>
      </c>
      <c r="J229">
        <f>Weigt!O229</f>
        <v>20</v>
      </c>
      <c r="K229" t="str">
        <f t="shared" si="11"/>
        <v/>
      </c>
    </row>
    <row r="230" spans="1:11" x14ac:dyDescent="0.35">
      <c r="A230" s="2">
        <f>'stuttgart-bkjck-rawbinary'!A230</f>
        <v>3108</v>
      </c>
      <c r="B230" t="str">
        <f ca="1">LOOKUP(A230,'stuttgart-bkjck-rawbinary'!$A$2:$A$449,'stuttgart-bkjck-rawbinary'!$H$2:$H677)</f>
        <v>u</v>
      </c>
      <c r="C230" t="str">
        <f>Weigt!C230</f>
        <v>3108</v>
      </c>
      <c r="D230" t="str">
        <f>Weigt!M230</f>
        <v>u</v>
      </c>
      <c r="E230" t="str">
        <f t="shared" ca="1" si="9"/>
        <v/>
      </c>
      <c r="F230">
        <f>'stuttgart-bkjck-rawbinary'!I230</f>
        <v>62</v>
      </c>
      <c r="G230">
        <f>Weigt!N230</f>
        <v>62</v>
      </c>
      <c r="H230" t="str">
        <f t="shared" si="10"/>
        <v/>
      </c>
      <c r="I230">
        <f>'stuttgart-bkjck-rawbinary'!J230</f>
        <v>31</v>
      </c>
      <c r="J230">
        <f>Weigt!O230</f>
        <v>31</v>
      </c>
      <c r="K230" t="str">
        <f t="shared" si="11"/>
        <v/>
      </c>
    </row>
    <row r="231" spans="1:11" x14ac:dyDescent="0.35">
      <c r="A231" s="2">
        <f>'stuttgart-bkjck-rawbinary'!A231</f>
        <v>3109</v>
      </c>
      <c r="B231" t="str">
        <f ca="1">LOOKUP(A231,'stuttgart-bkjck-rawbinary'!$A$2:$A$449,'stuttgart-bkjck-rawbinary'!$H$2:$H678)</f>
        <v>c</v>
      </c>
      <c r="C231" t="str">
        <f>Weigt!C231</f>
        <v>3109</v>
      </c>
      <c r="D231" t="str">
        <f>Weigt!M231</f>
        <v>c</v>
      </c>
      <c r="E231" t="str">
        <f t="shared" ca="1" si="9"/>
        <v/>
      </c>
      <c r="F231">
        <f>'stuttgart-bkjck-rawbinary'!I231</f>
        <v>51</v>
      </c>
      <c r="G231">
        <f>Weigt!N231</f>
        <v>51</v>
      </c>
      <c r="H231" t="str">
        <f t="shared" si="10"/>
        <v/>
      </c>
      <c r="I231">
        <f>'stuttgart-bkjck-rawbinary'!J231</f>
        <v>45</v>
      </c>
      <c r="J231">
        <f>Weigt!O231</f>
        <v>45</v>
      </c>
      <c r="K231" t="str">
        <f t="shared" si="11"/>
        <v/>
      </c>
    </row>
    <row r="232" spans="1:11" x14ac:dyDescent="0.35">
      <c r="A232" s="2">
        <f>'stuttgart-bkjck-rawbinary'!A232</f>
        <v>3110</v>
      </c>
      <c r="B232" t="str">
        <f ca="1">LOOKUP(A232,'stuttgart-bkjck-rawbinary'!$A$2:$A$449,'stuttgart-bkjck-rawbinary'!$H$2:$H679)</f>
        <v>c</v>
      </c>
      <c r="C232" t="str">
        <f>Weigt!C232</f>
        <v>3110</v>
      </c>
      <c r="D232" t="str">
        <f>Weigt!M232</f>
        <v>c</v>
      </c>
      <c r="E232" t="str">
        <f t="shared" ca="1" si="9"/>
        <v/>
      </c>
      <c r="F232">
        <f>'stuttgart-bkjck-rawbinary'!I232</f>
        <v>51</v>
      </c>
      <c r="G232">
        <f>Weigt!N232</f>
        <v>51</v>
      </c>
      <c r="H232" t="str">
        <f t="shared" si="10"/>
        <v/>
      </c>
      <c r="I232">
        <f>'stuttgart-bkjck-rawbinary'!J232</f>
        <v>45</v>
      </c>
      <c r="J232">
        <f>Weigt!O232</f>
        <v>45</v>
      </c>
      <c r="K232" t="str">
        <f t="shared" si="11"/>
        <v/>
      </c>
    </row>
    <row r="233" spans="1:11" x14ac:dyDescent="0.35">
      <c r="A233" s="2">
        <f>'stuttgart-bkjck-rawbinary'!A233</f>
        <v>3111</v>
      </c>
      <c r="B233" t="str">
        <f ca="1">LOOKUP(A233,'stuttgart-bkjck-rawbinary'!$A$2:$A$449,'stuttgart-bkjck-rawbinary'!$H$2:$H680)</f>
        <v>u</v>
      </c>
      <c r="C233" t="str">
        <f>Weigt!C233</f>
        <v>3111</v>
      </c>
      <c r="D233" t="str">
        <f>Weigt!M233</f>
        <v>u</v>
      </c>
      <c r="E233" t="str">
        <f t="shared" ca="1" si="9"/>
        <v/>
      </c>
      <c r="F233">
        <f>'stuttgart-bkjck-rawbinary'!I233</f>
        <v>49</v>
      </c>
      <c r="G233">
        <f>Weigt!N233</f>
        <v>49</v>
      </c>
      <c r="H233" t="str">
        <f t="shared" si="10"/>
        <v/>
      </c>
      <c r="I233">
        <f>'stuttgart-bkjck-rawbinary'!J233</f>
        <v>12</v>
      </c>
      <c r="J233">
        <f>Weigt!O233</f>
        <v>12</v>
      </c>
      <c r="K233" t="str">
        <f t="shared" si="11"/>
        <v/>
      </c>
    </row>
    <row r="234" spans="1:11" x14ac:dyDescent="0.35">
      <c r="A234" s="2">
        <f>'stuttgart-bkjck-rawbinary'!A234</f>
        <v>3112</v>
      </c>
      <c r="B234" t="str">
        <f ca="1">LOOKUP(A234,'stuttgart-bkjck-rawbinary'!$A$2:$A$449,'stuttgart-bkjck-rawbinary'!$H$2:$H681)</f>
        <v>a</v>
      </c>
      <c r="C234" t="str">
        <f>Weigt!C234</f>
        <v>3112</v>
      </c>
      <c r="D234" t="str">
        <f>Weigt!M234</f>
        <v>a</v>
      </c>
      <c r="E234" t="str">
        <f t="shared" ca="1" si="9"/>
        <v/>
      </c>
      <c r="F234">
        <f>'stuttgart-bkjck-rawbinary'!I234</f>
        <v>46</v>
      </c>
      <c r="G234">
        <f>Weigt!N234</f>
        <v>46</v>
      </c>
      <c r="H234" t="str">
        <f t="shared" si="10"/>
        <v/>
      </c>
      <c r="I234">
        <f>'stuttgart-bkjck-rawbinary'!J234</f>
        <v>35</v>
      </c>
      <c r="J234">
        <f>Weigt!O234</f>
        <v>35</v>
      </c>
      <c r="K234" t="str">
        <f t="shared" si="11"/>
        <v/>
      </c>
    </row>
    <row r="235" spans="1:11" x14ac:dyDescent="0.35">
      <c r="A235" s="2">
        <f>'stuttgart-bkjck-rawbinary'!A235</f>
        <v>3113</v>
      </c>
      <c r="B235" t="str">
        <f ca="1">LOOKUP(A235,'stuttgart-bkjck-rawbinary'!$A$2:$A$449,'stuttgart-bkjck-rawbinary'!$H$2:$H682)</f>
        <v>t</v>
      </c>
      <c r="C235" t="str">
        <f>Weigt!C235</f>
        <v>3113</v>
      </c>
      <c r="D235" t="str">
        <f>Weigt!M235</f>
        <v>t</v>
      </c>
      <c r="E235" t="str">
        <f t="shared" ca="1" si="9"/>
        <v/>
      </c>
      <c r="F235">
        <f>'stuttgart-bkjck-rawbinary'!I235</f>
        <v>48</v>
      </c>
      <c r="G235">
        <f>Weigt!N235</f>
        <v>48</v>
      </c>
      <c r="H235" t="str">
        <f t="shared" si="10"/>
        <v/>
      </c>
      <c r="I235">
        <f>'stuttgart-bkjck-rawbinary'!J235</f>
        <v>53</v>
      </c>
      <c r="J235">
        <f>Weigt!O235</f>
        <v>53</v>
      </c>
      <c r="K235" t="str">
        <f t="shared" si="11"/>
        <v/>
      </c>
    </row>
    <row r="236" spans="1:11" x14ac:dyDescent="0.35">
      <c r="A236" s="2">
        <f>'stuttgart-bkjck-rawbinary'!A236</f>
        <v>3114</v>
      </c>
      <c r="B236" t="str">
        <f ca="1">LOOKUP(A236,'stuttgart-bkjck-rawbinary'!$A$2:$A$449,'stuttgart-bkjck-rawbinary'!$H$2:$H683)</f>
        <v>b</v>
      </c>
      <c r="C236" t="str">
        <f>Weigt!C236</f>
        <v>3114</v>
      </c>
      <c r="D236" t="str">
        <f>Weigt!M236</f>
        <v>b</v>
      </c>
      <c r="E236" t="str">
        <f t="shared" ca="1" si="9"/>
        <v/>
      </c>
      <c r="F236">
        <f>'stuttgart-bkjck-rawbinary'!I236</f>
        <v>46</v>
      </c>
      <c r="G236">
        <f>Weigt!N236</f>
        <v>46</v>
      </c>
      <c r="H236" t="str">
        <f t="shared" si="10"/>
        <v/>
      </c>
      <c r="I236">
        <f>'stuttgart-bkjck-rawbinary'!J236</f>
        <v>35</v>
      </c>
      <c r="J236">
        <f>Weigt!O236</f>
        <v>35</v>
      </c>
      <c r="K236" t="str">
        <f t="shared" si="11"/>
        <v/>
      </c>
    </row>
    <row r="237" spans="1:11" x14ac:dyDescent="0.35">
      <c r="A237" s="2">
        <f>'stuttgart-bkjck-rawbinary'!A237</f>
        <v>3115</v>
      </c>
      <c r="B237" t="str">
        <f ca="1">LOOKUP(A237,'stuttgart-bkjck-rawbinary'!$A$2:$A$449,'stuttgart-bkjck-rawbinary'!$H$2:$H684)</f>
        <v>s</v>
      </c>
      <c r="C237" t="str">
        <f>Weigt!C237</f>
        <v>3115</v>
      </c>
      <c r="D237" t="str">
        <f>Weigt!M237</f>
        <v>s</v>
      </c>
      <c r="E237" t="str">
        <f t="shared" ca="1" si="9"/>
        <v/>
      </c>
      <c r="F237">
        <f>'stuttgart-bkjck-rawbinary'!I237</f>
        <v>50</v>
      </c>
      <c r="G237">
        <f>Weigt!N237</f>
        <v>50</v>
      </c>
      <c r="H237" t="str">
        <f t="shared" si="10"/>
        <v/>
      </c>
      <c r="I237">
        <f>'stuttgart-bkjck-rawbinary'!J237</f>
        <v>31</v>
      </c>
      <c r="J237">
        <f>Weigt!O237</f>
        <v>31</v>
      </c>
      <c r="K237" t="str">
        <f t="shared" si="11"/>
        <v/>
      </c>
    </row>
    <row r="238" spans="1:11" x14ac:dyDescent="0.35">
      <c r="A238" s="2">
        <f>'stuttgart-bkjck-rawbinary'!A238</f>
        <v>3116</v>
      </c>
      <c r="B238" t="str">
        <f ca="1">LOOKUP(A238,'stuttgart-bkjck-rawbinary'!$A$2:$A$449,'stuttgart-bkjck-rawbinary'!$H$2:$H685)</f>
        <v>t</v>
      </c>
      <c r="C238" t="str">
        <f>Weigt!C238</f>
        <v>3116</v>
      </c>
      <c r="D238" t="str">
        <f>Weigt!M238</f>
        <v>t</v>
      </c>
      <c r="E238" t="str">
        <f t="shared" ca="1" si="9"/>
        <v/>
      </c>
      <c r="F238">
        <f>'stuttgart-bkjck-rawbinary'!I238</f>
        <v>48</v>
      </c>
      <c r="G238">
        <f>Weigt!N238</f>
        <v>48</v>
      </c>
      <c r="H238" t="str">
        <f t="shared" si="10"/>
        <v/>
      </c>
      <c r="I238">
        <f>'stuttgart-bkjck-rawbinary'!J238</f>
        <v>53</v>
      </c>
      <c r="J238">
        <f>Weigt!O238</f>
        <v>53</v>
      </c>
      <c r="K238" t="str">
        <f t="shared" si="11"/>
        <v/>
      </c>
    </row>
    <row r="239" spans="1:11" x14ac:dyDescent="0.35">
      <c r="A239" s="2">
        <f>'stuttgart-bkjck-rawbinary'!A239</f>
        <v>3117</v>
      </c>
      <c r="B239" t="str">
        <f ca="1">LOOKUP(A239,'stuttgart-bkjck-rawbinary'!$A$2:$A$449,'stuttgart-bkjck-rawbinary'!$H$2:$H686)</f>
        <v>r</v>
      </c>
      <c r="C239" t="str">
        <f>Weigt!C239</f>
        <v>3117</v>
      </c>
      <c r="D239" t="str">
        <f>Weigt!M239</f>
        <v>r</v>
      </c>
      <c r="E239" t="str">
        <f t="shared" ca="1" si="9"/>
        <v/>
      </c>
      <c r="F239">
        <f>'stuttgart-bkjck-rawbinary'!I239</f>
        <v>51</v>
      </c>
      <c r="G239">
        <f>Weigt!N239</f>
        <v>51</v>
      </c>
      <c r="H239" t="str">
        <f t="shared" si="10"/>
        <v/>
      </c>
      <c r="I239">
        <f>'stuttgart-bkjck-rawbinary'!J239</f>
        <v>0</v>
      </c>
      <c r="J239">
        <f>Weigt!O239</f>
        <v>0</v>
      </c>
      <c r="K239" t="str">
        <f t="shared" si="11"/>
        <v/>
      </c>
    </row>
    <row r="240" spans="1:11" x14ac:dyDescent="0.35">
      <c r="A240" s="2">
        <f>'stuttgart-bkjck-rawbinary'!A240</f>
        <v>3118</v>
      </c>
      <c r="B240" t="str">
        <f ca="1">LOOKUP(A240,'stuttgart-bkjck-rawbinary'!$A$2:$A$449,'stuttgart-bkjck-rawbinary'!$H$2:$H687)</f>
        <v>u</v>
      </c>
      <c r="C240" t="str">
        <f>Weigt!C240</f>
        <v>3118</v>
      </c>
      <c r="D240" t="str">
        <f>Weigt!M240</f>
        <v>u</v>
      </c>
      <c r="E240" t="str">
        <f t="shared" ca="1" si="9"/>
        <v/>
      </c>
      <c r="F240">
        <f>'stuttgart-bkjck-rawbinary'!I240</f>
        <v>51</v>
      </c>
      <c r="G240">
        <f>Weigt!N240</f>
        <v>51</v>
      </c>
      <c r="H240" t="str">
        <f t="shared" si="10"/>
        <v/>
      </c>
      <c r="I240">
        <f>'stuttgart-bkjck-rawbinary'!J240</f>
        <v>0</v>
      </c>
      <c r="J240">
        <f>Weigt!O240</f>
        <v>0</v>
      </c>
      <c r="K240" t="str">
        <f t="shared" si="11"/>
        <v/>
      </c>
    </row>
    <row r="241" spans="1:11" x14ac:dyDescent="0.35">
      <c r="A241" s="2">
        <f>'stuttgart-bkjck-rawbinary'!A241</f>
        <v>3119</v>
      </c>
      <c r="B241" t="str">
        <f ca="1">LOOKUP(A241,'stuttgart-bkjck-rawbinary'!$A$2:$A$449,'stuttgart-bkjck-rawbinary'!$H$2:$H688)</f>
        <v>z</v>
      </c>
      <c r="C241" t="str">
        <f>Weigt!C241</f>
        <v>3119</v>
      </c>
      <c r="D241" t="str">
        <f>Weigt!M241</f>
        <v>z</v>
      </c>
      <c r="E241" t="str">
        <f t="shared" ca="1" si="9"/>
        <v/>
      </c>
      <c r="F241">
        <f>'stuttgart-bkjck-rawbinary'!I241</f>
        <v>10</v>
      </c>
      <c r="G241">
        <f>Weigt!N241</f>
        <v>10</v>
      </c>
      <c r="H241" t="str">
        <f t="shared" si="10"/>
        <v/>
      </c>
      <c r="I241">
        <f>'stuttgart-bkjck-rawbinary'!J241</f>
        <v>3</v>
      </c>
      <c r="J241">
        <f>Weigt!O241</f>
        <v>3</v>
      </c>
      <c r="K241" t="str">
        <f t="shared" si="11"/>
        <v/>
      </c>
    </row>
    <row r="242" spans="1:11" x14ac:dyDescent="0.35">
      <c r="A242" s="2">
        <f>'stuttgart-bkjck-rawbinary'!A242</f>
        <v>3120</v>
      </c>
      <c r="B242" t="str">
        <f ca="1">LOOKUP(A242,'stuttgart-bkjck-rawbinary'!$A$2:$A$449,'stuttgart-bkjck-rawbinary'!$H$2:$H689)</f>
        <v>u</v>
      </c>
      <c r="C242" t="str">
        <f>Weigt!C242</f>
        <v>3120</v>
      </c>
      <c r="D242" t="str">
        <f>Weigt!M242</f>
        <v>u</v>
      </c>
      <c r="E242" t="str">
        <f t="shared" ca="1" si="9"/>
        <v/>
      </c>
      <c r="F242">
        <f>'stuttgart-bkjck-rawbinary'!I242</f>
        <v>44</v>
      </c>
      <c r="G242">
        <f>Weigt!N242</f>
        <v>44</v>
      </c>
      <c r="H242" t="str">
        <f t="shared" si="10"/>
        <v/>
      </c>
      <c r="I242">
        <f>'stuttgart-bkjck-rawbinary'!J242</f>
        <v>25</v>
      </c>
      <c r="J242">
        <f>Weigt!O242</f>
        <v>25</v>
      </c>
      <c r="K242" t="str">
        <f t="shared" si="11"/>
        <v/>
      </c>
    </row>
    <row r="243" spans="1:11" x14ac:dyDescent="0.35">
      <c r="A243" s="2">
        <f>'stuttgart-bkjck-rawbinary'!A243</f>
        <v>3121</v>
      </c>
      <c r="B243" t="str">
        <f ca="1">LOOKUP(A243,'stuttgart-bkjck-rawbinary'!$A$2:$A$449,'stuttgart-bkjck-rawbinary'!$H$2:$H690)</f>
        <v>u</v>
      </c>
      <c r="C243" t="str">
        <f>Weigt!C243</f>
        <v>3121</v>
      </c>
      <c r="D243" t="str">
        <f>Weigt!M243</f>
        <v>u</v>
      </c>
      <c r="E243" t="str">
        <f t="shared" ca="1" si="9"/>
        <v/>
      </c>
      <c r="F243">
        <f>'stuttgart-bkjck-rawbinary'!I243</f>
        <v>44</v>
      </c>
      <c r="G243">
        <f>Weigt!N243</f>
        <v>44</v>
      </c>
      <c r="H243" t="str">
        <f t="shared" si="10"/>
        <v/>
      </c>
      <c r="I243">
        <f>'stuttgart-bkjck-rawbinary'!J243</f>
        <v>31</v>
      </c>
      <c r="J243">
        <f>Weigt!O243</f>
        <v>31</v>
      </c>
      <c r="K243" t="str">
        <f t="shared" si="11"/>
        <v/>
      </c>
    </row>
    <row r="244" spans="1:11" x14ac:dyDescent="0.35">
      <c r="A244" s="2">
        <f>'stuttgart-bkjck-rawbinary'!A244</f>
        <v>3122</v>
      </c>
      <c r="B244" t="str">
        <f ca="1">LOOKUP(A244,'stuttgart-bkjck-rawbinary'!$A$2:$A$449,'stuttgart-bkjck-rawbinary'!$H$2:$H691)</f>
        <v>b</v>
      </c>
      <c r="C244" t="str">
        <f>Weigt!C244</f>
        <v>3122</v>
      </c>
      <c r="D244" t="str">
        <f>Weigt!M244</f>
        <v>b</v>
      </c>
      <c r="E244" t="str">
        <f t="shared" ca="1" si="9"/>
        <v/>
      </c>
      <c r="F244">
        <f>'stuttgart-bkjck-rawbinary'!I244</f>
        <v>46</v>
      </c>
      <c r="G244">
        <f>Weigt!N244</f>
        <v>46</v>
      </c>
      <c r="H244" t="str">
        <f t="shared" si="10"/>
        <v/>
      </c>
      <c r="I244">
        <f>'stuttgart-bkjck-rawbinary'!J244</f>
        <v>30</v>
      </c>
      <c r="J244">
        <f>Weigt!O244</f>
        <v>30</v>
      </c>
      <c r="K244" t="str">
        <f t="shared" si="11"/>
        <v/>
      </c>
    </row>
    <row r="245" spans="1:11" x14ac:dyDescent="0.35">
      <c r="A245" s="2">
        <f>'stuttgart-bkjck-rawbinary'!A245</f>
        <v>3123</v>
      </c>
      <c r="B245" t="str">
        <f ca="1">LOOKUP(A245,'stuttgart-bkjck-rawbinary'!$A$2:$A$449,'stuttgart-bkjck-rawbinary'!$H$2:$H692)</f>
        <v>c</v>
      </c>
      <c r="C245" t="str">
        <f>Weigt!C245</f>
        <v>3123</v>
      </c>
      <c r="D245" t="str">
        <f>Weigt!M245</f>
        <v>c</v>
      </c>
      <c r="E245" t="str">
        <f t="shared" ca="1" si="9"/>
        <v/>
      </c>
      <c r="F245">
        <f>'stuttgart-bkjck-rawbinary'!I245</f>
        <v>47</v>
      </c>
      <c r="G245">
        <f>Weigt!N245</f>
        <v>47</v>
      </c>
      <c r="H245" t="str">
        <f t="shared" si="10"/>
        <v/>
      </c>
      <c r="I245">
        <f>'stuttgart-bkjck-rawbinary'!J245</f>
        <v>35</v>
      </c>
      <c r="J245">
        <f>Weigt!O245</f>
        <v>35</v>
      </c>
      <c r="K245" t="str">
        <f t="shared" si="11"/>
        <v/>
      </c>
    </row>
    <row r="246" spans="1:11" x14ac:dyDescent="0.35">
      <c r="A246" s="2">
        <f>'stuttgart-bkjck-rawbinary'!A246</f>
        <v>3124</v>
      </c>
      <c r="B246" t="str">
        <f ca="1">LOOKUP(A246,'stuttgart-bkjck-rawbinary'!$A$2:$A$449,'stuttgart-bkjck-rawbinary'!$H$2:$H693)</f>
        <v>u</v>
      </c>
      <c r="C246" t="str">
        <f>Weigt!C246</f>
        <v>3124</v>
      </c>
      <c r="D246" t="str">
        <f>Weigt!M246</f>
        <v>u</v>
      </c>
      <c r="E246" t="str">
        <f t="shared" ca="1" si="9"/>
        <v/>
      </c>
      <c r="F246">
        <f>'stuttgart-bkjck-rawbinary'!I246</f>
        <v>48</v>
      </c>
      <c r="G246">
        <f>Weigt!N246</f>
        <v>48</v>
      </c>
      <c r="H246" t="str">
        <f t="shared" si="10"/>
        <v/>
      </c>
      <c r="I246">
        <f>'stuttgart-bkjck-rawbinary'!J246</f>
        <v>61</v>
      </c>
      <c r="J246">
        <f>Weigt!O246</f>
        <v>61</v>
      </c>
      <c r="K246" t="str">
        <f t="shared" si="11"/>
        <v/>
      </c>
    </row>
    <row r="247" spans="1:11" x14ac:dyDescent="0.35">
      <c r="A247" s="2">
        <f>'stuttgart-bkjck-rawbinary'!A247</f>
        <v>3125</v>
      </c>
      <c r="B247" t="str">
        <f ca="1">LOOKUP(A247,'stuttgart-bkjck-rawbinary'!$A$2:$A$449,'stuttgart-bkjck-rawbinary'!$H$2:$H694)</f>
        <v>b</v>
      </c>
      <c r="C247" t="str">
        <f>Weigt!C247</f>
        <v>3125</v>
      </c>
      <c r="D247" t="str">
        <f>Weigt!M247</f>
        <v>b</v>
      </c>
      <c r="E247" t="str">
        <f t="shared" ca="1" si="9"/>
        <v/>
      </c>
      <c r="F247">
        <f>'stuttgart-bkjck-rawbinary'!I247</f>
        <v>50</v>
      </c>
      <c r="G247">
        <f>Weigt!N247</f>
        <v>50</v>
      </c>
      <c r="H247" t="str">
        <f t="shared" si="10"/>
        <v/>
      </c>
      <c r="I247">
        <f>'stuttgart-bkjck-rawbinary'!J247</f>
        <v>31</v>
      </c>
      <c r="J247">
        <f>Weigt!O247</f>
        <v>31</v>
      </c>
      <c r="K247" t="str">
        <f t="shared" si="11"/>
        <v/>
      </c>
    </row>
    <row r="248" spans="1:11" x14ac:dyDescent="0.35">
      <c r="A248" s="2">
        <f>'stuttgart-bkjck-rawbinary'!A248</f>
        <v>3126</v>
      </c>
      <c r="B248" t="str">
        <f ca="1">LOOKUP(A248,'stuttgart-bkjck-rawbinary'!$A$2:$A$449,'stuttgart-bkjck-rawbinary'!$H$2:$H695)</f>
        <v>s</v>
      </c>
      <c r="C248" t="str">
        <f>Weigt!C248</f>
        <v>3126</v>
      </c>
      <c r="D248" t="str">
        <f>Weigt!M248</f>
        <v>s</v>
      </c>
      <c r="E248" t="str">
        <f t="shared" ca="1" si="9"/>
        <v/>
      </c>
      <c r="F248">
        <f>'stuttgart-bkjck-rawbinary'!I248</f>
        <v>46</v>
      </c>
      <c r="G248">
        <f>Weigt!N248</f>
        <v>46</v>
      </c>
      <c r="H248" t="str">
        <f t="shared" si="10"/>
        <v/>
      </c>
      <c r="I248">
        <f>'stuttgart-bkjck-rawbinary'!J248</f>
        <v>63</v>
      </c>
      <c r="J248">
        <f>Weigt!O248</f>
        <v>63</v>
      </c>
      <c r="K248" t="str">
        <f t="shared" si="11"/>
        <v/>
      </c>
    </row>
    <row r="249" spans="1:11" x14ac:dyDescent="0.35">
      <c r="A249" s="2">
        <f>'stuttgart-bkjck-rawbinary'!A249</f>
        <v>3127</v>
      </c>
      <c r="B249" t="str">
        <f ca="1">LOOKUP(A249,'stuttgart-bkjck-rawbinary'!$A$2:$A$449,'stuttgart-bkjck-rawbinary'!$H$2:$H696)</f>
        <v>t</v>
      </c>
      <c r="C249" t="str">
        <f>Weigt!C249</f>
        <v>3127</v>
      </c>
      <c r="D249" t="str">
        <f>Weigt!M249</f>
        <v>t</v>
      </c>
      <c r="E249" t="str">
        <f t="shared" ca="1" si="9"/>
        <v/>
      </c>
      <c r="F249">
        <f>'stuttgart-bkjck-rawbinary'!I249</f>
        <v>49</v>
      </c>
      <c r="G249">
        <f>Weigt!N249</f>
        <v>49</v>
      </c>
      <c r="H249" t="str">
        <f t="shared" si="10"/>
        <v/>
      </c>
      <c r="I249">
        <f>'stuttgart-bkjck-rawbinary'!J249</f>
        <v>4</v>
      </c>
      <c r="J249">
        <f>Weigt!O249</f>
        <v>4</v>
      </c>
      <c r="K249" t="str">
        <f t="shared" si="11"/>
        <v/>
      </c>
    </row>
    <row r="250" spans="1:11" x14ac:dyDescent="0.35">
      <c r="A250" s="2">
        <f>'stuttgart-bkjck-rawbinary'!A250</f>
        <v>3128</v>
      </c>
      <c r="B250" t="str">
        <f ca="1">LOOKUP(A250,'stuttgart-bkjck-rawbinary'!$A$2:$A$449,'stuttgart-bkjck-rawbinary'!$H$2:$H697)</f>
        <v>r</v>
      </c>
      <c r="C250" t="str">
        <f>Weigt!C250</f>
        <v>3128</v>
      </c>
      <c r="D250" t="str">
        <f>Weigt!M250</f>
        <v>r</v>
      </c>
      <c r="E250" t="str">
        <f t="shared" ca="1" si="9"/>
        <v/>
      </c>
      <c r="F250">
        <f>'stuttgart-bkjck-rawbinary'!I250</f>
        <v>51</v>
      </c>
      <c r="G250">
        <f>Weigt!N250</f>
        <v>51</v>
      </c>
      <c r="H250" t="str">
        <f t="shared" si="10"/>
        <v/>
      </c>
      <c r="I250">
        <f>'stuttgart-bkjck-rawbinary'!J250</f>
        <v>0</v>
      </c>
      <c r="J250">
        <f>Weigt!O250</f>
        <v>0</v>
      </c>
      <c r="K250" t="str">
        <f t="shared" si="11"/>
        <v/>
      </c>
    </row>
    <row r="251" spans="1:11" x14ac:dyDescent="0.35">
      <c r="A251" s="2">
        <f>'stuttgart-bkjck-rawbinary'!A251</f>
        <v>3129</v>
      </c>
      <c r="B251" t="str">
        <f ca="1">LOOKUP(A251,'stuttgart-bkjck-rawbinary'!$A$2:$A$449,'stuttgart-bkjck-rawbinary'!$H$2:$H698)</f>
        <v>u</v>
      </c>
      <c r="C251" t="str">
        <f>Weigt!C251</f>
        <v>3129</v>
      </c>
      <c r="D251" t="str">
        <f>Weigt!M251</f>
        <v>u</v>
      </c>
      <c r="E251" t="str">
        <f t="shared" ca="1" si="9"/>
        <v/>
      </c>
      <c r="F251">
        <f>'stuttgart-bkjck-rawbinary'!I251</f>
        <v>51</v>
      </c>
      <c r="G251">
        <f>Weigt!N251</f>
        <v>51</v>
      </c>
      <c r="H251" t="str">
        <f t="shared" si="10"/>
        <v/>
      </c>
      <c r="I251">
        <f>'stuttgart-bkjck-rawbinary'!J251</f>
        <v>0</v>
      </c>
      <c r="J251">
        <f>Weigt!O251</f>
        <v>0</v>
      </c>
      <c r="K251" t="str">
        <f t="shared" si="11"/>
        <v/>
      </c>
    </row>
    <row r="252" spans="1:11" x14ac:dyDescent="0.35">
      <c r="A252" s="2">
        <f>'stuttgart-bkjck-rawbinary'!A252</f>
        <v>3130</v>
      </c>
      <c r="B252" t="str">
        <f ca="1">LOOKUP(A252,'stuttgart-bkjck-rawbinary'!$A$2:$A$449,'stuttgart-bkjck-rawbinary'!$H$2:$H699)</f>
        <v>z</v>
      </c>
      <c r="C252" t="str">
        <f>Weigt!C252</f>
        <v>3130</v>
      </c>
      <c r="D252" t="str">
        <f>Weigt!M252</f>
        <v>z</v>
      </c>
      <c r="E252" t="str">
        <f t="shared" ca="1" si="9"/>
        <v/>
      </c>
      <c r="F252">
        <f>'stuttgart-bkjck-rawbinary'!I252</f>
        <v>44</v>
      </c>
      <c r="G252">
        <f>Weigt!N252</f>
        <v>44</v>
      </c>
      <c r="H252" t="str">
        <f t="shared" si="10"/>
        <v/>
      </c>
      <c r="I252">
        <f>'stuttgart-bkjck-rawbinary'!J252</f>
        <v>1</v>
      </c>
      <c r="J252">
        <f>Weigt!O252</f>
        <v>1</v>
      </c>
      <c r="K252" t="str">
        <f t="shared" si="11"/>
        <v/>
      </c>
    </row>
    <row r="253" spans="1:11" x14ac:dyDescent="0.35">
      <c r="A253" s="2">
        <f>'stuttgart-bkjck-rawbinary'!A253</f>
        <v>3131</v>
      </c>
      <c r="B253" t="str">
        <f ca="1">LOOKUP(A253,'stuttgart-bkjck-rawbinary'!$A$2:$A$449,'stuttgart-bkjck-rawbinary'!$H$2:$H700)</f>
        <v>y</v>
      </c>
      <c r="C253" t="str">
        <f>Weigt!C253</f>
        <v>3131</v>
      </c>
      <c r="D253" t="str">
        <f>Weigt!M253</f>
        <v>y</v>
      </c>
      <c r="E253" t="str">
        <f t="shared" ca="1" si="9"/>
        <v/>
      </c>
      <c r="F253">
        <f>'stuttgart-bkjck-rawbinary'!I253</f>
        <v>26</v>
      </c>
      <c r="G253">
        <f>Weigt!N253</f>
        <v>26</v>
      </c>
      <c r="H253" t="str">
        <f t="shared" si="10"/>
        <v/>
      </c>
      <c r="I253">
        <f>'stuttgart-bkjck-rawbinary'!J253</f>
        <v>10</v>
      </c>
      <c r="J253">
        <f>Weigt!O253</f>
        <v>10</v>
      </c>
      <c r="K253" t="str">
        <f t="shared" si="11"/>
        <v/>
      </c>
    </row>
    <row r="254" spans="1:11" x14ac:dyDescent="0.35">
      <c r="A254" s="2">
        <f>'stuttgart-bkjck-rawbinary'!A254</f>
        <v>3132</v>
      </c>
      <c r="B254" t="str">
        <f ca="1">LOOKUP(A254,'stuttgart-bkjck-rawbinary'!$A$2:$A$449,'stuttgart-bkjck-rawbinary'!$H$2:$H701)</f>
        <v>a</v>
      </c>
      <c r="C254" t="str">
        <f>Weigt!C254</f>
        <v>3132</v>
      </c>
      <c r="D254" t="str">
        <f>Weigt!M254</f>
        <v>a</v>
      </c>
      <c r="E254" t="str">
        <f t="shared" ca="1" si="9"/>
        <v/>
      </c>
      <c r="F254">
        <f>'stuttgart-bkjck-rawbinary'!I254</f>
        <v>62</v>
      </c>
      <c r="G254">
        <f>Weigt!N254</f>
        <v>62</v>
      </c>
      <c r="H254" t="str">
        <f t="shared" si="10"/>
        <v/>
      </c>
      <c r="I254">
        <f>'stuttgart-bkjck-rawbinary'!J254</f>
        <v>31</v>
      </c>
      <c r="J254">
        <f>Weigt!O254</f>
        <v>31</v>
      </c>
      <c r="K254" t="str">
        <f t="shared" si="11"/>
        <v/>
      </c>
    </row>
    <row r="255" spans="1:11" x14ac:dyDescent="0.35">
      <c r="A255" s="2">
        <f>'stuttgart-bkjck-rawbinary'!A255</f>
        <v>3133</v>
      </c>
      <c r="B255" t="str">
        <f ca="1">LOOKUP(A255,'stuttgart-bkjck-rawbinary'!$A$2:$A$449,'stuttgart-bkjck-rawbinary'!$H$2:$H702)</f>
        <v>b</v>
      </c>
      <c r="C255" t="str">
        <f>Weigt!C255</f>
        <v>3133</v>
      </c>
      <c r="D255" t="str">
        <f>Weigt!M255</f>
        <v>b</v>
      </c>
      <c r="E255" t="str">
        <f t="shared" ca="1" si="9"/>
        <v/>
      </c>
      <c r="F255">
        <f>'stuttgart-bkjck-rawbinary'!I255</f>
        <v>46</v>
      </c>
      <c r="G255">
        <f>Weigt!N255</f>
        <v>46</v>
      </c>
      <c r="H255" t="str">
        <f t="shared" si="10"/>
        <v/>
      </c>
      <c r="I255">
        <f>'stuttgart-bkjck-rawbinary'!J255</f>
        <v>41</v>
      </c>
      <c r="J255">
        <f>Weigt!O255</f>
        <v>41</v>
      </c>
      <c r="K255" t="str">
        <f t="shared" si="11"/>
        <v/>
      </c>
    </row>
    <row r="256" spans="1:11" x14ac:dyDescent="0.35">
      <c r="A256" s="2">
        <f>'stuttgart-bkjck-rawbinary'!A256</f>
        <v>3134</v>
      </c>
      <c r="B256" t="str">
        <f ca="1">LOOKUP(A256,'stuttgart-bkjck-rawbinary'!$A$2:$A$449,'stuttgart-bkjck-rawbinary'!$H$2:$H703)</f>
        <v>c</v>
      </c>
      <c r="C256" t="str">
        <f>Weigt!C256</f>
        <v>3134</v>
      </c>
      <c r="D256" t="str">
        <f>Weigt!M256</f>
        <v>c</v>
      </c>
      <c r="E256" t="str">
        <f t="shared" ca="1" si="9"/>
        <v/>
      </c>
      <c r="F256">
        <f>'stuttgart-bkjck-rawbinary'!I256</f>
        <v>51</v>
      </c>
      <c r="G256">
        <f>Weigt!N256</f>
        <v>51</v>
      </c>
      <c r="H256" t="str">
        <f t="shared" si="10"/>
        <v/>
      </c>
      <c r="I256">
        <f>'stuttgart-bkjck-rawbinary'!J256</f>
        <v>45</v>
      </c>
      <c r="J256">
        <f>Weigt!O256</f>
        <v>45</v>
      </c>
      <c r="K256" t="str">
        <f t="shared" si="11"/>
        <v/>
      </c>
    </row>
    <row r="257" spans="1:11" x14ac:dyDescent="0.35">
      <c r="A257" s="2">
        <f>'stuttgart-bkjck-rawbinary'!A257</f>
        <v>3135</v>
      </c>
      <c r="B257" t="str">
        <f ca="1">LOOKUP(A257,'stuttgart-bkjck-rawbinary'!$A$2:$A$449,'stuttgart-bkjck-rawbinary'!$H$2:$H704)</f>
        <v>b</v>
      </c>
      <c r="C257" t="str">
        <f>Weigt!C257</f>
        <v>3135</v>
      </c>
      <c r="D257" t="str">
        <f>Weigt!M257</f>
        <v>b</v>
      </c>
      <c r="E257" t="str">
        <f t="shared" ca="1" si="9"/>
        <v/>
      </c>
      <c r="F257">
        <f>'stuttgart-bkjck-rawbinary'!I257</f>
        <v>50</v>
      </c>
      <c r="G257">
        <f>Weigt!N257</f>
        <v>50</v>
      </c>
      <c r="H257" t="str">
        <f t="shared" si="10"/>
        <v/>
      </c>
      <c r="I257">
        <f>'stuttgart-bkjck-rawbinary'!J257</f>
        <v>30</v>
      </c>
      <c r="J257">
        <f>Weigt!O257</f>
        <v>30</v>
      </c>
      <c r="K257" t="str">
        <f t="shared" si="11"/>
        <v/>
      </c>
    </row>
    <row r="258" spans="1:11" x14ac:dyDescent="0.35">
      <c r="A258" s="2">
        <f>'stuttgart-bkjck-rawbinary'!A258</f>
        <v>3136</v>
      </c>
      <c r="B258" t="str">
        <f ca="1">LOOKUP(A258,'stuttgart-bkjck-rawbinary'!$A$2:$A$449,'stuttgart-bkjck-rawbinary'!$H$2:$H705)</f>
        <v>a</v>
      </c>
      <c r="C258" t="str">
        <f>Weigt!C258</f>
        <v>3136</v>
      </c>
      <c r="D258" t="str">
        <f>Weigt!M258</f>
        <v>a</v>
      </c>
      <c r="E258" t="str">
        <f t="shared" ca="1" si="9"/>
        <v/>
      </c>
      <c r="F258">
        <f>'stuttgart-bkjck-rawbinary'!I258</f>
        <v>46</v>
      </c>
      <c r="G258">
        <f>Weigt!N258</f>
        <v>46</v>
      </c>
      <c r="H258" t="str">
        <f t="shared" si="10"/>
        <v/>
      </c>
      <c r="I258">
        <f>'stuttgart-bkjck-rawbinary'!J258</f>
        <v>35</v>
      </c>
      <c r="J258">
        <f>Weigt!O258</f>
        <v>35</v>
      </c>
      <c r="K258" t="str">
        <f t="shared" si="11"/>
        <v/>
      </c>
    </row>
    <row r="259" spans="1:11" x14ac:dyDescent="0.35">
      <c r="A259" s="2">
        <f>'stuttgart-bkjck-rawbinary'!A259</f>
        <v>3137</v>
      </c>
      <c r="B259" t="str">
        <f ca="1">LOOKUP(A259,'stuttgart-bkjck-rawbinary'!$A$2:$A$449,'stuttgart-bkjck-rawbinary'!$H$2:$H706)</f>
        <v>c</v>
      </c>
      <c r="C259" t="str">
        <f>Weigt!C259</f>
        <v>3137</v>
      </c>
      <c r="D259" t="str">
        <f>Weigt!M259</f>
        <v>c</v>
      </c>
      <c r="E259" t="str">
        <f t="shared" ref="E259:E322" ca="1" si="12">IF(B259&lt;&gt;D259,"*","")</f>
        <v/>
      </c>
      <c r="F259">
        <f>'stuttgart-bkjck-rawbinary'!I259</f>
        <v>50</v>
      </c>
      <c r="G259">
        <f>Weigt!N259</f>
        <v>50</v>
      </c>
      <c r="H259" t="str">
        <f t="shared" ref="H259:H322" si="13">IF(F259&lt;&gt;G259,"*","")</f>
        <v/>
      </c>
      <c r="I259">
        <f>'stuttgart-bkjck-rawbinary'!J259</f>
        <v>30</v>
      </c>
      <c r="J259">
        <f>Weigt!O259</f>
        <v>30</v>
      </c>
      <c r="K259" t="str">
        <f t="shared" ref="K259:K322" si="14">IF(I259&lt;&gt;J259,"*","")</f>
        <v/>
      </c>
    </row>
    <row r="260" spans="1:11" x14ac:dyDescent="0.35">
      <c r="A260" s="2">
        <f>'stuttgart-bkjck-rawbinary'!A260</f>
        <v>3138</v>
      </c>
      <c r="B260" t="str">
        <f ca="1">LOOKUP(A260,'stuttgart-bkjck-rawbinary'!$A$2:$A$449,'stuttgart-bkjck-rawbinary'!$H$2:$H707)</f>
        <v>u</v>
      </c>
      <c r="C260" t="str">
        <f>Weigt!C260</f>
        <v>3138</v>
      </c>
      <c r="D260" t="str">
        <f>Weigt!M260</f>
        <v>u</v>
      </c>
      <c r="E260" t="str">
        <f t="shared" ca="1" si="12"/>
        <v/>
      </c>
      <c r="F260">
        <f>'stuttgart-bkjck-rawbinary'!I260</f>
        <v>49</v>
      </c>
      <c r="G260">
        <f>Weigt!N260</f>
        <v>49</v>
      </c>
      <c r="H260" t="str">
        <f t="shared" si="13"/>
        <v/>
      </c>
      <c r="I260">
        <f>'stuttgart-bkjck-rawbinary'!J260</f>
        <v>12</v>
      </c>
      <c r="J260">
        <f>Weigt!O260</f>
        <v>12</v>
      </c>
      <c r="K260" t="str">
        <f t="shared" si="14"/>
        <v/>
      </c>
    </row>
    <row r="261" spans="1:11" x14ac:dyDescent="0.35">
      <c r="A261" s="2">
        <f>'stuttgart-bkjck-rawbinary'!A261</f>
        <v>3139</v>
      </c>
      <c r="B261" t="str">
        <f ca="1">LOOKUP(A261,'stuttgart-bkjck-rawbinary'!$A$2:$A$449,'stuttgart-bkjck-rawbinary'!$H$2:$H708)</f>
        <v>z</v>
      </c>
      <c r="C261" t="str">
        <f>Weigt!C261</f>
        <v>3139</v>
      </c>
      <c r="D261" t="str">
        <f>Weigt!M261</f>
        <v>z</v>
      </c>
      <c r="E261" t="str">
        <f t="shared" ca="1" si="12"/>
        <v/>
      </c>
      <c r="F261">
        <f>'stuttgart-bkjck-rawbinary'!I261</f>
        <v>1</v>
      </c>
      <c r="G261">
        <f>Weigt!N261</f>
        <v>1</v>
      </c>
      <c r="H261" t="str">
        <f t="shared" si="13"/>
        <v/>
      </c>
      <c r="I261">
        <f>'stuttgart-bkjck-rawbinary'!J261</f>
        <v>0</v>
      </c>
      <c r="J261">
        <f>Weigt!O261</f>
        <v>0</v>
      </c>
      <c r="K261" t="str">
        <f t="shared" si="14"/>
        <v/>
      </c>
    </row>
    <row r="262" spans="1:11" x14ac:dyDescent="0.35">
      <c r="A262" s="2">
        <f>'stuttgart-bkjck-rawbinary'!A262</f>
        <v>3140</v>
      </c>
      <c r="B262" t="str">
        <f ca="1">LOOKUP(A262,'stuttgart-bkjck-rawbinary'!$A$2:$A$449,'stuttgart-bkjck-rawbinary'!$H$2:$H709)</f>
        <v>r</v>
      </c>
      <c r="C262" t="str">
        <f>Weigt!C262</f>
        <v>3140</v>
      </c>
      <c r="D262" t="str">
        <f>Weigt!M262</f>
        <v>r</v>
      </c>
      <c r="E262" t="str">
        <f t="shared" ca="1" si="12"/>
        <v/>
      </c>
      <c r="F262">
        <f>'stuttgart-bkjck-rawbinary'!I262</f>
        <v>51</v>
      </c>
      <c r="G262">
        <f>Weigt!N262</f>
        <v>51</v>
      </c>
      <c r="H262" t="str">
        <f t="shared" si="13"/>
        <v/>
      </c>
      <c r="I262">
        <f>'stuttgart-bkjck-rawbinary'!J262</f>
        <v>0</v>
      </c>
      <c r="J262">
        <f>Weigt!O262</f>
        <v>0</v>
      </c>
      <c r="K262" t="str">
        <f t="shared" si="14"/>
        <v/>
      </c>
    </row>
    <row r="263" spans="1:11" x14ac:dyDescent="0.35">
      <c r="A263" s="2">
        <f>'stuttgart-bkjck-rawbinary'!A263</f>
        <v>3141</v>
      </c>
      <c r="B263" t="str">
        <f ca="1">LOOKUP(A263,'stuttgart-bkjck-rawbinary'!$A$2:$A$449,'stuttgart-bkjck-rawbinary'!$H$2:$H710)</f>
        <v>u</v>
      </c>
      <c r="C263" t="str">
        <f>Weigt!C263</f>
        <v>3141</v>
      </c>
      <c r="D263" t="str">
        <f>Weigt!M263</f>
        <v>u</v>
      </c>
      <c r="E263" t="str">
        <f t="shared" ca="1" si="12"/>
        <v/>
      </c>
      <c r="F263">
        <f>'stuttgart-bkjck-rawbinary'!I263</f>
        <v>51</v>
      </c>
      <c r="G263">
        <f>Weigt!N263</f>
        <v>51</v>
      </c>
      <c r="H263" t="str">
        <f t="shared" si="13"/>
        <v/>
      </c>
      <c r="I263">
        <f>'stuttgart-bkjck-rawbinary'!J263</f>
        <v>0</v>
      </c>
      <c r="J263">
        <f>Weigt!O263</f>
        <v>0</v>
      </c>
      <c r="K263" t="str">
        <f t="shared" si="14"/>
        <v/>
      </c>
    </row>
    <row r="264" spans="1:11" x14ac:dyDescent="0.35">
      <c r="A264" s="2">
        <f>'stuttgart-bkjck-rawbinary'!A264</f>
        <v>3142</v>
      </c>
      <c r="B264" t="str">
        <f ca="1">LOOKUP(A264,'stuttgart-bkjck-rawbinary'!$A$2:$A$449,'stuttgart-bkjck-rawbinary'!$H$2:$H711)</f>
        <v>z</v>
      </c>
      <c r="C264" t="str">
        <f>Weigt!C264</f>
        <v>3142</v>
      </c>
      <c r="D264" t="str">
        <f>Weigt!M264</f>
        <v>z</v>
      </c>
      <c r="E264" t="str">
        <f t="shared" ca="1" si="12"/>
        <v/>
      </c>
      <c r="F264">
        <f>'stuttgart-bkjck-rawbinary'!I264</f>
        <v>26</v>
      </c>
      <c r="G264">
        <f>Weigt!N264</f>
        <v>26</v>
      </c>
      <c r="H264" t="str">
        <f t="shared" si="13"/>
        <v/>
      </c>
      <c r="I264">
        <f>'stuttgart-bkjck-rawbinary'!J264</f>
        <v>17</v>
      </c>
      <c r="J264">
        <f>Weigt!O264</f>
        <v>17</v>
      </c>
      <c r="K264" t="str">
        <f t="shared" si="14"/>
        <v/>
      </c>
    </row>
    <row r="265" spans="1:11" x14ac:dyDescent="0.35">
      <c r="A265" s="2">
        <f>'stuttgart-bkjck-rawbinary'!A265</f>
        <v>3143</v>
      </c>
      <c r="B265" t="str">
        <f ca="1">LOOKUP(A265,'stuttgart-bkjck-rawbinary'!$A$2:$A$449,'stuttgart-bkjck-rawbinary'!$H$2:$H712)</f>
        <v>y</v>
      </c>
      <c r="C265" t="str">
        <f>Weigt!C265</f>
        <v>3143</v>
      </c>
      <c r="D265" t="str">
        <f>Weigt!M265</f>
        <v>y</v>
      </c>
      <c r="E265" t="str">
        <f t="shared" ca="1" si="12"/>
        <v/>
      </c>
      <c r="F265">
        <f>'stuttgart-bkjck-rawbinary'!I265</f>
        <v>12</v>
      </c>
      <c r="G265">
        <f>Weigt!N265</f>
        <v>12</v>
      </c>
      <c r="H265" t="str">
        <f t="shared" si="13"/>
        <v/>
      </c>
      <c r="I265">
        <f>'stuttgart-bkjck-rawbinary'!J265</f>
        <v>1</v>
      </c>
      <c r="J265">
        <f>Weigt!O265</f>
        <v>1</v>
      </c>
      <c r="K265" t="str">
        <f t="shared" si="14"/>
        <v/>
      </c>
    </row>
    <row r="266" spans="1:11" x14ac:dyDescent="0.35">
      <c r="A266" s="2">
        <f>'stuttgart-bkjck-rawbinary'!A266</f>
        <v>3144</v>
      </c>
      <c r="B266" t="str">
        <f ca="1">LOOKUP(A266,'stuttgart-bkjck-rawbinary'!$A$2:$A$449,'stuttgart-bkjck-rawbinary'!$H$2:$H713)</f>
        <v>n</v>
      </c>
      <c r="C266" t="str">
        <f>Weigt!C266</f>
        <v>3144</v>
      </c>
      <c r="D266" t="str">
        <f>Weigt!M266</f>
        <v>n</v>
      </c>
      <c r="E266" t="str">
        <f t="shared" ca="1" si="12"/>
        <v/>
      </c>
      <c r="F266">
        <f>'stuttgart-bkjck-rawbinary'!I266</f>
        <v>62</v>
      </c>
      <c r="G266">
        <f>Weigt!N266</f>
        <v>62</v>
      </c>
      <c r="H266" t="str">
        <f t="shared" si="13"/>
        <v/>
      </c>
      <c r="I266">
        <f>'stuttgart-bkjck-rawbinary'!J266</f>
        <v>31</v>
      </c>
      <c r="J266">
        <f>Weigt!O266</f>
        <v>31</v>
      </c>
      <c r="K266" t="str">
        <f t="shared" si="14"/>
        <v/>
      </c>
    </row>
    <row r="267" spans="1:11" x14ac:dyDescent="0.35">
      <c r="A267" s="2">
        <f>'stuttgart-bkjck-rawbinary'!A267</f>
        <v>3145</v>
      </c>
      <c r="B267" t="str">
        <f ca="1">LOOKUP(A267,'stuttgart-bkjck-rawbinary'!$A$2:$A$449,'stuttgart-bkjck-rawbinary'!$H$2:$H714)</f>
        <v>b</v>
      </c>
      <c r="C267" t="str">
        <f>Weigt!C267</f>
        <v>3145</v>
      </c>
      <c r="D267" t="str">
        <f>Weigt!M267</f>
        <v>b</v>
      </c>
      <c r="E267" t="str">
        <f t="shared" ca="1" si="12"/>
        <v/>
      </c>
      <c r="F267">
        <f>'stuttgart-bkjck-rawbinary'!I267</f>
        <v>51</v>
      </c>
      <c r="G267">
        <f>Weigt!N267</f>
        <v>51</v>
      </c>
      <c r="H267" t="str">
        <f t="shared" si="13"/>
        <v/>
      </c>
      <c r="I267">
        <f>'stuttgart-bkjck-rawbinary'!J267</f>
        <v>45</v>
      </c>
      <c r="J267">
        <f>Weigt!O267</f>
        <v>45</v>
      </c>
      <c r="K267" t="str">
        <f t="shared" si="14"/>
        <v/>
      </c>
    </row>
    <row r="268" spans="1:11" x14ac:dyDescent="0.35">
      <c r="A268" s="2">
        <f>'stuttgart-bkjck-rawbinary'!A268</f>
        <v>3146</v>
      </c>
      <c r="B268" t="str">
        <f ca="1">LOOKUP(A268,'stuttgart-bkjck-rawbinary'!$A$2:$A$449,'stuttgart-bkjck-rawbinary'!$H$2:$H715)</f>
        <v>r</v>
      </c>
      <c r="C268" t="str">
        <f>Weigt!C268</f>
        <v>3146</v>
      </c>
      <c r="D268" t="str">
        <f>Weigt!M268</f>
        <v>r</v>
      </c>
      <c r="E268" t="str">
        <f t="shared" ca="1" si="12"/>
        <v/>
      </c>
      <c r="F268">
        <f>'stuttgart-bkjck-rawbinary'!I268</f>
        <v>50</v>
      </c>
      <c r="G268">
        <f>Weigt!N268</f>
        <v>50</v>
      </c>
      <c r="H268" t="str">
        <f t="shared" si="13"/>
        <v/>
      </c>
      <c r="I268">
        <f>'stuttgart-bkjck-rawbinary'!J268</f>
        <v>46</v>
      </c>
      <c r="J268">
        <f>Weigt!O268</f>
        <v>46</v>
      </c>
      <c r="K268" t="str">
        <f t="shared" si="14"/>
        <v/>
      </c>
    </row>
    <row r="269" spans="1:11" x14ac:dyDescent="0.35">
      <c r="A269" s="2">
        <f>'stuttgart-bkjck-rawbinary'!A269</f>
        <v>3147</v>
      </c>
      <c r="B269" t="str">
        <f ca="1">LOOKUP(A269,'stuttgart-bkjck-rawbinary'!$A$2:$A$449,'stuttgart-bkjck-rawbinary'!$H$2:$H716)</f>
        <v>u</v>
      </c>
      <c r="C269" t="str">
        <f>Weigt!C269</f>
        <v>3147</v>
      </c>
      <c r="D269" t="str">
        <f>Weigt!M269</f>
        <v>u</v>
      </c>
      <c r="E269" t="str">
        <f t="shared" ca="1" si="12"/>
        <v/>
      </c>
      <c r="F269">
        <f>'stuttgart-bkjck-rawbinary'!I269</f>
        <v>50</v>
      </c>
      <c r="G269">
        <f>Weigt!N269</f>
        <v>50</v>
      </c>
      <c r="H269" t="str">
        <f t="shared" si="13"/>
        <v/>
      </c>
      <c r="I269">
        <f>'stuttgart-bkjck-rawbinary'!J269</f>
        <v>32</v>
      </c>
      <c r="J269">
        <f>Weigt!O269</f>
        <v>32</v>
      </c>
      <c r="K269" t="str">
        <f t="shared" si="14"/>
        <v/>
      </c>
    </row>
    <row r="270" spans="1:11" x14ac:dyDescent="0.35">
      <c r="A270" s="2">
        <f>'stuttgart-bkjck-rawbinary'!A270</f>
        <v>3148</v>
      </c>
      <c r="B270" t="str">
        <f ca="1">LOOKUP(A270,'stuttgart-bkjck-rawbinary'!$A$2:$A$449,'stuttgart-bkjck-rawbinary'!$H$2:$H717)</f>
        <v>b</v>
      </c>
      <c r="C270" t="str">
        <f>Weigt!C270</f>
        <v>3148</v>
      </c>
      <c r="D270" t="str">
        <f>Weigt!M270</f>
        <v>b</v>
      </c>
      <c r="E270" t="str">
        <f t="shared" ca="1" si="12"/>
        <v/>
      </c>
      <c r="F270">
        <f>'stuttgart-bkjck-rawbinary'!I270</f>
        <v>50</v>
      </c>
      <c r="G270">
        <f>Weigt!N270</f>
        <v>50</v>
      </c>
      <c r="H270" t="str">
        <f t="shared" si="13"/>
        <v/>
      </c>
      <c r="I270">
        <f>'stuttgart-bkjck-rawbinary'!J270</f>
        <v>29</v>
      </c>
      <c r="J270">
        <f>Weigt!O270</f>
        <v>29</v>
      </c>
      <c r="K270" t="str">
        <f t="shared" si="14"/>
        <v/>
      </c>
    </row>
    <row r="271" spans="1:11" x14ac:dyDescent="0.35">
      <c r="A271" s="2">
        <f>'stuttgart-bkjck-rawbinary'!A271</f>
        <v>3149</v>
      </c>
      <c r="B271" t="str">
        <f ca="1">LOOKUP(A271,'stuttgart-bkjck-rawbinary'!$A$2:$A$449,'stuttgart-bkjck-rawbinary'!$H$2:$H718)</f>
        <v>e</v>
      </c>
      <c r="C271" t="str">
        <f>Weigt!C271</f>
        <v>3149</v>
      </c>
      <c r="D271" t="str">
        <f>Weigt!M271</f>
        <v>e</v>
      </c>
      <c r="E271" t="str">
        <f t="shared" ca="1" si="12"/>
        <v/>
      </c>
      <c r="F271">
        <f>'stuttgart-bkjck-rawbinary'!I271</f>
        <v>45</v>
      </c>
      <c r="G271">
        <f>Weigt!N271</f>
        <v>45</v>
      </c>
      <c r="H271" t="str">
        <f t="shared" si="13"/>
        <v/>
      </c>
      <c r="I271">
        <f>'stuttgart-bkjck-rawbinary'!J271</f>
        <v>62</v>
      </c>
      <c r="J271">
        <f>Weigt!O271</f>
        <v>62</v>
      </c>
      <c r="K271" t="str">
        <f t="shared" si="14"/>
        <v/>
      </c>
    </row>
    <row r="272" spans="1:11" x14ac:dyDescent="0.35">
      <c r="A272" s="2">
        <f>'stuttgart-bkjck-rawbinary'!A272</f>
        <v>3150</v>
      </c>
      <c r="B272" t="str">
        <f ca="1">LOOKUP(A272,'stuttgart-bkjck-rawbinary'!$A$2:$A$449,'stuttgart-bkjck-rawbinary'!$H$2:$H719)</f>
        <v>h</v>
      </c>
      <c r="C272" t="str">
        <f>Weigt!C272</f>
        <v>3150</v>
      </c>
      <c r="D272" t="str">
        <f>Weigt!M272</f>
        <v>h</v>
      </c>
      <c r="E272" t="str">
        <f t="shared" ca="1" si="12"/>
        <v/>
      </c>
      <c r="F272">
        <f>'stuttgart-bkjck-rawbinary'!I272</f>
        <v>50</v>
      </c>
      <c r="G272">
        <f>Weigt!N272</f>
        <v>50</v>
      </c>
      <c r="H272" t="str">
        <f t="shared" si="13"/>
        <v/>
      </c>
      <c r="I272">
        <f>'stuttgart-bkjck-rawbinary'!J272</f>
        <v>29</v>
      </c>
      <c r="J272">
        <f>Weigt!O272</f>
        <v>29</v>
      </c>
      <c r="K272" t="str">
        <f t="shared" si="14"/>
        <v/>
      </c>
    </row>
    <row r="273" spans="1:11" x14ac:dyDescent="0.35">
      <c r="A273" s="2">
        <f>'stuttgart-bkjck-rawbinary'!A273</f>
        <v>3151</v>
      </c>
      <c r="B273" t="str">
        <f ca="1">LOOKUP(A273,'stuttgart-bkjck-rawbinary'!$A$2:$A$449,'stuttgart-bkjck-rawbinary'!$H$2:$H720)</f>
        <v>s</v>
      </c>
      <c r="C273" t="str">
        <f>Weigt!C273</f>
        <v>3151</v>
      </c>
      <c r="D273" t="str">
        <f>Weigt!M273</f>
        <v>s</v>
      </c>
      <c r="E273" t="str">
        <f t="shared" ca="1" si="12"/>
        <v/>
      </c>
      <c r="F273">
        <f>'stuttgart-bkjck-rawbinary'!I273</f>
        <v>46</v>
      </c>
      <c r="G273">
        <f>Weigt!N273</f>
        <v>46</v>
      </c>
      <c r="H273" t="str">
        <f t="shared" si="13"/>
        <v/>
      </c>
      <c r="I273">
        <f>'stuttgart-bkjck-rawbinary'!J273</f>
        <v>41</v>
      </c>
      <c r="J273">
        <f>Weigt!O273</f>
        <v>41</v>
      </c>
      <c r="K273" t="str">
        <f t="shared" si="14"/>
        <v/>
      </c>
    </row>
    <row r="274" spans="1:11" x14ac:dyDescent="0.35">
      <c r="A274" s="2">
        <f>'stuttgart-bkjck-rawbinary'!A274</f>
        <v>3152</v>
      </c>
      <c r="B274" t="str">
        <f ca="1">LOOKUP(A274,'stuttgart-bkjck-rawbinary'!$A$2:$A$449,'stuttgart-bkjck-rawbinary'!$H$2:$H721)</f>
        <v>t</v>
      </c>
      <c r="C274" t="str">
        <f>Weigt!C274</f>
        <v>3152</v>
      </c>
      <c r="D274" t="str">
        <f>Weigt!M274</f>
        <v>t</v>
      </c>
      <c r="E274" t="str">
        <f t="shared" ca="1" si="12"/>
        <v/>
      </c>
      <c r="F274">
        <f>'stuttgart-bkjck-rawbinary'!I274</f>
        <v>50</v>
      </c>
      <c r="G274">
        <f>Weigt!N274</f>
        <v>50</v>
      </c>
      <c r="H274" t="str">
        <f t="shared" si="13"/>
        <v/>
      </c>
      <c r="I274">
        <f>'stuttgart-bkjck-rawbinary'!J274</f>
        <v>1</v>
      </c>
      <c r="J274">
        <f>Weigt!O274</f>
        <v>1</v>
      </c>
      <c r="K274" t="str">
        <f t="shared" si="14"/>
        <v/>
      </c>
    </row>
    <row r="275" spans="1:11" x14ac:dyDescent="0.35">
      <c r="A275" s="2">
        <f>'stuttgart-bkjck-rawbinary'!A275</f>
        <v>3153</v>
      </c>
      <c r="B275" t="str">
        <f ca="1">LOOKUP(A275,'stuttgart-bkjck-rawbinary'!$A$2:$A$449,'stuttgart-bkjck-rawbinary'!$H$2:$H722)</f>
        <v>r</v>
      </c>
      <c r="C275" t="str">
        <f>Weigt!C275</f>
        <v>3153</v>
      </c>
      <c r="D275" t="str">
        <f>Weigt!M275</f>
        <v>r</v>
      </c>
      <c r="E275" t="str">
        <f t="shared" ca="1" si="12"/>
        <v/>
      </c>
      <c r="F275">
        <f>'stuttgart-bkjck-rawbinary'!I275</f>
        <v>51</v>
      </c>
      <c r="G275">
        <f>Weigt!N275</f>
        <v>51</v>
      </c>
      <c r="H275" t="str">
        <f t="shared" si="13"/>
        <v/>
      </c>
      <c r="I275">
        <f>'stuttgart-bkjck-rawbinary'!J275</f>
        <v>0</v>
      </c>
      <c r="J275">
        <f>Weigt!O275</f>
        <v>0</v>
      </c>
      <c r="K275" t="str">
        <f t="shared" si="14"/>
        <v/>
      </c>
    </row>
    <row r="276" spans="1:11" x14ac:dyDescent="0.35">
      <c r="A276" s="2">
        <f>'stuttgart-bkjck-rawbinary'!A276</f>
        <v>3154</v>
      </c>
      <c r="B276" t="str">
        <f ca="1">LOOKUP(A276,'stuttgart-bkjck-rawbinary'!$A$2:$A$449,'stuttgart-bkjck-rawbinary'!$H$2:$H723)</f>
        <v>u</v>
      </c>
      <c r="C276" t="str">
        <f>Weigt!C276</f>
        <v>3154</v>
      </c>
      <c r="D276" t="str">
        <f>Weigt!M276</f>
        <v>u</v>
      </c>
      <c r="E276" t="str">
        <f t="shared" ca="1" si="12"/>
        <v/>
      </c>
      <c r="F276">
        <f>'stuttgart-bkjck-rawbinary'!I276</f>
        <v>51</v>
      </c>
      <c r="G276">
        <f>Weigt!N276</f>
        <v>51</v>
      </c>
      <c r="H276" t="str">
        <f t="shared" si="13"/>
        <v/>
      </c>
      <c r="I276">
        <f>'stuttgart-bkjck-rawbinary'!J276</f>
        <v>0</v>
      </c>
      <c r="J276">
        <f>Weigt!O276</f>
        <v>0</v>
      </c>
      <c r="K276" t="str">
        <f t="shared" si="14"/>
        <v/>
      </c>
    </row>
    <row r="277" spans="1:11" x14ac:dyDescent="0.35">
      <c r="A277" s="2">
        <f>'stuttgart-bkjck-rawbinary'!A277</f>
        <v>3155</v>
      </c>
      <c r="B277" t="str">
        <f ca="1">LOOKUP(A277,'stuttgart-bkjck-rawbinary'!$A$2:$A$449,'stuttgart-bkjck-rawbinary'!$H$2:$H724)</f>
        <v>p</v>
      </c>
      <c r="C277" t="str">
        <f>Weigt!C277</f>
        <v>3155</v>
      </c>
      <c r="D277" t="str">
        <f>Weigt!M277</f>
        <v>p</v>
      </c>
      <c r="E277" t="str">
        <f t="shared" ca="1" si="12"/>
        <v/>
      </c>
      <c r="F277">
        <f>'stuttgart-bkjck-rawbinary'!I277</f>
        <v>10</v>
      </c>
      <c r="G277">
        <f>Weigt!N277</f>
        <v>10</v>
      </c>
      <c r="H277" t="str">
        <f t="shared" si="13"/>
        <v/>
      </c>
      <c r="I277">
        <f>'stuttgart-bkjck-rawbinary'!J277</f>
        <v>20</v>
      </c>
      <c r="J277">
        <f>Weigt!O277</f>
        <v>20</v>
      </c>
      <c r="K277" t="str">
        <f t="shared" si="14"/>
        <v/>
      </c>
    </row>
    <row r="278" spans="1:11" x14ac:dyDescent="0.35">
      <c r="A278" s="2">
        <f>'stuttgart-bkjck-rawbinary'!A278</f>
        <v>3156</v>
      </c>
      <c r="B278" t="str">
        <f ca="1">LOOKUP(A278,'stuttgart-bkjck-rawbinary'!$A$2:$A$449,'stuttgart-bkjck-rawbinary'!$H$2:$H725)</f>
        <v>u</v>
      </c>
      <c r="C278" t="str">
        <f>Weigt!C278</f>
        <v>3156</v>
      </c>
      <c r="D278" t="str">
        <f>Weigt!M278</f>
        <v>u</v>
      </c>
      <c r="E278" t="str">
        <f t="shared" ca="1" si="12"/>
        <v/>
      </c>
      <c r="F278">
        <f>'stuttgart-bkjck-rawbinary'!I278</f>
        <v>24</v>
      </c>
      <c r="G278">
        <f>Weigt!N278</f>
        <v>24</v>
      </c>
      <c r="H278" t="str">
        <f t="shared" si="13"/>
        <v/>
      </c>
      <c r="I278">
        <f>'stuttgart-bkjck-rawbinary'!J278</f>
        <v>1</v>
      </c>
      <c r="J278">
        <f>Weigt!O278</f>
        <v>1</v>
      </c>
      <c r="K278" t="str">
        <f t="shared" si="14"/>
        <v/>
      </c>
    </row>
    <row r="279" spans="1:11" x14ac:dyDescent="0.35">
      <c r="A279" s="2">
        <f>'stuttgart-bkjck-rawbinary'!A279</f>
        <v>3157</v>
      </c>
      <c r="B279" t="str">
        <f ca="1">LOOKUP(A279,'stuttgart-bkjck-rawbinary'!$A$2:$A$449,'stuttgart-bkjck-rawbinary'!$H$2:$H726)</f>
        <v>n</v>
      </c>
      <c r="C279" t="str">
        <f>Weigt!C279</f>
        <v>3157</v>
      </c>
      <c r="D279" t="str">
        <f>Weigt!M279</f>
        <v>n</v>
      </c>
      <c r="E279" t="str">
        <f t="shared" ca="1" si="12"/>
        <v/>
      </c>
      <c r="F279">
        <f>'stuttgart-bkjck-rawbinary'!I279</f>
        <v>6</v>
      </c>
      <c r="G279">
        <f>Weigt!N279</f>
        <v>6</v>
      </c>
      <c r="H279" t="str">
        <f t="shared" si="13"/>
        <v/>
      </c>
      <c r="I279">
        <f>'stuttgart-bkjck-rawbinary'!J279</f>
        <v>31</v>
      </c>
      <c r="J279">
        <f>Weigt!O279</f>
        <v>31</v>
      </c>
      <c r="K279" t="str">
        <f t="shared" si="14"/>
        <v/>
      </c>
    </row>
    <row r="280" spans="1:11" x14ac:dyDescent="0.35">
      <c r="A280" s="2">
        <f>'stuttgart-bkjck-rawbinary'!A280</f>
        <v>3158</v>
      </c>
      <c r="B280" t="str">
        <f ca="1">LOOKUP(A280,'stuttgart-bkjck-rawbinary'!$A$2:$A$449,'stuttgart-bkjck-rawbinary'!$H$2:$H727)</f>
        <v>c</v>
      </c>
      <c r="C280" t="str">
        <f>Weigt!C280</f>
        <v>3158</v>
      </c>
      <c r="D280" t="str">
        <f>Weigt!M280</f>
        <v>c</v>
      </c>
      <c r="E280" t="str">
        <f t="shared" ca="1" si="12"/>
        <v/>
      </c>
      <c r="F280">
        <f>'stuttgart-bkjck-rawbinary'!I280</f>
        <v>50</v>
      </c>
      <c r="G280">
        <f>Weigt!N280</f>
        <v>50</v>
      </c>
      <c r="H280" t="str">
        <f t="shared" si="13"/>
        <v/>
      </c>
      <c r="I280">
        <f>'stuttgart-bkjck-rawbinary'!J280</f>
        <v>29</v>
      </c>
      <c r="J280">
        <f>Weigt!O280</f>
        <v>29</v>
      </c>
      <c r="K280" t="str">
        <f t="shared" si="14"/>
        <v/>
      </c>
    </row>
    <row r="281" spans="1:11" x14ac:dyDescent="0.35">
      <c r="A281" s="2">
        <f>'stuttgart-bkjck-rawbinary'!A281</f>
        <v>3159</v>
      </c>
      <c r="B281" t="str">
        <f ca="1">LOOKUP(A281,'stuttgart-bkjck-rawbinary'!$A$2:$A$449,'stuttgart-bkjck-rawbinary'!$H$2:$H728)</f>
        <v>c</v>
      </c>
      <c r="C281" t="str">
        <f>Weigt!C281</f>
        <v>3159</v>
      </c>
      <c r="D281" t="str">
        <f>Weigt!M281</f>
        <v>c</v>
      </c>
      <c r="E281" t="str">
        <f t="shared" ca="1" si="12"/>
        <v/>
      </c>
      <c r="F281">
        <f>'stuttgart-bkjck-rawbinary'!I281</f>
        <v>50</v>
      </c>
      <c r="G281">
        <f>Weigt!N281</f>
        <v>50</v>
      </c>
      <c r="H281" t="str">
        <f t="shared" si="13"/>
        <v/>
      </c>
      <c r="I281">
        <f>'stuttgart-bkjck-rawbinary'!J281</f>
        <v>29</v>
      </c>
      <c r="J281">
        <f>Weigt!O281</f>
        <v>29</v>
      </c>
      <c r="K281" t="str">
        <f t="shared" si="14"/>
        <v/>
      </c>
    </row>
    <row r="282" spans="1:11" x14ac:dyDescent="0.35">
      <c r="A282" s="2">
        <f>'stuttgart-bkjck-rawbinary'!A282</f>
        <v>3160</v>
      </c>
      <c r="B282" t="str">
        <f ca="1">LOOKUP(A282,'stuttgart-bkjck-rawbinary'!$A$2:$A$449,'stuttgart-bkjck-rawbinary'!$H$2:$H729)</f>
        <v>b</v>
      </c>
      <c r="C282" t="str">
        <f>Weigt!C282</f>
        <v>3160</v>
      </c>
      <c r="D282" t="str">
        <f>Weigt!M282</f>
        <v>b</v>
      </c>
      <c r="E282" t="str">
        <f t="shared" ca="1" si="12"/>
        <v/>
      </c>
      <c r="F282">
        <f>'stuttgart-bkjck-rawbinary'!I282</f>
        <v>50</v>
      </c>
      <c r="G282">
        <f>Weigt!N282</f>
        <v>50</v>
      </c>
      <c r="H282" t="str">
        <f t="shared" si="13"/>
        <v/>
      </c>
      <c r="I282">
        <f>'stuttgart-bkjck-rawbinary'!J282</f>
        <v>29</v>
      </c>
      <c r="J282">
        <f>Weigt!O282</f>
        <v>29</v>
      </c>
      <c r="K282" t="str">
        <f t="shared" si="14"/>
        <v/>
      </c>
    </row>
    <row r="283" spans="1:11" x14ac:dyDescent="0.35">
      <c r="A283" s="2">
        <f>'stuttgart-bkjck-rawbinary'!A283</f>
        <v>3161</v>
      </c>
      <c r="B283" t="str">
        <f ca="1">LOOKUP(A283,'stuttgart-bkjck-rawbinary'!$A$2:$A$449,'stuttgart-bkjck-rawbinary'!$H$2:$H730)</f>
        <v>s</v>
      </c>
      <c r="C283" t="str">
        <f>Weigt!C283</f>
        <v>3161</v>
      </c>
      <c r="D283" t="str">
        <f>Weigt!M283</f>
        <v>s</v>
      </c>
      <c r="E283" t="str">
        <f t="shared" ca="1" si="12"/>
        <v/>
      </c>
      <c r="F283">
        <f>'stuttgart-bkjck-rawbinary'!I283</f>
        <v>51</v>
      </c>
      <c r="G283">
        <f>Weigt!N283</f>
        <v>51</v>
      </c>
      <c r="H283" t="str">
        <f t="shared" si="13"/>
        <v/>
      </c>
      <c r="I283">
        <f>'stuttgart-bkjck-rawbinary'!J283</f>
        <v>45</v>
      </c>
      <c r="J283">
        <f>Weigt!O283</f>
        <v>45</v>
      </c>
      <c r="K283" t="str">
        <f t="shared" si="14"/>
        <v/>
      </c>
    </row>
    <row r="284" spans="1:11" x14ac:dyDescent="0.35">
      <c r="A284" s="2">
        <f>'stuttgart-bkjck-rawbinary'!A284</f>
        <v>3162</v>
      </c>
      <c r="B284" t="str">
        <f ca="1">LOOKUP(A284,'stuttgart-bkjck-rawbinary'!$A$2:$A$449,'stuttgart-bkjck-rawbinary'!$H$2:$H731)</f>
        <v>t</v>
      </c>
      <c r="C284" t="str">
        <f>Weigt!C284</f>
        <v>3162</v>
      </c>
      <c r="D284" t="str">
        <f>Weigt!M284</f>
        <v>t</v>
      </c>
      <c r="E284" t="str">
        <f t="shared" ca="1" si="12"/>
        <v/>
      </c>
      <c r="F284">
        <f>'stuttgart-bkjck-rawbinary'!I284</f>
        <v>50</v>
      </c>
      <c r="G284">
        <f>Weigt!N284</f>
        <v>50</v>
      </c>
      <c r="H284" t="str">
        <f t="shared" si="13"/>
        <v/>
      </c>
      <c r="I284">
        <f>'stuttgart-bkjck-rawbinary'!J284</f>
        <v>26</v>
      </c>
      <c r="J284">
        <f>Weigt!O284</f>
        <v>26</v>
      </c>
      <c r="K284" t="str">
        <f t="shared" si="14"/>
        <v/>
      </c>
    </row>
    <row r="285" spans="1:11" x14ac:dyDescent="0.35">
      <c r="A285" s="2">
        <f>'stuttgart-bkjck-rawbinary'!A285</f>
        <v>3163</v>
      </c>
      <c r="B285" t="str">
        <f ca="1">LOOKUP(A285,'stuttgart-bkjck-rawbinary'!$A$2:$A$449,'stuttgart-bkjck-rawbinary'!$H$2:$H732)</f>
        <v>b</v>
      </c>
      <c r="C285" t="str">
        <f>Weigt!C285</f>
        <v>3163</v>
      </c>
      <c r="D285" t="str">
        <f>Weigt!M285</f>
        <v>b</v>
      </c>
      <c r="E285" t="str">
        <f t="shared" ca="1" si="12"/>
        <v/>
      </c>
      <c r="F285">
        <f>'stuttgart-bkjck-rawbinary'!I285</f>
        <v>50</v>
      </c>
      <c r="G285">
        <f>Weigt!N285</f>
        <v>50</v>
      </c>
      <c r="H285" t="str">
        <f t="shared" si="13"/>
        <v/>
      </c>
      <c r="I285">
        <f>'stuttgart-bkjck-rawbinary'!J285</f>
        <v>30</v>
      </c>
      <c r="J285">
        <f>Weigt!O285</f>
        <v>30</v>
      </c>
      <c r="K285" t="str">
        <f t="shared" si="14"/>
        <v/>
      </c>
    </row>
    <row r="286" spans="1:11" x14ac:dyDescent="0.35">
      <c r="A286" s="2">
        <f>'stuttgart-bkjck-rawbinary'!A286</f>
        <v>3164</v>
      </c>
      <c r="B286" t="str">
        <f ca="1">LOOKUP(A286,'stuttgart-bkjck-rawbinary'!$A$2:$A$449,'stuttgart-bkjck-rawbinary'!$H$2:$H733)</f>
        <v>s</v>
      </c>
      <c r="C286" t="str">
        <f>Weigt!C286</f>
        <v>3164</v>
      </c>
      <c r="D286" t="str">
        <f>Weigt!M286</f>
        <v>s</v>
      </c>
      <c r="E286" t="str">
        <f t="shared" ca="1" si="12"/>
        <v/>
      </c>
      <c r="F286">
        <f>'stuttgart-bkjck-rawbinary'!I286</f>
        <v>46</v>
      </c>
      <c r="G286">
        <f>Weigt!N286</f>
        <v>46</v>
      </c>
      <c r="H286" t="str">
        <f t="shared" si="13"/>
        <v/>
      </c>
      <c r="I286">
        <f>'stuttgart-bkjck-rawbinary'!J286</f>
        <v>35</v>
      </c>
      <c r="J286">
        <f>Weigt!O286</f>
        <v>35</v>
      </c>
      <c r="K286" t="str">
        <f t="shared" si="14"/>
        <v/>
      </c>
    </row>
    <row r="287" spans="1:11" x14ac:dyDescent="0.35">
      <c r="A287" s="2">
        <f>'stuttgart-bkjck-rawbinary'!A287</f>
        <v>3165</v>
      </c>
      <c r="B287" t="str">
        <f ca="1">LOOKUP(A287,'stuttgart-bkjck-rawbinary'!$A$2:$A$449,'stuttgart-bkjck-rawbinary'!$H$2:$H734)</f>
        <v>c</v>
      </c>
      <c r="C287" t="str">
        <f>Weigt!C287</f>
        <v>3165</v>
      </c>
      <c r="D287" t="str">
        <f>Weigt!M287</f>
        <v>c</v>
      </c>
      <c r="E287" t="str">
        <f t="shared" ca="1" si="12"/>
        <v/>
      </c>
      <c r="F287">
        <f>'stuttgart-bkjck-rawbinary'!I287</f>
        <v>50</v>
      </c>
      <c r="G287">
        <f>Weigt!N287</f>
        <v>50</v>
      </c>
      <c r="H287" t="str">
        <f t="shared" si="13"/>
        <v/>
      </c>
      <c r="I287">
        <f>'stuttgart-bkjck-rawbinary'!J287</f>
        <v>30</v>
      </c>
      <c r="J287">
        <f>Weigt!O287</f>
        <v>30</v>
      </c>
      <c r="K287" t="str">
        <f t="shared" si="14"/>
        <v/>
      </c>
    </row>
    <row r="288" spans="1:11" x14ac:dyDescent="0.35">
      <c r="A288" s="2">
        <f>'stuttgart-bkjck-rawbinary'!A288</f>
        <v>3166</v>
      </c>
      <c r="B288" t="str">
        <f ca="1">LOOKUP(A288,'stuttgart-bkjck-rawbinary'!$A$2:$A$449,'stuttgart-bkjck-rawbinary'!$H$2:$H735)</f>
        <v>r</v>
      </c>
      <c r="C288" t="str">
        <f>Weigt!C288</f>
        <v>3166</v>
      </c>
      <c r="D288" t="str">
        <f>Weigt!M288</f>
        <v>r</v>
      </c>
      <c r="E288" t="str">
        <f t="shared" ca="1" si="12"/>
        <v/>
      </c>
      <c r="F288">
        <f>'stuttgart-bkjck-rawbinary'!I288</f>
        <v>51</v>
      </c>
      <c r="G288">
        <f>Weigt!N288</f>
        <v>51</v>
      </c>
      <c r="H288" t="str">
        <f t="shared" si="13"/>
        <v/>
      </c>
      <c r="I288">
        <f>'stuttgart-bkjck-rawbinary'!J288</f>
        <v>0</v>
      </c>
      <c r="J288">
        <f>Weigt!O288</f>
        <v>0</v>
      </c>
      <c r="K288" t="str">
        <f t="shared" si="14"/>
        <v/>
      </c>
    </row>
    <row r="289" spans="1:11" x14ac:dyDescent="0.35">
      <c r="A289" s="2">
        <f>'stuttgart-bkjck-rawbinary'!A289</f>
        <v>3167</v>
      </c>
      <c r="B289" t="str">
        <f ca="1">LOOKUP(A289,'stuttgart-bkjck-rawbinary'!$A$2:$A$449,'stuttgart-bkjck-rawbinary'!$H$2:$H736)</f>
        <v>u</v>
      </c>
      <c r="C289" t="str">
        <f>Weigt!C289</f>
        <v>3167</v>
      </c>
      <c r="D289" t="str">
        <f>Weigt!M289</f>
        <v>u</v>
      </c>
      <c r="E289" t="str">
        <f t="shared" ca="1" si="12"/>
        <v/>
      </c>
      <c r="F289">
        <f>'stuttgart-bkjck-rawbinary'!I289</f>
        <v>51</v>
      </c>
      <c r="G289">
        <f>Weigt!N289</f>
        <v>51</v>
      </c>
      <c r="H289" t="str">
        <f t="shared" si="13"/>
        <v/>
      </c>
      <c r="I289">
        <f>'stuttgart-bkjck-rawbinary'!J289</f>
        <v>0</v>
      </c>
      <c r="J289">
        <f>Weigt!O289</f>
        <v>0</v>
      </c>
      <c r="K289" t="str">
        <f t="shared" si="14"/>
        <v/>
      </c>
    </row>
    <row r="290" spans="1:11" x14ac:dyDescent="0.35">
      <c r="A290" s="2">
        <f>'stuttgart-bkjck-rawbinary'!A290</f>
        <v>3168</v>
      </c>
      <c r="B290" t="str">
        <f ca="1">LOOKUP(A290,'stuttgart-bkjck-rawbinary'!$A$2:$A$449,'stuttgart-bkjck-rawbinary'!$H$2:$H737)</f>
        <v>u</v>
      </c>
      <c r="C290" t="str">
        <f>Weigt!C290</f>
        <v>3168</v>
      </c>
      <c r="D290" t="str">
        <f>Weigt!M290</f>
        <v>u</v>
      </c>
      <c r="E290" t="str">
        <f t="shared" ca="1" si="12"/>
        <v/>
      </c>
      <c r="F290">
        <f>'stuttgart-bkjck-rawbinary'!I290</f>
        <v>42</v>
      </c>
      <c r="G290">
        <f>Weigt!N290</f>
        <v>42</v>
      </c>
      <c r="H290" t="str">
        <f t="shared" si="13"/>
        <v/>
      </c>
      <c r="I290">
        <f>'stuttgart-bkjck-rawbinary'!J290</f>
        <v>17</v>
      </c>
      <c r="J290">
        <f>Weigt!O290</f>
        <v>17</v>
      </c>
      <c r="K290" t="str">
        <f t="shared" si="14"/>
        <v/>
      </c>
    </row>
    <row r="291" spans="1:11" x14ac:dyDescent="0.35">
      <c r="A291" s="2">
        <f>'stuttgart-bkjck-rawbinary'!A291</f>
        <v>3169</v>
      </c>
      <c r="B291" t="str">
        <f ca="1">LOOKUP(A291,'stuttgart-bkjck-rawbinary'!$A$2:$A$449,'stuttgart-bkjck-rawbinary'!$H$2:$H738)</f>
        <v>u</v>
      </c>
      <c r="C291" t="str">
        <f>Weigt!C291</f>
        <v>3169</v>
      </c>
      <c r="D291" t="str">
        <f>Weigt!M291</f>
        <v>u</v>
      </c>
      <c r="E291" t="str">
        <f t="shared" ca="1" si="12"/>
        <v/>
      </c>
      <c r="F291">
        <f>'stuttgart-bkjck-rawbinary'!I291</f>
        <v>6</v>
      </c>
      <c r="G291">
        <f>Weigt!N291</f>
        <v>6</v>
      </c>
      <c r="H291" t="str">
        <f t="shared" si="13"/>
        <v/>
      </c>
      <c r="I291">
        <f>'stuttgart-bkjck-rawbinary'!J291</f>
        <v>4</v>
      </c>
      <c r="J291">
        <f>Weigt!O291</f>
        <v>4</v>
      </c>
      <c r="K291" t="str">
        <f t="shared" si="14"/>
        <v/>
      </c>
    </row>
    <row r="292" spans="1:11" x14ac:dyDescent="0.35">
      <c r="A292" s="2">
        <f>'stuttgart-bkjck-rawbinary'!A292</f>
        <v>3170</v>
      </c>
      <c r="B292" t="str">
        <f ca="1">LOOKUP(A292,'stuttgart-bkjck-rawbinary'!$A$2:$A$449,'stuttgart-bkjck-rawbinary'!$H$2:$H739)</f>
        <v>p</v>
      </c>
      <c r="C292" t="str">
        <f>Weigt!C292</f>
        <v>3170</v>
      </c>
      <c r="D292" t="str">
        <f>Weigt!M292</f>
        <v>p</v>
      </c>
      <c r="E292" t="str">
        <f t="shared" ca="1" si="12"/>
        <v/>
      </c>
      <c r="F292">
        <f>'stuttgart-bkjck-rawbinary'!I292</f>
        <v>6</v>
      </c>
      <c r="G292">
        <f>Weigt!N292</f>
        <v>6</v>
      </c>
      <c r="H292" t="str">
        <f t="shared" si="13"/>
        <v/>
      </c>
      <c r="I292">
        <f>'stuttgart-bkjck-rawbinary'!J292</f>
        <v>31</v>
      </c>
      <c r="J292">
        <f>Weigt!O292</f>
        <v>31</v>
      </c>
      <c r="K292" t="str">
        <f t="shared" si="14"/>
        <v/>
      </c>
    </row>
    <row r="293" spans="1:11" x14ac:dyDescent="0.35">
      <c r="A293" s="2">
        <f>'stuttgart-bkjck-rawbinary'!A293</f>
        <v>3171</v>
      </c>
      <c r="B293" t="str">
        <f ca="1">LOOKUP(A293,'stuttgart-bkjck-rawbinary'!$A$2:$A$449,'stuttgart-bkjck-rawbinary'!$H$2:$H740)</f>
        <v>b</v>
      </c>
      <c r="C293" t="str">
        <f>Weigt!C293</f>
        <v>3171</v>
      </c>
      <c r="D293" t="str">
        <f>Weigt!M293</f>
        <v>b</v>
      </c>
      <c r="E293" t="str">
        <f t="shared" ca="1" si="12"/>
        <v/>
      </c>
      <c r="F293">
        <f>'stuttgart-bkjck-rawbinary'!I293</f>
        <v>50</v>
      </c>
      <c r="G293">
        <f>Weigt!N293</f>
        <v>50</v>
      </c>
      <c r="H293" t="str">
        <f t="shared" si="13"/>
        <v/>
      </c>
      <c r="I293">
        <f>'stuttgart-bkjck-rawbinary'!J293</f>
        <v>30</v>
      </c>
      <c r="J293">
        <f>Weigt!O293</f>
        <v>30</v>
      </c>
      <c r="K293" t="str">
        <f t="shared" si="14"/>
        <v/>
      </c>
    </row>
    <row r="294" spans="1:11" x14ac:dyDescent="0.35">
      <c r="A294" s="2">
        <f>'stuttgart-bkjck-rawbinary'!A294</f>
        <v>3172</v>
      </c>
      <c r="B294" t="str">
        <f ca="1">LOOKUP(A294,'stuttgart-bkjck-rawbinary'!$A$2:$A$449,'stuttgart-bkjck-rawbinary'!$H$2:$H741)</f>
        <v>t</v>
      </c>
      <c r="C294" t="str">
        <f>Weigt!C294</f>
        <v>3172</v>
      </c>
      <c r="D294" t="str">
        <f>Weigt!M294</f>
        <v>t</v>
      </c>
      <c r="E294" t="str">
        <f t="shared" ca="1" si="12"/>
        <v/>
      </c>
      <c r="F294">
        <f>'stuttgart-bkjck-rawbinary'!I294</f>
        <v>49</v>
      </c>
      <c r="G294">
        <f>Weigt!N294</f>
        <v>49</v>
      </c>
      <c r="H294" t="str">
        <f t="shared" si="13"/>
        <v/>
      </c>
      <c r="I294">
        <f>'stuttgart-bkjck-rawbinary'!J294</f>
        <v>55</v>
      </c>
      <c r="J294">
        <f>Weigt!O294</f>
        <v>55</v>
      </c>
      <c r="K294" t="str">
        <f t="shared" si="14"/>
        <v/>
      </c>
    </row>
    <row r="295" spans="1:11" x14ac:dyDescent="0.35">
      <c r="A295" s="2">
        <f>'stuttgart-bkjck-rawbinary'!A295</f>
        <v>3173</v>
      </c>
      <c r="B295" t="str">
        <f ca="1">LOOKUP(A295,'stuttgart-bkjck-rawbinary'!$A$2:$A$449,'stuttgart-bkjck-rawbinary'!$H$2:$H742)</f>
        <v>h</v>
      </c>
      <c r="C295" t="str">
        <f>Weigt!C295</f>
        <v>3173</v>
      </c>
      <c r="D295" t="str">
        <f>Weigt!M295</f>
        <v>h</v>
      </c>
      <c r="E295" t="str">
        <f t="shared" ca="1" si="12"/>
        <v/>
      </c>
      <c r="F295">
        <f>'stuttgart-bkjck-rawbinary'!I295</f>
        <v>45</v>
      </c>
      <c r="G295">
        <f>Weigt!N295</f>
        <v>45</v>
      </c>
      <c r="H295" t="str">
        <f t="shared" si="13"/>
        <v/>
      </c>
      <c r="I295">
        <f>'stuttgart-bkjck-rawbinary'!J295</f>
        <v>37</v>
      </c>
      <c r="J295">
        <f>Weigt!O295</f>
        <v>37</v>
      </c>
      <c r="K295" t="str">
        <f t="shared" si="14"/>
        <v/>
      </c>
    </row>
    <row r="296" spans="1:11" x14ac:dyDescent="0.35">
      <c r="A296" s="2">
        <f>'stuttgart-bkjck-rawbinary'!A296</f>
        <v>3174</v>
      </c>
      <c r="B296" t="str">
        <f ca="1">LOOKUP(A296,'stuttgart-bkjck-rawbinary'!$A$2:$A$449,'stuttgart-bkjck-rawbinary'!$H$2:$H743)</f>
        <v>r</v>
      </c>
      <c r="C296" t="str">
        <f>Weigt!C296</f>
        <v>3174</v>
      </c>
      <c r="D296" t="str">
        <f>Weigt!M296</f>
        <v>r</v>
      </c>
      <c r="E296" t="str">
        <f t="shared" ca="1" si="12"/>
        <v/>
      </c>
      <c r="F296">
        <f>'stuttgart-bkjck-rawbinary'!I296</f>
        <v>51</v>
      </c>
      <c r="G296">
        <f>Weigt!N296</f>
        <v>51</v>
      </c>
      <c r="H296" t="str">
        <f t="shared" si="13"/>
        <v/>
      </c>
      <c r="I296">
        <f>'stuttgart-bkjck-rawbinary'!J296</f>
        <v>0</v>
      </c>
      <c r="J296">
        <f>Weigt!O296</f>
        <v>0</v>
      </c>
      <c r="K296" t="str">
        <f t="shared" si="14"/>
        <v/>
      </c>
    </row>
    <row r="297" spans="1:11" x14ac:dyDescent="0.35">
      <c r="A297" s="2">
        <f>'stuttgart-bkjck-rawbinary'!A297</f>
        <v>3175</v>
      </c>
      <c r="B297" t="str">
        <f ca="1">LOOKUP(A297,'stuttgart-bkjck-rawbinary'!$A$2:$A$449,'stuttgart-bkjck-rawbinary'!$H$2:$H744)</f>
        <v>u</v>
      </c>
      <c r="C297" t="str">
        <f>Weigt!C297</f>
        <v>3175</v>
      </c>
      <c r="D297" t="str">
        <f>Weigt!M297</f>
        <v>u</v>
      </c>
      <c r="E297" t="str">
        <f t="shared" ca="1" si="12"/>
        <v/>
      </c>
      <c r="F297">
        <f>'stuttgart-bkjck-rawbinary'!I297</f>
        <v>51</v>
      </c>
      <c r="G297">
        <f>Weigt!N297</f>
        <v>51</v>
      </c>
      <c r="H297" t="str">
        <f t="shared" si="13"/>
        <v/>
      </c>
      <c r="I297">
        <f>'stuttgart-bkjck-rawbinary'!J297</f>
        <v>0</v>
      </c>
      <c r="J297">
        <f>Weigt!O297</f>
        <v>0</v>
      </c>
      <c r="K297" t="str">
        <f t="shared" si="14"/>
        <v/>
      </c>
    </row>
    <row r="298" spans="1:11" x14ac:dyDescent="0.35">
      <c r="A298" s="2">
        <f>'stuttgart-bkjck-rawbinary'!A298</f>
        <v>3176</v>
      </c>
      <c r="B298" t="str">
        <f ca="1">LOOKUP(A298,'stuttgart-bkjck-rawbinary'!$A$2:$A$449,'stuttgart-bkjck-rawbinary'!$H$2:$H745)</f>
        <v>i</v>
      </c>
      <c r="C298" t="str">
        <f>Weigt!C298</f>
        <v>3176</v>
      </c>
      <c r="D298" t="str">
        <f>Weigt!M298</f>
        <v>i</v>
      </c>
      <c r="E298" t="str">
        <f t="shared" ca="1" si="12"/>
        <v/>
      </c>
      <c r="F298">
        <f>'stuttgart-bkjck-rawbinary'!I298</f>
        <v>8</v>
      </c>
      <c r="G298">
        <f>Weigt!N298</f>
        <v>8</v>
      </c>
      <c r="H298" t="str">
        <f t="shared" si="13"/>
        <v/>
      </c>
      <c r="I298">
        <f>'stuttgart-bkjck-rawbinary'!J298</f>
        <v>31</v>
      </c>
      <c r="J298">
        <f>Weigt!O298</f>
        <v>31</v>
      </c>
      <c r="K298" t="str">
        <f t="shared" si="14"/>
        <v/>
      </c>
    </row>
    <row r="299" spans="1:11" x14ac:dyDescent="0.35">
      <c r="A299" s="2">
        <f>'stuttgart-bkjck-rawbinary'!A299</f>
        <v>3177</v>
      </c>
      <c r="B299" t="str">
        <f ca="1">LOOKUP(A299,'stuttgart-bkjck-rawbinary'!$A$2:$A$449,'stuttgart-bkjck-rawbinary'!$H$2:$H746)</f>
        <v>b</v>
      </c>
      <c r="C299" t="str">
        <f>Weigt!C299</f>
        <v>3177</v>
      </c>
      <c r="D299" t="str">
        <f>Weigt!M299</f>
        <v>b</v>
      </c>
      <c r="E299" t="str">
        <f t="shared" ca="1" si="12"/>
        <v/>
      </c>
      <c r="F299">
        <f>'stuttgart-bkjck-rawbinary'!I299</f>
        <v>45</v>
      </c>
      <c r="G299">
        <f>Weigt!N299</f>
        <v>45</v>
      </c>
      <c r="H299" t="str">
        <f t="shared" si="13"/>
        <v/>
      </c>
      <c r="I299">
        <f>'stuttgart-bkjck-rawbinary'!J299</f>
        <v>37</v>
      </c>
      <c r="J299">
        <f>Weigt!O299</f>
        <v>37</v>
      </c>
      <c r="K299" t="str">
        <f t="shared" si="14"/>
        <v/>
      </c>
    </row>
    <row r="300" spans="1:11" x14ac:dyDescent="0.35">
      <c r="A300" s="2">
        <f>'stuttgart-bkjck-rawbinary'!A300</f>
        <v>3178</v>
      </c>
      <c r="B300" t="str">
        <f ca="1">LOOKUP(A300,'stuttgart-bkjck-rawbinary'!$A$2:$A$449,'stuttgart-bkjck-rawbinary'!$H$2:$H747)</f>
        <v>r</v>
      </c>
      <c r="C300" t="str">
        <f>Weigt!C300</f>
        <v>3178</v>
      </c>
      <c r="D300" t="str">
        <f>Weigt!M300</f>
        <v>r</v>
      </c>
      <c r="E300" t="str">
        <f t="shared" ca="1" si="12"/>
        <v/>
      </c>
      <c r="F300">
        <f>'stuttgart-bkjck-rawbinary'!I300</f>
        <v>50</v>
      </c>
      <c r="G300">
        <f>Weigt!N300</f>
        <v>50</v>
      </c>
      <c r="H300" t="str">
        <f t="shared" si="13"/>
        <v/>
      </c>
      <c r="I300">
        <f>'stuttgart-bkjck-rawbinary'!J300</f>
        <v>46</v>
      </c>
      <c r="J300">
        <f>Weigt!O300</f>
        <v>46</v>
      </c>
      <c r="K300" t="str">
        <f t="shared" si="14"/>
        <v/>
      </c>
    </row>
    <row r="301" spans="1:11" x14ac:dyDescent="0.35">
      <c r="A301" s="2">
        <f>'stuttgart-bkjck-rawbinary'!A301</f>
        <v>3179</v>
      </c>
      <c r="B301" t="str">
        <f ca="1">LOOKUP(A301,'stuttgart-bkjck-rawbinary'!$A$2:$A$449,'stuttgart-bkjck-rawbinary'!$H$2:$H748)</f>
        <v>u</v>
      </c>
      <c r="C301" t="str">
        <f>Weigt!C301</f>
        <v>3179</v>
      </c>
      <c r="D301" t="str">
        <f>Weigt!M301</f>
        <v>u</v>
      </c>
      <c r="E301" t="str">
        <f t="shared" ca="1" si="12"/>
        <v/>
      </c>
      <c r="F301">
        <f>'stuttgart-bkjck-rawbinary'!I301</f>
        <v>50</v>
      </c>
      <c r="G301">
        <f>Weigt!N301</f>
        <v>50</v>
      </c>
      <c r="H301" t="str">
        <f t="shared" si="13"/>
        <v/>
      </c>
      <c r="I301">
        <f>'stuttgart-bkjck-rawbinary'!J301</f>
        <v>32</v>
      </c>
      <c r="J301">
        <f>Weigt!O301</f>
        <v>32</v>
      </c>
      <c r="K301" t="str">
        <f t="shared" si="14"/>
        <v/>
      </c>
    </row>
    <row r="302" spans="1:11" x14ac:dyDescent="0.35">
      <c r="A302" s="2">
        <f>'stuttgart-bkjck-rawbinary'!A302</f>
        <v>3180</v>
      </c>
      <c r="B302" t="str">
        <f ca="1">LOOKUP(A302,'stuttgart-bkjck-rawbinary'!$A$2:$A$449,'stuttgart-bkjck-rawbinary'!$H$2:$H749)</f>
        <v>r</v>
      </c>
      <c r="C302" t="str">
        <f>Weigt!C302</f>
        <v>3180</v>
      </c>
      <c r="D302" t="str">
        <f>Weigt!M302</f>
        <v>r</v>
      </c>
      <c r="E302" t="str">
        <f t="shared" ca="1" si="12"/>
        <v/>
      </c>
      <c r="F302">
        <f>'stuttgart-bkjck-rawbinary'!I302</f>
        <v>51</v>
      </c>
      <c r="G302">
        <f>Weigt!N302</f>
        <v>51</v>
      </c>
      <c r="H302" t="str">
        <f t="shared" si="13"/>
        <v/>
      </c>
      <c r="I302">
        <f>'stuttgart-bkjck-rawbinary'!J302</f>
        <v>0</v>
      </c>
      <c r="J302">
        <f>Weigt!O302</f>
        <v>0</v>
      </c>
      <c r="K302" t="str">
        <f t="shared" si="14"/>
        <v/>
      </c>
    </row>
    <row r="303" spans="1:11" x14ac:dyDescent="0.35">
      <c r="A303" s="2">
        <f>'stuttgart-bkjck-rawbinary'!A303</f>
        <v>3181</v>
      </c>
      <c r="B303" t="str">
        <f ca="1">LOOKUP(A303,'stuttgart-bkjck-rawbinary'!$A$2:$A$449,'stuttgart-bkjck-rawbinary'!$H$2:$H750)</f>
        <v>u</v>
      </c>
      <c r="C303" t="str">
        <f>Weigt!C303</f>
        <v>3181</v>
      </c>
      <c r="D303" t="str">
        <f>Weigt!M303</f>
        <v>u</v>
      </c>
      <c r="E303" t="str">
        <f t="shared" ca="1" si="12"/>
        <v/>
      </c>
      <c r="F303">
        <f>'stuttgart-bkjck-rawbinary'!I303</f>
        <v>51</v>
      </c>
      <c r="G303">
        <f>Weigt!N303</f>
        <v>51</v>
      </c>
      <c r="H303" t="str">
        <f t="shared" si="13"/>
        <v/>
      </c>
      <c r="I303">
        <f>'stuttgart-bkjck-rawbinary'!J303</f>
        <v>0</v>
      </c>
      <c r="J303">
        <f>Weigt!O303</f>
        <v>0</v>
      </c>
      <c r="K303" t="str">
        <f t="shared" si="14"/>
        <v/>
      </c>
    </row>
    <row r="304" spans="1:11" x14ac:dyDescent="0.35">
      <c r="A304" s="2">
        <f>'stuttgart-bkjck-rawbinary'!A304</f>
        <v>3182</v>
      </c>
      <c r="B304" t="str">
        <f ca="1">LOOKUP(A304,'stuttgart-bkjck-rawbinary'!$A$2:$A$449,'stuttgart-bkjck-rawbinary'!$H$2:$H751)</f>
        <v>i</v>
      </c>
      <c r="C304" t="str">
        <f>Weigt!C304</f>
        <v>3182</v>
      </c>
      <c r="D304" t="str">
        <f>Weigt!M304</f>
        <v>i</v>
      </c>
      <c r="E304" t="str">
        <f t="shared" ca="1" si="12"/>
        <v/>
      </c>
      <c r="F304">
        <f>'stuttgart-bkjck-rawbinary'!I304</f>
        <v>4</v>
      </c>
      <c r="G304">
        <f>Weigt!N304</f>
        <v>4</v>
      </c>
      <c r="H304" t="str">
        <f t="shared" si="13"/>
        <v/>
      </c>
      <c r="I304">
        <f>'stuttgart-bkjck-rawbinary'!J304</f>
        <v>31</v>
      </c>
      <c r="J304">
        <f>Weigt!O304</f>
        <v>31</v>
      </c>
      <c r="K304" t="str">
        <f t="shared" si="14"/>
        <v/>
      </c>
    </row>
    <row r="305" spans="1:11" x14ac:dyDescent="0.35">
      <c r="A305" s="2">
        <f>'stuttgart-bkjck-rawbinary'!A305</f>
        <v>3183</v>
      </c>
      <c r="B305" t="str">
        <f ca="1">LOOKUP(A305,'stuttgart-bkjck-rawbinary'!$A$2:$A$449,'stuttgart-bkjck-rawbinary'!$H$2:$H752)</f>
        <v>b</v>
      </c>
      <c r="C305" t="str">
        <f>Weigt!C305</f>
        <v>3183</v>
      </c>
      <c r="D305" t="str">
        <f>Weigt!M305</f>
        <v>b</v>
      </c>
      <c r="E305" t="str">
        <f t="shared" ca="1" si="12"/>
        <v/>
      </c>
      <c r="F305">
        <f>'stuttgart-bkjck-rawbinary'!I305</f>
        <v>50</v>
      </c>
      <c r="G305">
        <f>Weigt!N305</f>
        <v>50</v>
      </c>
      <c r="H305" t="str">
        <f t="shared" si="13"/>
        <v/>
      </c>
      <c r="I305">
        <f>'stuttgart-bkjck-rawbinary'!J305</f>
        <v>30</v>
      </c>
      <c r="J305">
        <f>Weigt!O305</f>
        <v>30</v>
      </c>
      <c r="K305" t="str">
        <f t="shared" si="14"/>
        <v/>
      </c>
    </row>
    <row r="306" spans="1:11" x14ac:dyDescent="0.35">
      <c r="A306" s="2">
        <f>'stuttgart-bkjck-rawbinary'!A306</f>
        <v>3184</v>
      </c>
      <c r="B306" t="str">
        <f ca="1">LOOKUP(A306,'stuttgart-bkjck-rawbinary'!$A$2:$A$449,'stuttgart-bkjck-rawbinary'!$H$2:$H753)</f>
        <v>t</v>
      </c>
      <c r="C306" t="str">
        <f>Weigt!C306</f>
        <v>3184</v>
      </c>
      <c r="D306" t="str">
        <f>Weigt!M306</f>
        <v>t</v>
      </c>
      <c r="E306" t="str">
        <f t="shared" ca="1" si="12"/>
        <v/>
      </c>
      <c r="F306">
        <f>'stuttgart-bkjck-rawbinary'!I306</f>
        <v>49</v>
      </c>
      <c r="G306">
        <f>Weigt!N306</f>
        <v>49</v>
      </c>
      <c r="H306" t="str">
        <f t="shared" si="13"/>
        <v/>
      </c>
      <c r="I306">
        <f>'stuttgart-bkjck-rawbinary'!J306</f>
        <v>62</v>
      </c>
      <c r="J306">
        <f>Weigt!O306</f>
        <v>62</v>
      </c>
      <c r="K306" t="str">
        <f t="shared" si="14"/>
        <v/>
      </c>
    </row>
    <row r="307" spans="1:11" x14ac:dyDescent="0.35">
      <c r="A307" s="2">
        <f>'stuttgart-bkjck-rawbinary'!A307</f>
        <v>3185</v>
      </c>
      <c r="B307" t="str">
        <f ca="1">LOOKUP(A307,'stuttgart-bkjck-rawbinary'!$A$2:$A$449,'stuttgart-bkjck-rawbinary'!$H$2:$H754)</f>
        <v>p</v>
      </c>
      <c r="C307" t="str">
        <f>Weigt!C307</f>
        <v>3185</v>
      </c>
      <c r="D307" t="str">
        <f>Weigt!M307</f>
        <v>p</v>
      </c>
      <c r="E307" t="str">
        <f t="shared" ca="1" si="12"/>
        <v/>
      </c>
      <c r="F307">
        <f>'stuttgart-bkjck-rawbinary'!I307</f>
        <v>16</v>
      </c>
      <c r="G307">
        <f>Weigt!N307</f>
        <v>16</v>
      </c>
      <c r="H307" t="str">
        <f t="shared" si="13"/>
        <v/>
      </c>
      <c r="I307">
        <f>'stuttgart-bkjck-rawbinary'!J307</f>
        <v>0</v>
      </c>
      <c r="J307">
        <f>Weigt!O307</f>
        <v>0</v>
      </c>
      <c r="K307" t="str">
        <f t="shared" si="14"/>
        <v/>
      </c>
    </row>
    <row r="308" spans="1:11" x14ac:dyDescent="0.35">
      <c r="A308" s="2">
        <f>'stuttgart-bkjck-rawbinary'!A308</f>
        <v>3186</v>
      </c>
      <c r="B308" t="str">
        <f ca="1">LOOKUP(A308,'stuttgart-bkjck-rawbinary'!$A$2:$A$449,'stuttgart-bkjck-rawbinary'!$H$2:$H755)</f>
        <v>c</v>
      </c>
      <c r="C308" t="str">
        <f>Weigt!C308</f>
        <v>3186</v>
      </c>
      <c r="D308" t="str">
        <f>Weigt!M308</f>
        <v>c</v>
      </c>
      <c r="E308" t="str">
        <f t="shared" ca="1" si="12"/>
        <v/>
      </c>
      <c r="F308">
        <f>'stuttgart-bkjck-rawbinary'!I308</f>
        <v>50</v>
      </c>
      <c r="G308">
        <f>Weigt!N308</f>
        <v>50</v>
      </c>
      <c r="H308" t="str">
        <f t="shared" si="13"/>
        <v/>
      </c>
      <c r="I308">
        <f>'stuttgart-bkjck-rawbinary'!J308</f>
        <v>31</v>
      </c>
      <c r="J308">
        <f>Weigt!O308</f>
        <v>31</v>
      </c>
      <c r="K308" t="str">
        <f t="shared" si="14"/>
        <v/>
      </c>
    </row>
    <row r="309" spans="1:11" x14ac:dyDescent="0.35">
      <c r="A309" s="2">
        <f>'stuttgart-bkjck-rawbinary'!A309</f>
        <v>3187</v>
      </c>
      <c r="B309" t="str">
        <f ca="1">LOOKUP(A309,'stuttgart-bkjck-rawbinary'!$A$2:$A$449,'stuttgart-bkjck-rawbinary'!$H$2:$H756)</f>
        <v>c</v>
      </c>
      <c r="C309" t="str">
        <f>Weigt!C309</f>
        <v>3187</v>
      </c>
      <c r="D309" t="str">
        <f>Weigt!M309</f>
        <v>c</v>
      </c>
      <c r="E309" t="str">
        <f t="shared" ca="1" si="12"/>
        <v/>
      </c>
      <c r="F309">
        <f>'stuttgart-bkjck-rawbinary'!I309</f>
        <v>50</v>
      </c>
      <c r="G309">
        <f>Weigt!N309</f>
        <v>50</v>
      </c>
      <c r="H309" t="str">
        <f t="shared" si="13"/>
        <v/>
      </c>
      <c r="I309">
        <f>'stuttgart-bkjck-rawbinary'!J309</f>
        <v>31</v>
      </c>
      <c r="J309">
        <f>Weigt!O309</f>
        <v>31</v>
      </c>
      <c r="K309" t="str">
        <f t="shared" si="14"/>
        <v/>
      </c>
    </row>
    <row r="310" spans="1:11" x14ac:dyDescent="0.35">
      <c r="A310" s="2">
        <f>'stuttgart-bkjck-rawbinary'!A310</f>
        <v>3188</v>
      </c>
      <c r="B310" t="str">
        <f ca="1">LOOKUP(A310,'stuttgart-bkjck-rawbinary'!$A$2:$A$449,'stuttgart-bkjck-rawbinary'!$H$2:$H757)</f>
        <v>c</v>
      </c>
      <c r="C310" t="str">
        <f>Weigt!C310</f>
        <v>3188</v>
      </c>
      <c r="D310" t="str">
        <f>Weigt!M310</f>
        <v>c</v>
      </c>
      <c r="E310" t="str">
        <f t="shared" ca="1" si="12"/>
        <v/>
      </c>
      <c r="F310">
        <f>'stuttgart-bkjck-rawbinary'!I310</f>
        <v>47</v>
      </c>
      <c r="G310">
        <f>Weigt!N310</f>
        <v>47</v>
      </c>
      <c r="H310" t="str">
        <f t="shared" si="13"/>
        <v/>
      </c>
      <c r="I310">
        <f>'stuttgart-bkjck-rawbinary'!J310</f>
        <v>23</v>
      </c>
      <c r="J310">
        <f>Weigt!O310</f>
        <v>23</v>
      </c>
      <c r="K310" t="str">
        <f t="shared" si="14"/>
        <v/>
      </c>
    </row>
    <row r="311" spans="1:11" x14ac:dyDescent="0.35">
      <c r="A311" s="2">
        <f>'stuttgart-bkjck-rawbinary'!A311</f>
        <v>3189</v>
      </c>
      <c r="B311" t="str">
        <f ca="1">LOOKUP(A311,'stuttgart-bkjck-rawbinary'!$A$2:$A$449,'stuttgart-bkjck-rawbinary'!$H$2:$H758)</f>
        <v>z</v>
      </c>
      <c r="C311" t="str">
        <f>Weigt!C311</f>
        <v>3189</v>
      </c>
      <c r="D311" t="str">
        <f>Weigt!M311</f>
        <v>z</v>
      </c>
      <c r="E311" t="str">
        <f t="shared" ca="1" si="12"/>
        <v/>
      </c>
      <c r="F311">
        <f>'stuttgart-bkjck-rawbinary'!I311</f>
        <v>0</v>
      </c>
      <c r="G311">
        <f>Weigt!N311</f>
        <v>0</v>
      </c>
      <c r="H311" t="str">
        <f t="shared" si="13"/>
        <v/>
      </c>
      <c r="I311">
        <f>'stuttgart-bkjck-rawbinary'!J311</f>
        <v>26</v>
      </c>
      <c r="J311">
        <f>Weigt!O311</f>
        <v>26</v>
      </c>
      <c r="K311" t="str">
        <f t="shared" si="14"/>
        <v/>
      </c>
    </row>
    <row r="312" spans="1:11" x14ac:dyDescent="0.35">
      <c r="A312" s="2">
        <f>'stuttgart-bkjck-rawbinary'!A312</f>
        <v>3190</v>
      </c>
      <c r="B312" t="str">
        <f ca="1">LOOKUP(A312,'stuttgart-bkjck-rawbinary'!$A$2:$A$449,'stuttgart-bkjck-rawbinary'!$H$2:$H759)</f>
        <v>u</v>
      </c>
      <c r="C312" t="str">
        <f>Weigt!C312</f>
        <v>3190</v>
      </c>
      <c r="D312" t="str">
        <f>Weigt!M312</f>
        <v>u</v>
      </c>
      <c r="E312" t="str">
        <f t="shared" ca="1" si="12"/>
        <v/>
      </c>
      <c r="F312">
        <f>'stuttgart-bkjck-rawbinary'!I312</f>
        <v>50</v>
      </c>
      <c r="G312">
        <f>Weigt!N312</f>
        <v>50</v>
      </c>
      <c r="H312" t="str">
        <f t="shared" si="13"/>
        <v/>
      </c>
      <c r="I312">
        <f>'stuttgart-bkjck-rawbinary'!J312</f>
        <v>61</v>
      </c>
      <c r="J312">
        <f>Weigt!O312</f>
        <v>61</v>
      </c>
      <c r="K312" t="str">
        <f t="shared" si="14"/>
        <v/>
      </c>
    </row>
    <row r="313" spans="1:11" x14ac:dyDescent="0.35">
      <c r="A313" s="2">
        <f>'stuttgart-bkjck-rawbinary'!A313</f>
        <v>3191</v>
      </c>
      <c r="B313" t="str">
        <f ca="1">LOOKUP(A313,'stuttgart-bkjck-rawbinary'!$A$2:$A$449,'stuttgart-bkjck-rawbinary'!$H$2:$H760)</f>
        <v>p</v>
      </c>
      <c r="C313" t="str">
        <f>Weigt!C313</f>
        <v>3191</v>
      </c>
      <c r="D313" t="str">
        <f>Weigt!M313</f>
        <v>p</v>
      </c>
      <c r="E313" t="str">
        <f t="shared" ca="1" si="12"/>
        <v/>
      </c>
      <c r="F313">
        <f>'stuttgart-bkjck-rawbinary'!I313</f>
        <v>12</v>
      </c>
      <c r="G313">
        <f>Weigt!N313</f>
        <v>12</v>
      </c>
      <c r="H313" t="str">
        <f t="shared" si="13"/>
        <v/>
      </c>
      <c r="I313">
        <f>'stuttgart-bkjck-rawbinary'!J313</f>
        <v>0</v>
      </c>
      <c r="J313">
        <f>Weigt!O313</f>
        <v>0</v>
      </c>
      <c r="K313" t="str">
        <f t="shared" si="14"/>
        <v/>
      </c>
    </row>
    <row r="314" spans="1:11" x14ac:dyDescent="0.35">
      <c r="A314" s="2">
        <f>'stuttgart-bkjck-rawbinary'!A314</f>
        <v>3192</v>
      </c>
      <c r="B314" t="str">
        <f ca="1">LOOKUP(A314,'stuttgart-bkjck-rawbinary'!$A$2:$A$449,'stuttgart-bkjck-rawbinary'!$H$2:$H761)</f>
        <v>z</v>
      </c>
      <c r="C314" t="str">
        <f>Weigt!C314</f>
        <v>3192</v>
      </c>
      <c r="D314" t="str">
        <f>Weigt!M314</f>
        <v>z</v>
      </c>
      <c r="E314" t="str">
        <f t="shared" ca="1" si="12"/>
        <v/>
      </c>
      <c r="F314">
        <f>'stuttgart-bkjck-rawbinary'!I314</f>
        <v>0</v>
      </c>
      <c r="G314">
        <f>Weigt!N314</f>
        <v>0</v>
      </c>
      <c r="H314" t="str">
        <f t="shared" si="13"/>
        <v/>
      </c>
      <c r="I314">
        <f>'stuttgart-bkjck-rawbinary'!J314</f>
        <v>3</v>
      </c>
      <c r="J314">
        <f>Weigt!O314</f>
        <v>3</v>
      </c>
      <c r="K314" t="str">
        <f t="shared" si="14"/>
        <v/>
      </c>
    </row>
    <row r="315" spans="1:11" x14ac:dyDescent="0.35">
      <c r="A315" s="2">
        <f>'stuttgart-bkjck-rawbinary'!A315</f>
        <v>3193</v>
      </c>
      <c r="B315" t="str">
        <f ca="1">LOOKUP(A315,'stuttgart-bkjck-rawbinary'!$A$2:$A$449,'stuttgart-bkjck-rawbinary'!$H$2:$H762)</f>
        <v>c</v>
      </c>
      <c r="C315" t="str">
        <f>Weigt!C315</f>
        <v>3193</v>
      </c>
      <c r="D315" t="str">
        <f>Weigt!M315</f>
        <v>c</v>
      </c>
      <c r="E315" t="str">
        <f t="shared" ca="1" si="12"/>
        <v/>
      </c>
      <c r="F315">
        <f>'stuttgart-bkjck-rawbinary'!I315</f>
        <v>50</v>
      </c>
      <c r="G315">
        <f>Weigt!N315</f>
        <v>50</v>
      </c>
      <c r="H315" t="str">
        <f t="shared" si="13"/>
        <v/>
      </c>
      <c r="I315">
        <f>'stuttgart-bkjck-rawbinary'!J315</f>
        <v>30</v>
      </c>
      <c r="J315">
        <f>Weigt!O315</f>
        <v>30</v>
      </c>
      <c r="K315" t="str">
        <f t="shared" si="14"/>
        <v/>
      </c>
    </row>
    <row r="316" spans="1:11" x14ac:dyDescent="0.35">
      <c r="A316" s="2">
        <f>'stuttgart-bkjck-rawbinary'!A316</f>
        <v>3194</v>
      </c>
      <c r="B316" t="str">
        <f ca="1">LOOKUP(A316,'stuttgart-bkjck-rawbinary'!$A$2:$A$449,'stuttgart-bkjck-rawbinary'!$H$2:$H763)</f>
        <v>s</v>
      </c>
      <c r="C316" t="str">
        <f>Weigt!C316</f>
        <v>3194</v>
      </c>
      <c r="D316" t="str">
        <f>Weigt!M316</f>
        <v>s</v>
      </c>
      <c r="E316" t="str">
        <f t="shared" ca="1" si="12"/>
        <v/>
      </c>
      <c r="F316">
        <f>'stuttgart-bkjck-rawbinary'!I316</f>
        <v>50</v>
      </c>
      <c r="G316">
        <f>Weigt!N316</f>
        <v>50</v>
      </c>
      <c r="H316" t="str">
        <f t="shared" si="13"/>
        <v/>
      </c>
      <c r="I316">
        <f>'stuttgart-bkjck-rawbinary'!J316</f>
        <v>30</v>
      </c>
      <c r="J316">
        <f>Weigt!O316</f>
        <v>30</v>
      </c>
      <c r="K316" t="str">
        <f t="shared" si="14"/>
        <v/>
      </c>
    </row>
    <row r="317" spans="1:11" x14ac:dyDescent="0.35">
      <c r="A317" s="2">
        <f>'stuttgart-bkjck-rawbinary'!A317</f>
        <v>3195</v>
      </c>
      <c r="B317" t="str">
        <f ca="1">LOOKUP(A317,'stuttgart-bkjck-rawbinary'!$A$2:$A$449,'stuttgart-bkjck-rawbinary'!$H$2:$H764)</f>
        <v>p</v>
      </c>
      <c r="C317" t="str">
        <f>Weigt!C317</f>
        <v>3195</v>
      </c>
      <c r="D317" t="str">
        <f>Weigt!M317</f>
        <v>p</v>
      </c>
      <c r="E317" t="str">
        <f t="shared" ca="1" si="12"/>
        <v/>
      </c>
      <c r="F317">
        <f>'stuttgart-bkjck-rawbinary'!I317</f>
        <v>7</v>
      </c>
      <c r="G317">
        <f>Weigt!N317</f>
        <v>7</v>
      </c>
      <c r="H317" t="str">
        <f t="shared" si="13"/>
        <v/>
      </c>
      <c r="I317">
        <f>'stuttgart-bkjck-rawbinary'!J317</f>
        <v>0</v>
      </c>
      <c r="J317">
        <f>Weigt!O317</f>
        <v>0</v>
      </c>
      <c r="K317" t="str">
        <f t="shared" si="14"/>
        <v/>
      </c>
    </row>
    <row r="318" spans="1:11" x14ac:dyDescent="0.35">
      <c r="A318" s="2">
        <f>'stuttgart-bkjck-rawbinary'!A318</f>
        <v>3196</v>
      </c>
      <c r="B318" t="str">
        <f ca="1">LOOKUP(A318,'stuttgart-bkjck-rawbinary'!$A$2:$A$449,'stuttgart-bkjck-rawbinary'!$H$2:$H765)</f>
        <v>z</v>
      </c>
      <c r="C318" t="str">
        <f>Weigt!C318</f>
        <v>3196</v>
      </c>
      <c r="D318" t="str">
        <f>Weigt!M318</f>
        <v>z</v>
      </c>
      <c r="E318" t="str">
        <f t="shared" ca="1" si="12"/>
        <v/>
      </c>
      <c r="F318">
        <f>'stuttgart-bkjck-rawbinary'!I318</f>
        <v>0</v>
      </c>
      <c r="G318">
        <f>Weigt!N318</f>
        <v>0</v>
      </c>
      <c r="H318" t="str">
        <f t="shared" si="13"/>
        <v/>
      </c>
      <c r="I318">
        <f>'stuttgart-bkjck-rawbinary'!J318</f>
        <v>15</v>
      </c>
      <c r="J318">
        <f>Weigt!O318</f>
        <v>15</v>
      </c>
      <c r="K318" t="str">
        <f t="shared" si="14"/>
        <v/>
      </c>
    </row>
    <row r="319" spans="1:11" x14ac:dyDescent="0.35">
      <c r="A319" s="2">
        <f>'stuttgart-bkjck-rawbinary'!A319</f>
        <v>3197</v>
      </c>
      <c r="B319" t="str">
        <f ca="1">LOOKUP(A319,'stuttgart-bkjck-rawbinary'!$A$2:$A$449,'stuttgart-bkjck-rawbinary'!$H$2:$H766)</f>
        <v>u</v>
      </c>
      <c r="C319" t="str">
        <f>Weigt!C319</f>
        <v>3197</v>
      </c>
      <c r="D319" t="str">
        <f>Weigt!M319</f>
        <v>u</v>
      </c>
      <c r="E319" t="str">
        <f t="shared" ca="1" si="12"/>
        <v/>
      </c>
      <c r="F319">
        <f>'stuttgart-bkjck-rawbinary'!I319</f>
        <v>49</v>
      </c>
      <c r="G319">
        <f>Weigt!N319</f>
        <v>49</v>
      </c>
      <c r="H319" t="str">
        <f t="shared" si="13"/>
        <v/>
      </c>
      <c r="I319">
        <f>'stuttgart-bkjck-rawbinary'!J319</f>
        <v>37</v>
      </c>
      <c r="J319">
        <f>Weigt!O319</f>
        <v>37</v>
      </c>
      <c r="K319" t="str">
        <f t="shared" si="14"/>
        <v/>
      </c>
    </row>
    <row r="320" spans="1:11" x14ac:dyDescent="0.35">
      <c r="A320" s="2">
        <f>'stuttgart-bkjck-rawbinary'!A320</f>
        <v>3198</v>
      </c>
      <c r="B320" t="str">
        <f ca="1">LOOKUP(A320,'stuttgart-bkjck-rawbinary'!$A$2:$A$449,'stuttgart-bkjck-rawbinary'!$H$2:$H767)</f>
        <v>p</v>
      </c>
      <c r="C320" t="str">
        <f>Weigt!C320</f>
        <v>3198</v>
      </c>
      <c r="D320" t="str">
        <f>Weigt!M320</f>
        <v>p</v>
      </c>
      <c r="E320" t="str">
        <f t="shared" ca="1" si="12"/>
        <v/>
      </c>
      <c r="F320">
        <f>'stuttgart-bkjck-rawbinary'!I320</f>
        <v>12</v>
      </c>
      <c r="G320">
        <f>Weigt!N320</f>
        <v>12</v>
      </c>
      <c r="H320" t="str">
        <f t="shared" si="13"/>
        <v/>
      </c>
      <c r="I320">
        <f>'stuttgart-bkjck-rawbinary'!J320</f>
        <v>0</v>
      </c>
      <c r="J320">
        <f>Weigt!O320</f>
        <v>0</v>
      </c>
      <c r="K320" t="str">
        <f t="shared" si="14"/>
        <v/>
      </c>
    </row>
    <row r="321" spans="1:11" x14ac:dyDescent="0.35">
      <c r="A321" s="2">
        <f>'stuttgart-bkjck-rawbinary'!A321</f>
        <v>3199</v>
      </c>
      <c r="B321" t="str">
        <f ca="1">LOOKUP(A321,'stuttgart-bkjck-rawbinary'!$A$2:$A$449,'stuttgart-bkjck-rawbinary'!$H$2:$H768)</f>
        <v>z</v>
      </c>
      <c r="C321" t="str">
        <f>Weigt!C321</f>
        <v>3199</v>
      </c>
      <c r="D321" t="str">
        <f>Weigt!M321</f>
        <v>z</v>
      </c>
      <c r="E321" t="str">
        <f t="shared" ca="1" si="12"/>
        <v/>
      </c>
      <c r="F321">
        <f>'stuttgart-bkjck-rawbinary'!I321</f>
        <v>0</v>
      </c>
      <c r="G321">
        <f>Weigt!N321</f>
        <v>0</v>
      </c>
      <c r="H321" t="str">
        <f t="shared" si="13"/>
        <v/>
      </c>
      <c r="I321">
        <f>'stuttgart-bkjck-rawbinary'!J321</f>
        <v>2</v>
      </c>
      <c r="J321">
        <f>Weigt!O321</f>
        <v>2</v>
      </c>
      <c r="K321" t="str">
        <f t="shared" si="14"/>
        <v/>
      </c>
    </row>
    <row r="322" spans="1:11" x14ac:dyDescent="0.35">
      <c r="A322" s="2">
        <f>'stuttgart-bkjck-rawbinary'!A322</f>
        <v>3200</v>
      </c>
      <c r="B322" t="str">
        <f ca="1">LOOKUP(A322,'stuttgart-bkjck-rawbinary'!$A$2:$A$449,'stuttgart-bkjck-rawbinary'!$H$2:$H769)</f>
        <v>u</v>
      </c>
      <c r="C322" t="str">
        <f>Weigt!C322</f>
        <v>3200</v>
      </c>
      <c r="D322" t="str">
        <f>Weigt!M322</f>
        <v>u</v>
      </c>
      <c r="E322" t="str">
        <f t="shared" ca="1" si="12"/>
        <v/>
      </c>
      <c r="F322">
        <f>'stuttgart-bkjck-rawbinary'!I322</f>
        <v>49</v>
      </c>
      <c r="G322">
        <f>Weigt!N322</f>
        <v>49</v>
      </c>
      <c r="H322" t="str">
        <f t="shared" si="13"/>
        <v/>
      </c>
      <c r="I322">
        <f>'stuttgart-bkjck-rawbinary'!J322</f>
        <v>49</v>
      </c>
      <c r="J322">
        <f>Weigt!O322</f>
        <v>49</v>
      </c>
      <c r="K322" t="str">
        <f t="shared" si="14"/>
        <v/>
      </c>
    </row>
    <row r="323" spans="1:11" x14ac:dyDescent="0.35">
      <c r="A323" s="2">
        <f>'stuttgart-bkjck-rawbinary'!A323</f>
        <v>3201</v>
      </c>
      <c r="B323" t="str">
        <f ca="1">LOOKUP(A323,'stuttgart-bkjck-rawbinary'!$A$2:$A$449,'stuttgart-bkjck-rawbinary'!$H$2:$H770)</f>
        <v>a</v>
      </c>
      <c r="C323" t="str">
        <f>Weigt!C323</f>
        <v>3201</v>
      </c>
      <c r="D323" t="str">
        <f>Weigt!M323</f>
        <v>a</v>
      </c>
      <c r="E323" t="str">
        <f t="shared" ref="E323:E386" ca="1" si="15">IF(B323&lt;&gt;D323,"*","")</f>
        <v/>
      </c>
      <c r="F323">
        <f>'stuttgart-bkjck-rawbinary'!I323</f>
        <v>46</v>
      </c>
      <c r="G323">
        <f>Weigt!N323</f>
        <v>46</v>
      </c>
      <c r="H323" t="str">
        <f t="shared" ref="H323:H386" si="16">IF(F323&lt;&gt;G323,"*","")</f>
        <v/>
      </c>
      <c r="I323">
        <f>'stuttgart-bkjck-rawbinary'!J323</f>
        <v>35</v>
      </c>
      <c r="J323">
        <f>Weigt!O323</f>
        <v>35</v>
      </c>
      <c r="K323" t="str">
        <f t="shared" ref="K323:K386" si="17">IF(I323&lt;&gt;J323,"*","")</f>
        <v/>
      </c>
    </row>
    <row r="324" spans="1:11" x14ac:dyDescent="0.35">
      <c r="A324" s="2">
        <f>'stuttgart-bkjck-rawbinary'!A324</f>
        <v>3202</v>
      </c>
      <c r="B324" t="str">
        <f ca="1">LOOKUP(A324,'stuttgart-bkjck-rawbinary'!$A$2:$A$449,'stuttgart-bkjck-rawbinary'!$H$2:$H771)</f>
        <v>t</v>
      </c>
      <c r="C324" t="str">
        <f>Weigt!C324</f>
        <v>3202</v>
      </c>
      <c r="D324" t="str">
        <f>Weigt!M324</f>
        <v>t</v>
      </c>
      <c r="E324" t="str">
        <f t="shared" ca="1" si="15"/>
        <v/>
      </c>
      <c r="F324">
        <f>'stuttgart-bkjck-rawbinary'!I324</f>
        <v>50</v>
      </c>
      <c r="G324">
        <f>Weigt!N324</f>
        <v>50</v>
      </c>
      <c r="H324" t="str">
        <f t="shared" si="16"/>
        <v/>
      </c>
      <c r="I324">
        <f>'stuttgart-bkjck-rawbinary'!J324</f>
        <v>16</v>
      </c>
      <c r="J324">
        <f>Weigt!O324</f>
        <v>16</v>
      </c>
      <c r="K324" t="str">
        <f t="shared" si="17"/>
        <v/>
      </c>
    </row>
    <row r="325" spans="1:11" x14ac:dyDescent="0.35">
      <c r="A325" s="2">
        <f>'stuttgart-bkjck-rawbinary'!A325</f>
        <v>3203</v>
      </c>
      <c r="B325" t="str">
        <f ca="1">LOOKUP(A325,'stuttgart-bkjck-rawbinary'!$A$2:$A$449,'stuttgart-bkjck-rawbinary'!$H$2:$H772)</f>
        <v>b</v>
      </c>
      <c r="C325" t="str">
        <f>Weigt!C325</f>
        <v>3203</v>
      </c>
      <c r="D325" t="str">
        <f>Weigt!M325</f>
        <v>b</v>
      </c>
      <c r="E325" t="str">
        <f t="shared" ca="1" si="15"/>
        <v/>
      </c>
      <c r="F325">
        <f>'stuttgart-bkjck-rawbinary'!I325</f>
        <v>46</v>
      </c>
      <c r="G325">
        <f>Weigt!N325</f>
        <v>46</v>
      </c>
      <c r="H325" t="str">
        <f t="shared" si="16"/>
        <v/>
      </c>
      <c r="I325">
        <f>'stuttgart-bkjck-rawbinary'!J325</f>
        <v>35</v>
      </c>
      <c r="J325">
        <f>Weigt!O325</f>
        <v>35</v>
      </c>
      <c r="K325" t="str">
        <f t="shared" si="17"/>
        <v/>
      </c>
    </row>
    <row r="326" spans="1:11" x14ac:dyDescent="0.35">
      <c r="A326" s="2">
        <f>'stuttgart-bkjck-rawbinary'!A326</f>
        <v>3204</v>
      </c>
      <c r="B326" t="str">
        <f ca="1">LOOKUP(A326,'stuttgart-bkjck-rawbinary'!$A$2:$A$449,'stuttgart-bkjck-rawbinary'!$H$2:$H773)</f>
        <v>s</v>
      </c>
      <c r="C326" t="str">
        <f>Weigt!C326</f>
        <v>3204</v>
      </c>
      <c r="D326" t="str">
        <f>Weigt!M326</f>
        <v>s</v>
      </c>
      <c r="E326" t="str">
        <f t="shared" ca="1" si="15"/>
        <v/>
      </c>
      <c r="F326">
        <f>'stuttgart-bkjck-rawbinary'!I326</f>
        <v>47</v>
      </c>
      <c r="G326">
        <f>Weigt!N326</f>
        <v>47</v>
      </c>
      <c r="H326" t="str">
        <f t="shared" si="16"/>
        <v/>
      </c>
      <c r="I326">
        <f>'stuttgart-bkjck-rawbinary'!J326</f>
        <v>23</v>
      </c>
      <c r="J326">
        <f>Weigt!O326</f>
        <v>23</v>
      </c>
      <c r="K326" t="str">
        <f t="shared" si="17"/>
        <v/>
      </c>
    </row>
    <row r="327" spans="1:11" x14ac:dyDescent="0.35">
      <c r="A327" s="2">
        <f>'stuttgart-bkjck-rawbinary'!A327</f>
        <v>3205</v>
      </c>
      <c r="B327" t="str">
        <f ca="1">LOOKUP(A327,'stuttgart-bkjck-rawbinary'!$A$2:$A$449,'stuttgart-bkjck-rawbinary'!$H$2:$H774)</f>
        <v>t</v>
      </c>
      <c r="C327" t="str">
        <f>Weigt!C327</f>
        <v>3205</v>
      </c>
      <c r="D327" t="str">
        <f>Weigt!M327</f>
        <v>t</v>
      </c>
      <c r="E327" t="str">
        <f t="shared" ca="1" si="15"/>
        <v/>
      </c>
      <c r="F327">
        <f>'stuttgart-bkjck-rawbinary'!I327</f>
        <v>50</v>
      </c>
      <c r="G327">
        <f>Weigt!N327</f>
        <v>50</v>
      </c>
      <c r="H327" t="str">
        <f t="shared" si="16"/>
        <v/>
      </c>
      <c r="I327">
        <f>'stuttgart-bkjck-rawbinary'!J327</f>
        <v>16</v>
      </c>
      <c r="J327">
        <f>Weigt!O327</f>
        <v>16</v>
      </c>
      <c r="K327" t="str">
        <f t="shared" si="17"/>
        <v/>
      </c>
    </row>
    <row r="328" spans="1:11" x14ac:dyDescent="0.35">
      <c r="A328" s="2">
        <f>'stuttgart-bkjck-rawbinary'!A328</f>
        <v>3206</v>
      </c>
      <c r="B328" t="str">
        <f ca="1">LOOKUP(A328,'stuttgart-bkjck-rawbinary'!$A$2:$A$449,'stuttgart-bkjck-rawbinary'!$H$2:$H775)</f>
        <v>r</v>
      </c>
      <c r="C328" t="str">
        <f>Weigt!C328</f>
        <v>3206</v>
      </c>
      <c r="D328" t="str">
        <f>Weigt!M328</f>
        <v>r</v>
      </c>
      <c r="E328" t="str">
        <f t="shared" ca="1" si="15"/>
        <v/>
      </c>
      <c r="F328">
        <f>'stuttgart-bkjck-rawbinary'!I328</f>
        <v>51</v>
      </c>
      <c r="G328">
        <f>Weigt!N328</f>
        <v>51</v>
      </c>
      <c r="H328" t="str">
        <f t="shared" si="16"/>
        <v/>
      </c>
      <c r="I328">
        <f>'stuttgart-bkjck-rawbinary'!J328</f>
        <v>0</v>
      </c>
      <c r="J328">
        <f>Weigt!O328</f>
        <v>0</v>
      </c>
      <c r="K328" t="str">
        <f t="shared" si="17"/>
        <v/>
      </c>
    </row>
    <row r="329" spans="1:11" x14ac:dyDescent="0.35">
      <c r="A329" s="2">
        <f>'stuttgart-bkjck-rawbinary'!A329</f>
        <v>3207</v>
      </c>
      <c r="B329" t="str">
        <f ca="1">LOOKUP(A329,'stuttgart-bkjck-rawbinary'!$A$2:$A$449,'stuttgart-bkjck-rawbinary'!$H$2:$H776)</f>
        <v>u</v>
      </c>
      <c r="C329" t="str">
        <f>Weigt!C329</f>
        <v>3207</v>
      </c>
      <c r="D329" t="str">
        <f>Weigt!M329</f>
        <v>u</v>
      </c>
      <c r="E329" t="str">
        <f t="shared" ca="1" si="15"/>
        <v/>
      </c>
      <c r="F329">
        <f>'stuttgart-bkjck-rawbinary'!I329</f>
        <v>51</v>
      </c>
      <c r="G329">
        <f>Weigt!N329</f>
        <v>51</v>
      </c>
      <c r="H329" t="str">
        <f t="shared" si="16"/>
        <v/>
      </c>
      <c r="I329">
        <f>'stuttgart-bkjck-rawbinary'!J329</f>
        <v>0</v>
      </c>
      <c r="J329">
        <f>Weigt!O329</f>
        <v>0</v>
      </c>
      <c r="K329" t="str">
        <f t="shared" si="17"/>
        <v/>
      </c>
    </row>
    <row r="330" spans="1:11" x14ac:dyDescent="0.35">
      <c r="A330" s="2">
        <f>'stuttgart-bkjck-rawbinary'!A330</f>
        <v>3208</v>
      </c>
      <c r="B330" t="str">
        <f ca="1">LOOKUP(A330,'stuttgart-bkjck-rawbinary'!$A$2:$A$449,'stuttgart-bkjck-rawbinary'!$H$2:$H777)</f>
        <v>p</v>
      </c>
      <c r="C330" t="str">
        <f>Weigt!C330</f>
        <v>3208</v>
      </c>
      <c r="D330" t="str">
        <f>Weigt!M330</f>
        <v>p</v>
      </c>
      <c r="E330" t="str">
        <f t="shared" ca="1" si="15"/>
        <v/>
      </c>
      <c r="F330">
        <f>'stuttgart-bkjck-rawbinary'!I330</f>
        <v>10</v>
      </c>
      <c r="G330">
        <f>Weigt!N330</f>
        <v>10</v>
      </c>
      <c r="H330" t="str">
        <f t="shared" si="16"/>
        <v/>
      </c>
      <c r="I330">
        <f>'stuttgart-bkjck-rawbinary'!J330</f>
        <v>3</v>
      </c>
      <c r="J330">
        <f>Weigt!O330</f>
        <v>3</v>
      </c>
      <c r="K330" t="str">
        <f t="shared" si="17"/>
        <v/>
      </c>
    </row>
    <row r="331" spans="1:11" x14ac:dyDescent="0.35">
      <c r="A331" s="2">
        <f>'stuttgart-bkjck-rawbinary'!A331</f>
        <v>3209</v>
      </c>
      <c r="B331" t="str">
        <f ca="1">LOOKUP(A331,'stuttgart-bkjck-rawbinary'!$A$2:$A$449,'stuttgart-bkjck-rawbinary'!$H$2:$H778)</f>
        <v>u</v>
      </c>
      <c r="C331" t="str">
        <f>Weigt!C331</f>
        <v>3209</v>
      </c>
      <c r="D331" t="str">
        <f>Weigt!M331</f>
        <v>u</v>
      </c>
      <c r="E331" t="str">
        <f t="shared" ca="1" si="15"/>
        <v/>
      </c>
      <c r="F331">
        <f>'stuttgart-bkjck-rawbinary'!I331</f>
        <v>44</v>
      </c>
      <c r="G331">
        <f>Weigt!N331</f>
        <v>44</v>
      </c>
      <c r="H331" t="str">
        <f t="shared" si="16"/>
        <v/>
      </c>
      <c r="I331">
        <f>'stuttgart-bkjck-rawbinary'!J331</f>
        <v>25</v>
      </c>
      <c r="J331">
        <f>Weigt!O331</f>
        <v>25</v>
      </c>
      <c r="K331" t="str">
        <f t="shared" si="17"/>
        <v/>
      </c>
    </row>
    <row r="332" spans="1:11" x14ac:dyDescent="0.35">
      <c r="A332" s="2">
        <f>'stuttgart-bkjck-rawbinary'!A332</f>
        <v>3210</v>
      </c>
      <c r="B332" t="str">
        <f ca="1">LOOKUP(A332,'stuttgart-bkjck-rawbinary'!$A$2:$A$449,'stuttgart-bkjck-rawbinary'!$H$2:$H779)</f>
        <v>u</v>
      </c>
      <c r="C332" t="str">
        <f>Weigt!C332</f>
        <v>3210</v>
      </c>
      <c r="D332" t="str">
        <f>Weigt!M332</f>
        <v>u</v>
      </c>
      <c r="E332" t="str">
        <f t="shared" ca="1" si="15"/>
        <v/>
      </c>
      <c r="F332">
        <f>'stuttgart-bkjck-rawbinary'!I332</f>
        <v>44</v>
      </c>
      <c r="G332">
        <f>Weigt!N332</f>
        <v>44</v>
      </c>
      <c r="H332" t="str">
        <f t="shared" si="16"/>
        <v/>
      </c>
      <c r="I332">
        <f>'stuttgart-bkjck-rawbinary'!J332</f>
        <v>31</v>
      </c>
      <c r="J332">
        <f>Weigt!O332</f>
        <v>31</v>
      </c>
      <c r="K332" t="str">
        <f t="shared" si="17"/>
        <v/>
      </c>
    </row>
    <row r="333" spans="1:11" x14ac:dyDescent="0.35">
      <c r="A333" s="2">
        <f>'stuttgart-bkjck-rawbinary'!A333</f>
        <v>3211</v>
      </c>
      <c r="B333" t="str">
        <f ca="1">LOOKUP(A333,'stuttgart-bkjck-rawbinary'!$A$2:$A$449,'stuttgart-bkjck-rawbinary'!$H$2:$H780)</f>
        <v>p</v>
      </c>
      <c r="C333" t="str">
        <f>Weigt!C333</f>
        <v>3211</v>
      </c>
      <c r="D333" t="str">
        <f>Weigt!M333</f>
        <v>p</v>
      </c>
      <c r="E333" t="str">
        <f t="shared" ca="1" si="15"/>
        <v/>
      </c>
      <c r="F333">
        <f>'stuttgart-bkjck-rawbinary'!I333</f>
        <v>12</v>
      </c>
      <c r="G333">
        <f>Weigt!N333</f>
        <v>12</v>
      </c>
      <c r="H333" t="str">
        <f t="shared" si="16"/>
        <v/>
      </c>
      <c r="I333">
        <f>'stuttgart-bkjck-rawbinary'!J333</f>
        <v>0</v>
      </c>
      <c r="J333">
        <f>Weigt!O333</f>
        <v>0</v>
      </c>
      <c r="K333" t="str">
        <f t="shared" si="17"/>
        <v/>
      </c>
    </row>
    <row r="334" spans="1:11" x14ac:dyDescent="0.35">
      <c r="A334" s="2">
        <f>'stuttgart-bkjck-rawbinary'!A334</f>
        <v>3212</v>
      </c>
      <c r="B334" t="str">
        <f ca="1">LOOKUP(A334,'stuttgart-bkjck-rawbinary'!$A$2:$A$449,'stuttgart-bkjck-rawbinary'!$H$2:$H781)</f>
        <v>b</v>
      </c>
      <c r="C334" t="str">
        <f>Weigt!C334</f>
        <v>3212</v>
      </c>
      <c r="D334" t="str">
        <f>Weigt!M334</f>
        <v>b</v>
      </c>
      <c r="E334" t="str">
        <f t="shared" ca="1" si="15"/>
        <v/>
      </c>
      <c r="F334">
        <f>'stuttgart-bkjck-rawbinary'!I334</f>
        <v>51</v>
      </c>
      <c r="G334">
        <f>Weigt!N334</f>
        <v>51</v>
      </c>
      <c r="H334" t="str">
        <f t="shared" si="16"/>
        <v/>
      </c>
      <c r="I334">
        <f>'stuttgart-bkjck-rawbinary'!J334</f>
        <v>45</v>
      </c>
      <c r="J334">
        <f>Weigt!O334</f>
        <v>45</v>
      </c>
      <c r="K334" t="str">
        <f t="shared" si="17"/>
        <v/>
      </c>
    </row>
    <row r="335" spans="1:11" x14ac:dyDescent="0.35">
      <c r="A335" s="2">
        <f>'stuttgart-bkjck-rawbinary'!A335</f>
        <v>3213</v>
      </c>
      <c r="B335" t="str">
        <f ca="1">LOOKUP(A335,'stuttgart-bkjck-rawbinary'!$A$2:$A$449,'stuttgart-bkjck-rawbinary'!$H$2:$H782)</f>
        <v>s</v>
      </c>
      <c r="C335" t="str">
        <f>Weigt!C335</f>
        <v>3213</v>
      </c>
      <c r="D335" t="str">
        <f>Weigt!M335</f>
        <v>s</v>
      </c>
      <c r="E335" t="str">
        <f t="shared" ca="1" si="15"/>
        <v/>
      </c>
      <c r="F335">
        <f>'stuttgart-bkjck-rawbinary'!I335</f>
        <v>46</v>
      </c>
      <c r="G335">
        <f>Weigt!N335</f>
        <v>46</v>
      </c>
      <c r="H335" t="str">
        <f t="shared" si="16"/>
        <v/>
      </c>
      <c r="I335">
        <f>'stuttgart-bkjck-rawbinary'!J335</f>
        <v>41</v>
      </c>
      <c r="J335">
        <f>Weigt!O335</f>
        <v>41</v>
      </c>
      <c r="K335" t="str">
        <f t="shared" si="17"/>
        <v/>
      </c>
    </row>
    <row r="336" spans="1:11" x14ac:dyDescent="0.35">
      <c r="A336" s="2">
        <f>'stuttgart-bkjck-rawbinary'!A336</f>
        <v>3214</v>
      </c>
      <c r="B336" t="str">
        <f ca="1">LOOKUP(A336,'stuttgart-bkjck-rawbinary'!$A$2:$A$449,'stuttgart-bkjck-rawbinary'!$H$2:$H783)</f>
        <v>t</v>
      </c>
      <c r="C336" t="str">
        <f>Weigt!C336</f>
        <v>3214</v>
      </c>
      <c r="D336" t="str">
        <f>Weigt!M336</f>
        <v>t</v>
      </c>
      <c r="E336" t="str">
        <f t="shared" ca="1" si="15"/>
        <v/>
      </c>
      <c r="F336">
        <f>'stuttgart-bkjck-rawbinary'!I336</f>
        <v>51</v>
      </c>
      <c r="G336">
        <f>Weigt!N336</f>
        <v>51</v>
      </c>
      <c r="H336" t="str">
        <f t="shared" si="16"/>
        <v/>
      </c>
      <c r="I336">
        <f>'stuttgart-bkjck-rawbinary'!J336</f>
        <v>61</v>
      </c>
      <c r="J336">
        <f>Weigt!O336</f>
        <v>61</v>
      </c>
      <c r="K336" t="str">
        <f t="shared" si="17"/>
        <v/>
      </c>
    </row>
    <row r="337" spans="1:11" x14ac:dyDescent="0.35">
      <c r="A337" s="2">
        <f>'stuttgart-bkjck-rawbinary'!A337</f>
        <v>3215</v>
      </c>
      <c r="B337" t="str">
        <f ca="1">LOOKUP(A337,'stuttgart-bkjck-rawbinary'!$A$2:$A$449,'stuttgart-bkjck-rawbinary'!$H$2:$H784)</f>
        <v>u</v>
      </c>
      <c r="C337" t="str">
        <f>Weigt!C337</f>
        <v>3215</v>
      </c>
      <c r="D337" t="str">
        <f>Weigt!M337</f>
        <v>u</v>
      </c>
      <c r="E337" t="str">
        <f t="shared" ca="1" si="15"/>
        <v/>
      </c>
      <c r="F337">
        <f>'stuttgart-bkjck-rawbinary'!I337</f>
        <v>51</v>
      </c>
      <c r="G337">
        <f>Weigt!N337</f>
        <v>51</v>
      </c>
      <c r="H337" t="str">
        <f t="shared" si="16"/>
        <v/>
      </c>
      <c r="I337">
        <f>'stuttgart-bkjck-rawbinary'!J337</f>
        <v>58</v>
      </c>
      <c r="J337">
        <f>Weigt!O337</f>
        <v>58</v>
      </c>
      <c r="K337" t="str">
        <f t="shared" si="17"/>
        <v/>
      </c>
    </row>
    <row r="338" spans="1:11" x14ac:dyDescent="0.35">
      <c r="A338" s="2">
        <f>'stuttgart-bkjck-rawbinary'!A338</f>
        <v>3216</v>
      </c>
      <c r="B338" t="str">
        <f ca="1">LOOKUP(A338,'stuttgart-bkjck-rawbinary'!$A$2:$A$449,'stuttgart-bkjck-rawbinary'!$H$2:$H785)</f>
        <v>r</v>
      </c>
      <c r="C338" t="str">
        <f>Weigt!C338</f>
        <v>3216</v>
      </c>
      <c r="D338" t="str">
        <f>Weigt!M338</f>
        <v>r</v>
      </c>
      <c r="E338" t="str">
        <f t="shared" ca="1" si="15"/>
        <v/>
      </c>
      <c r="F338">
        <f>'stuttgart-bkjck-rawbinary'!I338</f>
        <v>51</v>
      </c>
      <c r="G338">
        <f>Weigt!N338</f>
        <v>51</v>
      </c>
      <c r="H338" t="str">
        <f t="shared" si="16"/>
        <v/>
      </c>
      <c r="I338">
        <f>'stuttgart-bkjck-rawbinary'!J338</f>
        <v>0</v>
      </c>
      <c r="J338">
        <f>Weigt!O338</f>
        <v>0</v>
      </c>
      <c r="K338" t="str">
        <f t="shared" si="17"/>
        <v/>
      </c>
    </row>
    <row r="339" spans="1:11" x14ac:dyDescent="0.35">
      <c r="A339" s="2">
        <f>'stuttgart-bkjck-rawbinary'!A339</f>
        <v>3217</v>
      </c>
      <c r="B339" t="str">
        <f ca="1">LOOKUP(A339,'stuttgart-bkjck-rawbinary'!$A$2:$A$449,'stuttgart-bkjck-rawbinary'!$H$2:$H786)</f>
        <v>u</v>
      </c>
      <c r="C339" t="str">
        <f>Weigt!C339</f>
        <v>3217</v>
      </c>
      <c r="D339" t="str">
        <f>Weigt!M339</f>
        <v>u</v>
      </c>
      <c r="E339" t="str">
        <f t="shared" ca="1" si="15"/>
        <v/>
      </c>
      <c r="F339">
        <f>'stuttgart-bkjck-rawbinary'!I339</f>
        <v>51</v>
      </c>
      <c r="G339">
        <f>Weigt!N339</f>
        <v>51</v>
      </c>
      <c r="H339" t="str">
        <f t="shared" si="16"/>
        <v/>
      </c>
      <c r="I339">
        <f>'stuttgart-bkjck-rawbinary'!J339</f>
        <v>0</v>
      </c>
      <c r="J339">
        <f>Weigt!O339</f>
        <v>0</v>
      </c>
      <c r="K339" t="str">
        <f t="shared" si="17"/>
        <v/>
      </c>
    </row>
    <row r="340" spans="1:11" x14ac:dyDescent="0.35">
      <c r="A340" s="2">
        <f>'stuttgart-bkjck-rawbinary'!A340</f>
        <v>3218</v>
      </c>
      <c r="B340" t="str">
        <f ca="1">LOOKUP(A340,'stuttgart-bkjck-rawbinary'!$A$2:$A$449,'stuttgart-bkjck-rawbinary'!$H$2:$H787)</f>
        <v>p</v>
      </c>
      <c r="C340" t="str">
        <f>Weigt!C340</f>
        <v>3218</v>
      </c>
      <c r="D340" t="str">
        <f>Weigt!M340</f>
        <v>p</v>
      </c>
      <c r="E340" t="str">
        <f t="shared" ca="1" si="15"/>
        <v/>
      </c>
      <c r="F340">
        <f>'stuttgart-bkjck-rawbinary'!I340</f>
        <v>26</v>
      </c>
      <c r="G340">
        <f>Weigt!N340</f>
        <v>26</v>
      </c>
      <c r="H340" t="str">
        <f t="shared" si="16"/>
        <v/>
      </c>
      <c r="I340">
        <f>'stuttgart-bkjck-rawbinary'!J340</f>
        <v>17</v>
      </c>
      <c r="J340">
        <f>Weigt!O340</f>
        <v>17</v>
      </c>
      <c r="K340" t="str">
        <f t="shared" si="17"/>
        <v/>
      </c>
    </row>
    <row r="341" spans="1:11" x14ac:dyDescent="0.35">
      <c r="A341" s="2">
        <f>'stuttgart-bkjck-rawbinary'!A341</f>
        <v>3219</v>
      </c>
      <c r="B341" t="str">
        <f ca="1">LOOKUP(A341,'stuttgart-bkjck-rawbinary'!$A$2:$A$449,'stuttgart-bkjck-rawbinary'!$H$2:$H788)</f>
        <v>y</v>
      </c>
      <c r="C341" t="str">
        <f>Weigt!C341</f>
        <v>3219</v>
      </c>
      <c r="D341" t="str">
        <f>Weigt!M341</f>
        <v>y</v>
      </c>
      <c r="E341" t="str">
        <f t="shared" ca="1" si="15"/>
        <v/>
      </c>
      <c r="F341">
        <f>'stuttgart-bkjck-rawbinary'!I341</f>
        <v>12</v>
      </c>
      <c r="G341">
        <f>Weigt!N341</f>
        <v>12</v>
      </c>
      <c r="H341" t="str">
        <f t="shared" si="16"/>
        <v/>
      </c>
      <c r="I341">
        <f>'stuttgart-bkjck-rawbinary'!J341</f>
        <v>1</v>
      </c>
      <c r="J341">
        <f>Weigt!O341</f>
        <v>1</v>
      </c>
      <c r="K341" t="str">
        <f t="shared" si="17"/>
        <v/>
      </c>
    </row>
    <row r="342" spans="1:11" x14ac:dyDescent="0.35">
      <c r="A342" s="2">
        <f>'stuttgart-bkjck-rawbinary'!A342</f>
        <v>3220</v>
      </c>
      <c r="B342" t="str">
        <f ca="1">LOOKUP(A342,'stuttgart-bkjck-rawbinary'!$A$2:$A$449,'stuttgart-bkjck-rawbinary'!$H$2:$H789)</f>
        <v>n</v>
      </c>
      <c r="C342" t="str">
        <f>Weigt!C342</f>
        <v>3220</v>
      </c>
      <c r="D342" t="str">
        <f>Weigt!M342</f>
        <v>n</v>
      </c>
      <c r="E342" t="str">
        <f t="shared" ca="1" si="15"/>
        <v/>
      </c>
      <c r="F342">
        <f>'stuttgart-bkjck-rawbinary'!I342</f>
        <v>62</v>
      </c>
      <c r="G342">
        <f>Weigt!N342</f>
        <v>62</v>
      </c>
      <c r="H342" t="str">
        <f t="shared" si="16"/>
        <v/>
      </c>
      <c r="I342">
        <f>'stuttgart-bkjck-rawbinary'!J342</f>
        <v>31</v>
      </c>
      <c r="J342">
        <f>Weigt!O342</f>
        <v>31</v>
      </c>
      <c r="K342" t="str">
        <f t="shared" si="17"/>
        <v/>
      </c>
    </row>
    <row r="343" spans="1:11" x14ac:dyDescent="0.35">
      <c r="A343" s="2">
        <f>'stuttgart-bkjck-rawbinary'!A343</f>
        <v>3221</v>
      </c>
      <c r="B343" t="str">
        <f ca="1">LOOKUP(A343,'stuttgart-bkjck-rawbinary'!$A$2:$A$449,'stuttgart-bkjck-rawbinary'!$H$2:$H790)</f>
        <v>b</v>
      </c>
      <c r="C343" t="str">
        <f>Weigt!C343</f>
        <v>3221</v>
      </c>
      <c r="D343" t="str">
        <f>Weigt!M343</f>
        <v>b</v>
      </c>
      <c r="E343" t="str">
        <f t="shared" ca="1" si="15"/>
        <v/>
      </c>
      <c r="F343">
        <f>'stuttgart-bkjck-rawbinary'!I343</f>
        <v>50</v>
      </c>
      <c r="G343">
        <f>Weigt!N343</f>
        <v>50</v>
      </c>
      <c r="H343" t="str">
        <f t="shared" si="16"/>
        <v/>
      </c>
      <c r="I343">
        <f>'stuttgart-bkjck-rawbinary'!J343</f>
        <v>29</v>
      </c>
      <c r="J343">
        <f>Weigt!O343</f>
        <v>29</v>
      </c>
      <c r="K343" t="str">
        <f t="shared" si="17"/>
        <v/>
      </c>
    </row>
    <row r="344" spans="1:11" x14ac:dyDescent="0.35">
      <c r="A344" s="2">
        <f>'stuttgart-bkjck-rawbinary'!A344</f>
        <v>3222</v>
      </c>
      <c r="B344" t="str">
        <f ca="1">LOOKUP(A344,'stuttgart-bkjck-rawbinary'!$A$2:$A$449,'stuttgart-bkjck-rawbinary'!$H$2:$H791)</f>
        <v>r</v>
      </c>
      <c r="C344" t="str">
        <f>Weigt!C344</f>
        <v>3222</v>
      </c>
      <c r="D344" t="str">
        <f>Weigt!M344</f>
        <v>r</v>
      </c>
      <c r="E344" t="str">
        <f t="shared" ca="1" si="15"/>
        <v/>
      </c>
      <c r="F344">
        <f>'stuttgart-bkjck-rawbinary'!I344</f>
        <v>50</v>
      </c>
      <c r="G344">
        <f>Weigt!N344</f>
        <v>50</v>
      </c>
      <c r="H344" t="str">
        <f t="shared" si="16"/>
        <v/>
      </c>
      <c r="I344">
        <f>'stuttgart-bkjck-rawbinary'!J344</f>
        <v>46</v>
      </c>
      <c r="J344">
        <f>Weigt!O344</f>
        <v>46</v>
      </c>
      <c r="K344" t="str">
        <f t="shared" si="17"/>
        <v/>
      </c>
    </row>
    <row r="345" spans="1:11" x14ac:dyDescent="0.35">
      <c r="A345" s="2">
        <f>'stuttgart-bkjck-rawbinary'!A345</f>
        <v>3223</v>
      </c>
      <c r="B345" t="str">
        <f ca="1">LOOKUP(A345,'stuttgart-bkjck-rawbinary'!$A$2:$A$449,'stuttgart-bkjck-rawbinary'!$H$2:$H792)</f>
        <v>u</v>
      </c>
      <c r="C345" t="str">
        <f>Weigt!C345</f>
        <v>3223</v>
      </c>
      <c r="D345" t="str">
        <f>Weigt!M345</f>
        <v>u</v>
      </c>
      <c r="E345" t="str">
        <f t="shared" ca="1" si="15"/>
        <v/>
      </c>
      <c r="F345">
        <f>'stuttgart-bkjck-rawbinary'!I345</f>
        <v>50</v>
      </c>
      <c r="G345">
        <f>Weigt!N345</f>
        <v>50</v>
      </c>
      <c r="H345" t="str">
        <f t="shared" si="16"/>
        <v/>
      </c>
      <c r="I345">
        <f>'stuttgart-bkjck-rawbinary'!J345</f>
        <v>32</v>
      </c>
      <c r="J345">
        <f>Weigt!O345</f>
        <v>32</v>
      </c>
      <c r="K345" t="str">
        <f t="shared" si="17"/>
        <v/>
      </c>
    </row>
    <row r="346" spans="1:11" x14ac:dyDescent="0.35">
      <c r="A346" s="2">
        <f>'stuttgart-bkjck-rawbinary'!A346</f>
        <v>3224</v>
      </c>
      <c r="B346" t="str">
        <f ca="1">LOOKUP(A346,'stuttgart-bkjck-rawbinary'!$A$2:$A$449,'stuttgart-bkjck-rawbinary'!$H$2:$H793)</f>
        <v>p</v>
      </c>
      <c r="C346" t="str">
        <f>Weigt!C346</f>
        <v>3224</v>
      </c>
      <c r="D346" t="str">
        <f>Weigt!M346</f>
        <v>p</v>
      </c>
      <c r="E346" t="str">
        <f t="shared" ca="1" si="15"/>
        <v/>
      </c>
      <c r="F346">
        <f>'stuttgart-bkjck-rawbinary'!I346</f>
        <v>12</v>
      </c>
      <c r="G346">
        <f>Weigt!N346</f>
        <v>12</v>
      </c>
      <c r="H346" t="str">
        <f t="shared" si="16"/>
        <v/>
      </c>
      <c r="I346">
        <f>'stuttgart-bkjck-rawbinary'!J346</f>
        <v>0</v>
      </c>
      <c r="J346">
        <f>Weigt!O346</f>
        <v>0</v>
      </c>
      <c r="K346" t="str">
        <f t="shared" si="17"/>
        <v/>
      </c>
    </row>
    <row r="347" spans="1:11" x14ac:dyDescent="0.35">
      <c r="A347" s="2">
        <f>'stuttgart-bkjck-rawbinary'!A347</f>
        <v>3225</v>
      </c>
      <c r="B347" t="str">
        <f ca="1">LOOKUP(A347,'stuttgart-bkjck-rawbinary'!$A$2:$A$449,'stuttgart-bkjck-rawbinary'!$H$2:$H794)</f>
        <v>u</v>
      </c>
      <c r="C347" t="str">
        <f>Weigt!C347</f>
        <v>3225</v>
      </c>
      <c r="D347" t="str">
        <f>Weigt!M347</f>
        <v>u</v>
      </c>
      <c r="E347" t="str">
        <f t="shared" ca="1" si="15"/>
        <v/>
      </c>
      <c r="F347">
        <f>'stuttgart-bkjck-rawbinary'!I347</f>
        <v>49</v>
      </c>
      <c r="G347">
        <f>Weigt!N347</f>
        <v>49</v>
      </c>
      <c r="H347" t="str">
        <f t="shared" si="16"/>
        <v/>
      </c>
      <c r="I347">
        <f>'stuttgart-bkjck-rawbinary'!J347</f>
        <v>24</v>
      </c>
      <c r="J347">
        <f>Weigt!O347</f>
        <v>24</v>
      </c>
      <c r="K347" t="str">
        <f t="shared" si="17"/>
        <v/>
      </c>
    </row>
    <row r="348" spans="1:11" x14ac:dyDescent="0.35">
      <c r="A348" s="2">
        <f>'stuttgart-bkjck-rawbinary'!A348</f>
        <v>3226</v>
      </c>
      <c r="B348" t="str">
        <f ca="1">LOOKUP(A348,'stuttgart-bkjck-rawbinary'!$A$2:$A$449,'stuttgart-bkjck-rawbinary'!$H$2:$H795)</f>
        <v>b</v>
      </c>
      <c r="C348" t="str">
        <f>Weigt!C348</f>
        <v>3226</v>
      </c>
      <c r="D348" t="str">
        <f>Weigt!M348</f>
        <v>b</v>
      </c>
      <c r="E348" t="str">
        <f t="shared" ca="1" si="15"/>
        <v/>
      </c>
      <c r="F348">
        <f>'stuttgart-bkjck-rawbinary'!I348</f>
        <v>50</v>
      </c>
      <c r="G348">
        <f>Weigt!N348</f>
        <v>50</v>
      </c>
      <c r="H348" t="str">
        <f t="shared" si="16"/>
        <v/>
      </c>
      <c r="I348">
        <f>'stuttgart-bkjck-rawbinary'!J348</f>
        <v>30</v>
      </c>
      <c r="J348">
        <f>Weigt!O348</f>
        <v>30</v>
      </c>
      <c r="K348" t="str">
        <f t="shared" si="17"/>
        <v/>
      </c>
    </row>
    <row r="349" spans="1:11" x14ac:dyDescent="0.35">
      <c r="A349" s="2">
        <f>'stuttgart-bkjck-rawbinary'!A349</f>
        <v>3227</v>
      </c>
      <c r="B349" t="str">
        <f ca="1">LOOKUP(A349,'stuttgart-bkjck-rawbinary'!$A$2:$A$449,'stuttgart-bkjck-rawbinary'!$H$2:$H796)</f>
        <v>a</v>
      </c>
      <c r="C349" t="str">
        <f>Weigt!C349</f>
        <v>3227</v>
      </c>
      <c r="D349" t="str">
        <f>Weigt!M349</f>
        <v>a</v>
      </c>
      <c r="E349" t="str">
        <f t="shared" ca="1" si="15"/>
        <v/>
      </c>
      <c r="F349">
        <f>'stuttgart-bkjck-rawbinary'!I349</f>
        <v>46</v>
      </c>
      <c r="G349">
        <f>Weigt!N349</f>
        <v>46</v>
      </c>
      <c r="H349" t="str">
        <f t="shared" si="16"/>
        <v/>
      </c>
      <c r="I349">
        <f>'stuttgart-bkjck-rawbinary'!J349</f>
        <v>35</v>
      </c>
      <c r="J349">
        <f>Weigt!O349</f>
        <v>35</v>
      </c>
      <c r="K349" t="str">
        <f t="shared" si="17"/>
        <v/>
      </c>
    </row>
    <row r="350" spans="1:11" x14ac:dyDescent="0.35">
      <c r="A350" s="2">
        <f>'stuttgart-bkjck-rawbinary'!A350</f>
        <v>3228</v>
      </c>
      <c r="B350" t="str">
        <f ca="1">LOOKUP(A350,'stuttgart-bkjck-rawbinary'!$A$2:$A$449,'stuttgart-bkjck-rawbinary'!$H$2:$H797)</f>
        <v>u</v>
      </c>
      <c r="C350" t="str">
        <f>Weigt!C350</f>
        <v>3228</v>
      </c>
      <c r="D350" t="str">
        <f>Weigt!M350</f>
        <v>u</v>
      </c>
      <c r="E350" t="str">
        <f t="shared" ca="1" si="15"/>
        <v/>
      </c>
      <c r="F350">
        <f>'stuttgart-bkjck-rawbinary'!I350</f>
        <v>49</v>
      </c>
      <c r="G350">
        <f>Weigt!N350</f>
        <v>49</v>
      </c>
      <c r="H350" t="str">
        <f t="shared" si="16"/>
        <v/>
      </c>
      <c r="I350">
        <f>'stuttgart-bkjck-rawbinary'!J350</f>
        <v>29</v>
      </c>
      <c r="J350">
        <f>Weigt!O350</f>
        <v>29</v>
      </c>
      <c r="K350" t="str">
        <f t="shared" si="17"/>
        <v/>
      </c>
    </row>
    <row r="351" spans="1:11" x14ac:dyDescent="0.35">
      <c r="A351" s="2">
        <f>'stuttgart-bkjck-rawbinary'!A351</f>
        <v>3229</v>
      </c>
      <c r="B351" t="str">
        <f ca="1">LOOKUP(A351,'stuttgart-bkjck-rawbinary'!$A$2:$A$449,'stuttgart-bkjck-rawbinary'!$H$2:$H798)</f>
        <v>z</v>
      </c>
      <c r="C351" t="str">
        <f>Weigt!C351</f>
        <v>3229</v>
      </c>
      <c r="D351" t="str">
        <f>Weigt!M351</f>
        <v>z</v>
      </c>
      <c r="E351" t="str">
        <f t="shared" ca="1" si="15"/>
        <v/>
      </c>
      <c r="F351">
        <f>'stuttgart-bkjck-rawbinary'!I351</f>
        <v>0</v>
      </c>
      <c r="G351">
        <f>Weigt!N351</f>
        <v>0</v>
      </c>
      <c r="H351" t="str">
        <f t="shared" si="16"/>
        <v/>
      </c>
      <c r="I351">
        <f>'stuttgart-bkjck-rawbinary'!J351</f>
        <v>20</v>
      </c>
      <c r="J351">
        <f>Weigt!O351</f>
        <v>20</v>
      </c>
      <c r="K351" t="str">
        <f t="shared" si="17"/>
        <v/>
      </c>
    </row>
    <row r="352" spans="1:11" x14ac:dyDescent="0.35">
      <c r="A352" s="2">
        <f>'stuttgart-bkjck-rawbinary'!A352</f>
        <v>3230</v>
      </c>
      <c r="B352" t="str">
        <f ca="1">LOOKUP(A352,'stuttgart-bkjck-rawbinary'!$A$2:$A$449,'stuttgart-bkjck-rawbinary'!$H$2:$H799)</f>
        <v>s</v>
      </c>
      <c r="C352" t="str">
        <f>Weigt!C352</f>
        <v>3230</v>
      </c>
      <c r="D352" t="str">
        <f>Weigt!M352</f>
        <v>s</v>
      </c>
      <c r="E352" t="str">
        <f t="shared" ca="1" si="15"/>
        <v/>
      </c>
      <c r="F352">
        <f>'stuttgart-bkjck-rawbinary'!I352</f>
        <v>63</v>
      </c>
      <c r="G352">
        <f>Weigt!N352</f>
        <v>63</v>
      </c>
      <c r="H352" t="str">
        <f t="shared" si="16"/>
        <v/>
      </c>
      <c r="I352">
        <f>'stuttgart-bkjck-rawbinary'!J352</f>
        <v>58</v>
      </c>
      <c r="J352">
        <f>Weigt!O352</f>
        <v>58</v>
      </c>
      <c r="K352" t="str">
        <f t="shared" si="17"/>
        <v/>
      </c>
    </row>
    <row r="353" spans="1:11" x14ac:dyDescent="0.35">
      <c r="A353" s="2">
        <f>'stuttgart-bkjck-rawbinary'!A353</f>
        <v>3231</v>
      </c>
      <c r="B353" t="str">
        <f ca="1">LOOKUP(A353,'stuttgart-bkjck-rawbinary'!$A$2:$A$449,'stuttgart-bkjck-rawbinary'!$H$2:$H800)</f>
        <v>z</v>
      </c>
      <c r="C353" t="str">
        <f>Weigt!C353</f>
        <v>3231</v>
      </c>
      <c r="D353" t="str">
        <f>Weigt!M353</f>
        <v>z</v>
      </c>
      <c r="E353" t="str">
        <f t="shared" ca="1" si="15"/>
        <v/>
      </c>
      <c r="F353">
        <f>'stuttgart-bkjck-rawbinary'!I353</f>
        <v>0</v>
      </c>
      <c r="G353">
        <f>Weigt!N353</f>
        <v>0</v>
      </c>
      <c r="H353" t="str">
        <f t="shared" si="16"/>
        <v/>
      </c>
      <c r="I353">
        <f>'stuttgart-bkjck-rawbinary'!J353</f>
        <v>0</v>
      </c>
      <c r="J353">
        <f>Weigt!O353</f>
        <v>0</v>
      </c>
      <c r="K353" t="str">
        <f t="shared" si="17"/>
        <v/>
      </c>
    </row>
    <row r="354" spans="1:11" x14ac:dyDescent="0.35">
      <c r="A354" s="2">
        <f>'stuttgart-bkjck-rawbinary'!A354</f>
        <v>3232</v>
      </c>
      <c r="B354" t="str">
        <f ca="1">LOOKUP(A354,'stuttgart-bkjck-rawbinary'!$A$2:$A$449,'stuttgart-bkjck-rawbinary'!$H$2:$H801)</f>
        <v>s</v>
      </c>
      <c r="C354" t="str">
        <f>Weigt!C354</f>
        <v>3232</v>
      </c>
      <c r="D354" t="str">
        <f>Weigt!M354</f>
        <v>s</v>
      </c>
      <c r="E354" t="str">
        <f t="shared" ca="1" si="15"/>
        <v/>
      </c>
      <c r="F354">
        <f>'stuttgart-bkjck-rawbinary'!I354</f>
        <v>47</v>
      </c>
      <c r="G354">
        <f>Weigt!N354</f>
        <v>47</v>
      </c>
      <c r="H354" t="str">
        <f t="shared" si="16"/>
        <v/>
      </c>
      <c r="I354">
        <f>'stuttgart-bkjck-rawbinary'!J354</f>
        <v>49</v>
      </c>
      <c r="J354">
        <f>Weigt!O354</f>
        <v>49</v>
      </c>
      <c r="K354" t="str">
        <f t="shared" si="17"/>
        <v/>
      </c>
    </row>
    <row r="355" spans="1:11" x14ac:dyDescent="0.35">
      <c r="A355" s="2">
        <f>'stuttgart-bkjck-rawbinary'!A355</f>
        <v>3233</v>
      </c>
      <c r="B355" t="str">
        <f ca="1">LOOKUP(A355,'stuttgart-bkjck-rawbinary'!$A$2:$A$449,'stuttgart-bkjck-rawbinary'!$H$2:$H802)</f>
        <v>t</v>
      </c>
      <c r="C355" t="str">
        <f>Weigt!C355</f>
        <v>3233</v>
      </c>
      <c r="D355" t="str">
        <f>Weigt!M355</f>
        <v>t</v>
      </c>
      <c r="E355" t="str">
        <f t="shared" ca="1" si="15"/>
        <v/>
      </c>
      <c r="F355">
        <f>'stuttgart-bkjck-rawbinary'!I355</f>
        <v>50</v>
      </c>
      <c r="G355">
        <f>Weigt!N355</f>
        <v>50</v>
      </c>
      <c r="H355" t="str">
        <f t="shared" si="16"/>
        <v/>
      </c>
      <c r="I355">
        <f>'stuttgart-bkjck-rawbinary'!J355</f>
        <v>40</v>
      </c>
      <c r="J355">
        <f>Weigt!O355</f>
        <v>40</v>
      </c>
      <c r="K355" t="str">
        <f t="shared" si="17"/>
        <v/>
      </c>
    </row>
    <row r="356" spans="1:11" x14ac:dyDescent="0.35">
      <c r="A356" s="2">
        <f>'stuttgart-bkjck-rawbinary'!A356</f>
        <v>3234</v>
      </c>
      <c r="B356" t="str">
        <f ca="1">LOOKUP(A356,'stuttgart-bkjck-rawbinary'!$A$2:$A$449,'stuttgart-bkjck-rawbinary'!$H$2:$H803)</f>
        <v>s</v>
      </c>
      <c r="C356" t="str">
        <f>Weigt!C356</f>
        <v>3234</v>
      </c>
      <c r="D356" t="str">
        <f>Weigt!M356</f>
        <v>s</v>
      </c>
      <c r="E356" t="str">
        <f t="shared" ca="1" si="15"/>
        <v/>
      </c>
      <c r="F356">
        <f>'stuttgart-bkjck-rawbinary'!I356</f>
        <v>47</v>
      </c>
      <c r="G356">
        <f>Weigt!N356</f>
        <v>47</v>
      </c>
      <c r="H356" t="str">
        <f t="shared" si="16"/>
        <v/>
      </c>
      <c r="I356">
        <f>'stuttgart-bkjck-rawbinary'!J356</f>
        <v>49</v>
      </c>
      <c r="J356">
        <f>Weigt!O356</f>
        <v>49</v>
      </c>
      <c r="K356" t="str">
        <f t="shared" si="17"/>
        <v/>
      </c>
    </row>
    <row r="357" spans="1:11" x14ac:dyDescent="0.35">
      <c r="A357" s="2">
        <f>'stuttgart-bkjck-rawbinary'!A357</f>
        <v>3235</v>
      </c>
      <c r="B357" t="str">
        <f ca="1">LOOKUP(A357,'stuttgart-bkjck-rawbinary'!$A$2:$A$449,'stuttgart-bkjck-rawbinary'!$H$2:$H804)</f>
        <v>t</v>
      </c>
      <c r="C357" t="str">
        <f>Weigt!C357</f>
        <v>3235</v>
      </c>
      <c r="D357" t="str">
        <f>Weigt!M357</f>
        <v>t</v>
      </c>
      <c r="E357" t="str">
        <f t="shared" ca="1" si="15"/>
        <v/>
      </c>
      <c r="F357">
        <f>'stuttgart-bkjck-rawbinary'!I357</f>
        <v>50</v>
      </c>
      <c r="G357">
        <f>Weigt!N357</f>
        <v>50</v>
      </c>
      <c r="H357" t="str">
        <f t="shared" si="16"/>
        <v/>
      </c>
      <c r="I357">
        <f>'stuttgart-bkjck-rawbinary'!J357</f>
        <v>47</v>
      </c>
      <c r="J357">
        <f>Weigt!O357</f>
        <v>47</v>
      </c>
      <c r="K357" t="str">
        <f t="shared" si="17"/>
        <v/>
      </c>
    </row>
    <row r="358" spans="1:11" x14ac:dyDescent="0.35">
      <c r="A358" s="2">
        <f>'stuttgart-bkjck-rawbinary'!A358</f>
        <v>3236</v>
      </c>
      <c r="B358" t="str">
        <f ca="1">LOOKUP(A358,'stuttgart-bkjck-rawbinary'!$A$2:$A$449,'stuttgart-bkjck-rawbinary'!$H$2:$H805)</f>
        <v>s</v>
      </c>
      <c r="C358" t="str">
        <f>Weigt!C358</f>
        <v>3236</v>
      </c>
      <c r="D358" t="str">
        <f>Weigt!M358</f>
        <v>s</v>
      </c>
      <c r="E358" t="str">
        <f t="shared" ca="1" si="15"/>
        <v/>
      </c>
      <c r="F358">
        <f>'stuttgart-bkjck-rawbinary'!I358</f>
        <v>47</v>
      </c>
      <c r="G358">
        <f>Weigt!N358</f>
        <v>47</v>
      </c>
      <c r="H358" t="str">
        <f t="shared" si="16"/>
        <v/>
      </c>
      <c r="I358">
        <f>'stuttgart-bkjck-rawbinary'!J358</f>
        <v>49</v>
      </c>
      <c r="J358">
        <f>Weigt!O358</f>
        <v>49</v>
      </c>
      <c r="K358" t="str">
        <f t="shared" si="17"/>
        <v/>
      </c>
    </row>
    <row r="359" spans="1:11" x14ac:dyDescent="0.35">
      <c r="A359" s="2">
        <f>'stuttgart-bkjck-rawbinary'!A359</f>
        <v>3237</v>
      </c>
      <c r="B359" t="str">
        <f ca="1">LOOKUP(A359,'stuttgart-bkjck-rawbinary'!$A$2:$A$449,'stuttgart-bkjck-rawbinary'!$H$2:$H806)</f>
        <v>t</v>
      </c>
      <c r="C359" t="str">
        <f>Weigt!C359</f>
        <v>3237</v>
      </c>
      <c r="D359" t="str">
        <f>Weigt!M359</f>
        <v>t</v>
      </c>
      <c r="E359" t="str">
        <f t="shared" ca="1" si="15"/>
        <v/>
      </c>
      <c r="F359">
        <f>'stuttgart-bkjck-rawbinary'!I359</f>
        <v>50</v>
      </c>
      <c r="G359">
        <f>Weigt!N359</f>
        <v>50</v>
      </c>
      <c r="H359" t="str">
        <f t="shared" si="16"/>
        <v/>
      </c>
      <c r="I359">
        <f>'stuttgart-bkjck-rawbinary'!J359</f>
        <v>49</v>
      </c>
      <c r="J359">
        <f>Weigt!O359</f>
        <v>49</v>
      </c>
      <c r="K359" t="str">
        <f t="shared" si="17"/>
        <v/>
      </c>
    </row>
    <row r="360" spans="1:11" x14ac:dyDescent="0.35">
      <c r="A360" s="2">
        <f>'stuttgart-bkjck-rawbinary'!A360</f>
        <v>3238</v>
      </c>
      <c r="B360" t="str">
        <f ca="1">LOOKUP(A360,'stuttgart-bkjck-rawbinary'!$A$2:$A$449,'stuttgart-bkjck-rawbinary'!$H$2:$H807)</f>
        <v>p</v>
      </c>
      <c r="C360" t="str">
        <f>Weigt!C360</f>
        <v>3238</v>
      </c>
      <c r="D360" t="str">
        <f>Weigt!M360</f>
        <v>p</v>
      </c>
      <c r="E360" t="str">
        <f t="shared" ca="1" si="15"/>
        <v/>
      </c>
      <c r="F360">
        <f>'stuttgart-bkjck-rawbinary'!I360</f>
        <v>14</v>
      </c>
      <c r="G360">
        <f>Weigt!N360</f>
        <v>14</v>
      </c>
      <c r="H360" t="str">
        <f t="shared" si="16"/>
        <v/>
      </c>
      <c r="I360">
        <f>'stuttgart-bkjck-rawbinary'!J360</f>
        <v>0</v>
      </c>
      <c r="J360">
        <f>Weigt!O360</f>
        <v>0</v>
      </c>
      <c r="K360" t="str">
        <f t="shared" si="17"/>
        <v/>
      </c>
    </row>
    <row r="361" spans="1:11" x14ac:dyDescent="0.35">
      <c r="A361" s="2">
        <f>'stuttgart-bkjck-rawbinary'!A361</f>
        <v>3239</v>
      </c>
      <c r="B361" t="str">
        <f ca="1">LOOKUP(A361,'stuttgart-bkjck-rawbinary'!$A$2:$A$449,'stuttgart-bkjck-rawbinary'!$H$2:$H808)</f>
        <v>z</v>
      </c>
      <c r="C361" t="str">
        <f>Weigt!C361</f>
        <v>3239</v>
      </c>
      <c r="D361" t="str">
        <f>Weigt!M361</f>
        <v>z</v>
      </c>
      <c r="E361" t="str">
        <f t="shared" ca="1" si="15"/>
        <v/>
      </c>
      <c r="F361">
        <f>'stuttgart-bkjck-rawbinary'!I361</f>
        <v>0</v>
      </c>
      <c r="G361">
        <f>Weigt!N361</f>
        <v>0</v>
      </c>
      <c r="H361" t="str">
        <f t="shared" si="16"/>
        <v/>
      </c>
      <c r="I361">
        <f>'stuttgart-bkjck-rawbinary'!J361</f>
        <v>9</v>
      </c>
      <c r="J361">
        <f>Weigt!O361</f>
        <v>9</v>
      </c>
      <c r="K361" t="str">
        <f t="shared" si="17"/>
        <v/>
      </c>
    </row>
    <row r="362" spans="1:11" x14ac:dyDescent="0.35">
      <c r="A362" s="2">
        <f>'stuttgart-bkjck-rawbinary'!A362</f>
        <v>3240</v>
      </c>
      <c r="B362" t="str">
        <f ca="1">LOOKUP(A362,'stuttgart-bkjck-rawbinary'!$A$2:$A$449,'stuttgart-bkjck-rawbinary'!$H$2:$H809)</f>
        <v>a</v>
      </c>
      <c r="C362" t="str">
        <f>Weigt!C362</f>
        <v>3240</v>
      </c>
      <c r="D362" t="str">
        <f>Weigt!M362</f>
        <v>a</v>
      </c>
      <c r="E362" t="str">
        <f t="shared" ca="1" si="15"/>
        <v/>
      </c>
      <c r="F362">
        <f>'stuttgart-bkjck-rawbinary'!I362</f>
        <v>47</v>
      </c>
      <c r="G362">
        <f>Weigt!N362</f>
        <v>47</v>
      </c>
      <c r="H362" t="str">
        <f t="shared" si="16"/>
        <v/>
      </c>
      <c r="I362">
        <f>'stuttgart-bkjck-rawbinary'!J362</f>
        <v>49</v>
      </c>
      <c r="J362">
        <f>Weigt!O362</f>
        <v>49</v>
      </c>
      <c r="K362" t="str">
        <f t="shared" si="17"/>
        <v/>
      </c>
    </row>
    <row r="363" spans="1:11" x14ac:dyDescent="0.35">
      <c r="A363" s="2">
        <f>'stuttgart-bkjck-rawbinary'!A363</f>
        <v>3241</v>
      </c>
      <c r="B363" t="str">
        <f ca="1">LOOKUP(A363,'stuttgart-bkjck-rawbinary'!$A$2:$A$449,'stuttgart-bkjck-rawbinary'!$H$2:$H810)</f>
        <v>n</v>
      </c>
      <c r="C363" t="str">
        <f>Weigt!C363</f>
        <v>3241</v>
      </c>
      <c r="D363" t="str">
        <f>Weigt!M363</f>
        <v>n</v>
      </c>
      <c r="E363" t="str">
        <f t="shared" ca="1" si="15"/>
        <v/>
      </c>
      <c r="F363">
        <f>'stuttgart-bkjck-rawbinary'!I363</f>
        <v>49</v>
      </c>
      <c r="G363">
        <f>Weigt!N363</f>
        <v>49</v>
      </c>
      <c r="H363" t="str">
        <f t="shared" si="16"/>
        <v/>
      </c>
      <c r="I363">
        <f>'stuttgart-bkjck-rawbinary'!J363</f>
        <v>3</v>
      </c>
      <c r="J363">
        <f>Weigt!O363</f>
        <v>3</v>
      </c>
      <c r="K363" t="str">
        <f t="shared" si="17"/>
        <v/>
      </c>
    </row>
    <row r="364" spans="1:11" x14ac:dyDescent="0.35">
      <c r="A364" s="2">
        <f>'stuttgart-bkjck-rawbinary'!A364</f>
        <v>3242</v>
      </c>
      <c r="B364" t="str">
        <f ca="1">LOOKUP(A364,'stuttgart-bkjck-rawbinary'!$A$2:$A$449,'stuttgart-bkjck-rawbinary'!$H$2:$H811)</f>
        <v>a</v>
      </c>
      <c r="C364" t="str">
        <f>Weigt!C364</f>
        <v>3242</v>
      </c>
      <c r="D364" t="str">
        <f>Weigt!M364</f>
        <v>a</v>
      </c>
      <c r="E364" t="str">
        <f t="shared" ca="1" si="15"/>
        <v/>
      </c>
      <c r="F364">
        <f>'stuttgart-bkjck-rawbinary'!I364</f>
        <v>50</v>
      </c>
      <c r="G364">
        <f>Weigt!N364</f>
        <v>50</v>
      </c>
      <c r="H364" t="str">
        <f t="shared" si="16"/>
        <v/>
      </c>
      <c r="I364">
        <f>'stuttgart-bkjck-rawbinary'!J364</f>
        <v>45</v>
      </c>
      <c r="J364">
        <f>Weigt!O364</f>
        <v>45</v>
      </c>
      <c r="K364" t="str">
        <f t="shared" si="17"/>
        <v/>
      </c>
    </row>
    <row r="365" spans="1:11" x14ac:dyDescent="0.35">
      <c r="A365" s="2">
        <f>'stuttgart-bkjck-rawbinary'!A365</f>
        <v>3243</v>
      </c>
      <c r="B365" t="str">
        <f ca="1">LOOKUP(A365,'stuttgart-bkjck-rawbinary'!$A$2:$A$449,'stuttgart-bkjck-rawbinary'!$H$2:$H812)</f>
        <v>y</v>
      </c>
      <c r="C365" t="str">
        <f>Weigt!C365</f>
        <v>3243</v>
      </c>
      <c r="D365" t="str">
        <f>Weigt!M365</f>
        <v>y</v>
      </c>
      <c r="E365" t="str">
        <f t="shared" ca="1" si="15"/>
        <v/>
      </c>
      <c r="F365">
        <f>'stuttgart-bkjck-rawbinary'!I365</f>
        <v>50</v>
      </c>
      <c r="G365">
        <f>Weigt!N365</f>
        <v>50</v>
      </c>
      <c r="H365" t="str">
        <f t="shared" si="16"/>
        <v/>
      </c>
      <c r="I365">
        <f>'stuttgart-bkjck-rawbinary'!J365</f>
        <v>44</v>
      </c>
      <c r="J365">
        <f>Weigt!O365</f>
        <v>44</v>
      </c>
      <c r="K365" t="str">
        <f t="shared" si="17"/>
        <v/>
      </c>
    </row>
    <row r="366" spans="1:11" x14ac:dyDescent="0.35">
      <c r="A366" s="2">
        <f>'stuttgart-bkjck-rawbinary'!A366</f>
        <v>3244</v>
      </c>
      <c r="B366" t="str">
        <f ca="1">LOOKUP(A366,'stuttgart-bkjck-rawbinary'!$A$2:$A$449,'stuttgart-bkjck-rawbinary'!$H$2:$H813)</f>
        <v>p</v>
      </c>
      <c r="C366" t="str">
        <f>Weigt!C366</f>
        <v>3244</v>
      </c>
      <c r="D366" t="str">
        <f>Weigt!M366</f>
        <v>p</v>
      </c>
      <c r="E366" t="str">
        <f t="shared" ca="1" si="15"/>
        <v/>
      </c>
      <c r="F366">
        <f>'stuttgart-bkjck-rawbinary'!I366</f>
        <v>26</v>
      </c>
      <c r="G366">
        <f>Weigt!N366</f>
        <v>26</v>
      </c>
      <c r="H366" t="str">
        <f t="shared" si="16"/>
        <v/>
      </c>
      <c r="I366">
        <f>'stuttgart-bkjck-rawbinary'!J366</f>
        <v>0</v>
      </c>
      <c r="J366">
        <f>Weigt!O366</f>
        <v>0</v>
      </c>
      <c r="K366" t="str">
        <f t="shared" si="17"/>
        <v/>
      </c>
    </row>
    <row r="367" spans="1:11" x14ac:dyDescent="0.35">
      <c r="A367" s="2">
        <f>'stuttgart-bkjck-rawbinary'!A367</f>
        <v>3245</v>
      </c>
      <c r="B367" t="str">
        <f ca="1">LOOKUP(A367,'stuttgart-bkjck-rawbinary'!$A$2:$A$449,'stuttgart-bkjck-rawbinary'!$H$2:$H814)</f>
        <v>z</v>
      </c>
      <c r="C367" t="str">
        <f>Weigt!C367</f>
        <v>3245</v>
      </c>
      <c r="D367" t="str">
        <f>Weigt!M367</f>
        <v>z</v>
      </c>
      <c r="E367" t="str">
        <f t="shared" ca="1" si="15"/>
        <v/>
      </c>
      <c r="F367">
        <f>'stuttgart-bkjck-rawbinary'!I367</f>
        <v>2</v>
      </c>
      <c r="G367">
        <f>Weigt!N367</f>
        <v>2</v>
      </c>
      <c r="H367" t="str">
        <f t="shared" si="16"/>
        <v/>
      </c>
      <c r="I367">
        <f>'stuttgart-bkjck-rawbinary'!J367</f>
        <v>0</v>
      </c>
      <c r="J367">
        <f>Weigt!O367</f>
        <v>0</v>
      </c>
      <c r="K367" t="str">
        <f t="shared" si="17"/>
        <v/>
      </c>
    </row>
    <row r="368" spans="1:11" x14ac:dyDescent="0.35">
      <c r="A368" s="2">
        <f>'stuttgart-bkjck-rawbinary'!A368</f>
        <v>3246</v>
      </c>
      <c r="B368" t="str">
        <f ca="1">LOOKUP(A368,'stuttgart-bkjck-rawbinary'!$A$2:$A$449,'stuttgart-bkjck-rawbinary'!$H$2:$H815)</f>
        <v>u</v>
      </c>
      <c r="C368" t="str">
        <f>Weigt!C368</f>
        <v>3246</v>
      </c>
      <c r="D368" t="str">
        <f>Weigt!M368</f>
        <v>u</v>
      </c>
      <c r="E368" t="str">
        <f t="shared" ca="1" si="15"/>
        <v/>
      </c>
      <c r="F368">
        <f>'stuttgart-bkjck-rawbinary'!I368</f>
        <v>49</v>
      </c>
      <c r="G368">
        <f>Weigt!N368</f>
        <v>49</v>
      </c>
      <c r="H368" t="str">
        <f t="shared" si="16"/>
        <v/>
      </c>
      <c r="I368">
        <f>'stuttgart-bkjck-rawbinary'!J368</f>
        <v>44</v>
      </c>
      <c r="J368">
        <f>Weigt!O368</f>
        <v>44</v>
      </c>
      <c r="K368" t="str">
        <f t="shared" si="17"/>
        <v/>
      </c>
    </row>
    <row r="369" spans="1:11" x14ac:dyDescent="0.35">
      <c r="A369" s="2">
        <f>'stuttgart-bkjck-rawbinary'!A369</f>
        <v>3247</v>
      </c>
      <c r="B369" t="str">
        <f ca="1">LOOKUP(A369,'stuttgart-bkjck-rawbinary'!$A$2:$A$449,'stuttgart-bkjck-rawbinary'!$H$2:$H816)</f>
        <v>p</v>
      </c>
      <c r="C369" t="str">
        <f>Weigt!C369</f>
        <v>3247</v>
      </c>
      <c r="D369" t="str">
        <f>Weigt!M369</f>
        <v>p</v>
      </c>
      <c r="E369" t="str">
        <f t="shared" ca="1" si="15"/>
        <v/>
      </c>
      <c r="F369">
        <f>'stuttgart-bkjck-rawbinary'!I369</f>
        <v>6</v>
      </c>
      <c r="G369">
        <f>Weigt!N369</f>
        <v>6</v>
      </c>
      <c r="H369" t="str">
        <f t="shared" si="16"/>
        <v/>
      </c>
      <c r="I369">
        <f>'stuttgart-bkjck-rawbinary'!J369</f>
        <v>0</v>
      </c>
      <c r="J369">
        <f>Weigt!O369</f>
        <v>0</v>
      </c>
      <c r="K369" t="str">
        <f t="shared" si="17"/>
        <v/>
      </c>
    </row>
    <row r="370" spans="1:11" x14ac:dyDescent="0.35">
      <c r="A370" s="2">
        <f>'stuttgart-bkjck-rawbinary'!A370</f>
        <v>3248</v>
      </c>
      <c r="B370" t="str">
        <f ca="1">LOOKUP(A370,'stuttgart-bkjck-rawbinary'!$A$2:$A$449,'stuttgart-bkjck-rawbinary'!$H$2:$H817)</f>
        <v>u</v>
      </c>
      <c r="C370" t="str">
        <f>Weigt!C370</f>
        <v>3248</v>
      </c>
      <c r="D370" t="str">
        <f>Weigt!M370</f>
        <v>u</v>
      </c>
      <c r="E370" t="str">
        <f t="shared" ca="1" si="15"/>
        <v/>
      </c>
      <c r="F370">
        <f>'stuttgart-bkjck-rawbinary'!I370</f>
        <v>50</v>
      </c>
      <c r="G370">
        <f>Weigt!N370</f>
        <v>50</v>
      </c>
      <c r="H370" t="str">
        <f t="shared" si="16"/>
        <v/>
      </c>
      <c r="I370">
        <f>'stuttgart-bkjck-rawbinary'!J370</f>
        <v>39</v>
      </c>
      <c r="J370">
        <f>Weigt!O370</f>
        <v>39</v>
      </c>
      <c r="K370" t="str">
        <f t="shared" si="17"/>
        <v/>
      </c>
    </row>
    <row r="371" spans="1:11" x14ac:dyDescent="0.35">
      <c r="A371" s="2">
        <f>'stuttgart-bkjck-rawbinary'!A371</f>
        <v>3249</v>
      </c>
      <c r="B371" t="str">
        <f ca="1">LOOKUP(A371,'stuttgart-bkjck-rawbinary'!$A$2:$A$449,'stuttgart-bkjck-rawbinary'!$H$2:$H818)</f>
        <v>p</v>
      </c>
      <c r="C371" t="str">
        <f>Weigt!C371</f>
        <v>3249</v>
      </c>
      <c r="D371" t="str">
        <f>Weigt!M371</f>
        <v>p</v>
      </c>
      <c r="E371" t="str">
        <f t="shared" ca="1" si="15"/>
        <v/>
      </c>
      <c r="F371">
        <f>'stuttgart-bkjck-rawbinary'!I371</f>
        <v>10</v>
      </c>
      <c r="G371">
        <f>Weigt!N371</f>
        <v>10</v>
      </c>
      <c r="H371" t="str">
        <f t="shared" si="16"/>
        <v/>
      </c>
      <c r="I371">
        <f>'stuttgart-bkjck-rawbinary'!J371</f>
        <v>0</v>
      </c>
      <c r="J371">
        <f>Weigt!O371</f>
        <v>0</v>
      </c>
      <c r="K371" t="str">
        <f t="shared" si="17"/>
        <v/>
      </c>
    </row>
    <row r="372" spans="1:11" x14ac:dyDescent="0.35">
      <c r="A372" s="2">
        <f>'stuttgart-bkjck-rawbinary'!A372</f>
        <v>3250</v>
      </c>
      <c r="B372" t="str">
        <f ca="1">LOOKUP(A372,'stuttgart-bkjck-rawbinary'!$A$2:$A$449,'stuttgart-bkjck-rawbinary'!$H$2:$H819)</f>
        <v>u</v>
      </c>
      <c r="C372" t="str">
        <f>Weigt!C372</f>
        <v>3250</v>
      </c>
      <c r="D372" t="str">
        <f>Weigt!M372</f>
        <v>u</v>
      </c>
      <c r="E372" t="str">
        <f t="shared" ca="1" si="15"/>
        <v/>
      </c>
      <c r="F372">
        <f>'stuttgart-bkjck-rawbinary'!I372</f>
        <v>50</v>
      </c>
      <c r="G372">
        <f>Weigt!N372</f>
        <v>50</v>
      </c>
      <c r="H372" t="str">
        <f t="shared" si="16"/>
        <v/>
      </c>
      <c r="I372">
        <f>'stuttgart-bkjck-rawbinary'!J372</f>
        <v>39</v>
      </c>
      <c r="J372">
        <f>Weigt!O372</f>
        <v>39</v>
      </c>
      <c r="K372" t="str">
        <f t="shared" si="17"/>
        <v/>
      </c>
    </row>
    <row r="373" spans="1:11" x14ac:dyDescent="0.35">
      <c r="A373" s="2">
        <f>'stuttgart-bkjck-rawbinary'!A373</f>
        <v>3251</v>
      </c>
      <c r="B373" t="str">
        <f ca="1">LOOKUP(A373,'stuttgart-bkjck-rawbinary'!$A$2:$A$449,'stuttgart-bkjck-rawbinary'!$H$2:$H820)</f>
        <v>b</v>
      </c>
      <c r="C373" t="str">
        <f>Weigt!C373</f>
        <v>3251</v>
      </c>
      <c r="D373" t="str">
        <f>Weigt!M373</f>
        <v>b</v>
      </c>
      <c r="E373" t="str">
        <f t="shared" ca="1" si="15"/>
        <v/>
      </c>
      <c r="F373">
        <f>'stuttgart-bkjck-rawbinary'!I373</f>
        <v>47</v>
      </c>
      <c r="G373">
        <f>Weigt!N373</f>
        <v>47</v>
      </c>
      <c r="H373" t="str">
        <f t="shared" si="16"/>
        <v/>
      </c>
      <c r="I373">
        <f>'stuttgart-bkjck-rawbinary'!J373</f>
        <v>35</v>
      </c>
      <c r="J373">
        <f>Weigt!O373</f>
        <v>35</v>
      </c>
      <c r="K373" t="str">
        <f t="shared" si="17"/>
        <v/>
      </c>
    </row>
    <row r="374" spans="1:11" x14ac:dyDescent="0.35">
      <c r="A374" s="2">
        <f>'stuttgart-bkjck-rawbinary'!A374</f>
        <v>3252</v>
      </c>
      <c r="B374" t="str">
        <f ca="1">LOOKUP(A374,'stuttgart-bkjck-rawbinary'!$A$2:$A$449,'stuttgart-bkjck-rawbinary'!$H$2:$H821)</f>
        <v>a</v>
      </c>
      <c r="C374" t="str">
        <f>Weigt!C374</f>
        <v>3252</v>
      </c>
      <c r="D374" t="str">
        <f>Weigt!M374</f>
        <v>a</v>
      </c>
      <c r="E374" t="str">
        <f t="shared" ca="1" si="15"/>
        <v/>
      </c>
      <c r="F374">
        <f>'stuttgart-bkjck-rawbinary'!I374</f>
        <v>46</v>
      </c>
      <c r="G374">
        <f>Weigt!N374</f>
        <v>46</v>
      </c>
      <c r="H374" t="str">
        <f t="shared" si="16"/>
        <v/>
      </c>
      <c r="I374">
        <f>'stuttgart-bkjck-rawbinary'!J374</f>
        <v>35</v>
      </c>
      <c r="J374">
        <f>Weigt!O374</f>
        <v>35</v>
      </c>
      <c r="K374" t="str">
        <f t="shared" si="17"/>
        <v/>
      </c>
    </row>
    <row r="375" spans="1:11" x14ac:dyDescent="0.35">
      <c r="A375" s="2">
        <f>'stuttgart-bkjck-rawbinary'!A375</f>
        <v>3253</v>
      </c>
      <c r="B375" t="str">
        <f ca="1">LOOKUP(A375,'stuttgart-bkjck-rawbinary'!$A$2:$A$449,'stuttgart-bkjck-rawbinary'!$H$2:$H822)</f>
        <v>c</v>
      </c>
      <c r="C375" t="str">
        <f>Weigt!C375</f>
        <v>3253</v>
      </c>
      <c r="D375" t="str">
        <f>Weigt!M375</f>
        <v>c</v>
      </c>
      <c r="E375" t="str">
        <f t="shared" ca="1" si="15"/>
        <v/>
      </c>
      <c r="F375">
        <f>'stuttgart-bkjck-rawbinary'!I375</f>
        <v>47</v>
      </c>
      <c r="G375">
        <f>Weigt!N375</f>
        <v>47</v>
      </c>
      <c r="H375" t="str">
        <f t="shared" si="16"/>
        <v/>
      </c>
      <c r="I375">
        <f>'stuttgart-bkjck-rawbinary'!J375</f>
        <v>35</v>
      </c>
      <c r="J375">
        <f>Weigt!O375</f>
        <v>35</v>
      </c>
      <c r="K375" t="str">
        <f t="shared" si="17"/>
        <v/>
      </c>
    </row>
    <row r="376" spans="1:11" x14ac:dyDescent="0.35">
      <c r="A376" s="2">
        <f>'stuttgart-bkjck-rawbinary'!A376</f>
        <v>3254</v>
      </c>
      <c r="B376" t="str">
        <f ca="1">LOOKUP(A376,'stuttgart-bkjck-rawbinary'!$A$2:$A$449,'stuttgart-bkjck-rawbinary'!$H$2:$H823)</f>
        <v>b</v>
      </c>
      <c r="C376" t="str">
        <f>Weigt!C376</f>
        <v>3254</v>
      </c>
      <c r="D376" t="str">
        <f>Weigt!M376</f>
        <v>b</v>
      </c>
      <c r="E376" t="str">
        <f t="shared" ca="1" si="15"/>
        <v/>
      </c>
      <c r="F376">
        <f>'stuttgart-bkjck-rawbinary'!I376</f>
        <v>48</v>
      </c>
      <c r="G376">
        <f>Weigt!N376</f>
        <v>48</v>
      </c>
      <c r="H376" t="str">
        <f t="shared" si="16"/>
        <v/>
      </c>
      <c r="I376">
        <f>'stuttgart-bkjck-rawbinary'!J376</f>
        <v>18</v>
      </c>
      <c r="J376">
        <f>Weigt!O376</f>
        <v>18</v>
      </c>
      <c r="K376" t="str">
        <f t="shared" si="17"/>
        <v/>
      </c>
    </row>
    <row r="377" spans="1:11" x14ac:dyDescent="0.35">
      <c r="A377" s="2">
        <f>'stuttgart-bkjck-rawbinary'!A377</f>
        <v>3255</v>
      </c>
      <c r="B377" t="str">
        <f ca="1">LOOKUP(A377,'stuttgart-bkjck-rawbinary'!$A$2:$A$449,'stuttgart-bkjck-rawbinary'!$H$2:$H824)</f>
        <v>n</v>
      </c>
      <c r="C377" t="str">
        <f>Weigt!C377</f>
        <v>3255</v>
      </c>
      <c r="D377" t="str">
        <f>Weigt!M377</f>
        <v>n</v>
      </c>
      <c r="E377" t="str">
        <f t="shared" ca="1" si="15"/>
        <v/>
      </c>
      <c r="F377">
        <f>'stuttgart-bkjck-rawbinary'!I377</f>
        <v>48</v>
      </c>
      <c r="G377">
        <f>Weigt!N377</f>
        <v>48</v>
      </c>
      <c r="H377" t="str">
        <f t="shared" si="16"/>
        <v/>
      </c>
      <c r="I377">
        <f>'stuttgart-bkjck-rawbinary'!J377</f>
        <v>18</v>
      </c>
      <c r="J377">
        <f>Weigt!O377</f>
        <v>18</v>
      </c>
      <c r="K377" t="str">
        <f t="shared" si="17"/>
        <v/>
      </c>
    </row>
    <row r="378" spans="1:11" x14ac:dyDescent="0.35">
      <c r="A378" s="2">
        <f>'stuttgart-bkjck-rawbinary'!A378</f>
        <v>3256</v>
      </c>
      <c r="B378" t="str">
        <f ca="1">LOOKUP(A378,'stuttgart-bkjck-rawbinary'!$A$2:$A$449,'stuttgart-bkjck-rawbinary'!$H$2:$H825)</f>
        <v>h</v>
      </c>
      <c r="C378" t="str">
        <f>Weigt!C378</f>
        <v>3256</v>
      </c>
      <c r="D378" t="str">
        <f>Weigt!M378</f>
        <v>h</v>
      </c>
      <c r="E378" t="str">
        <f t="shared" ca="1" si="15"/>
        <v/>
      </c>
      <c r="F378">
        <f>'stuttgart-bkjck-rawbinary'!I378</f>
        <v>48</v>
      </c>
      <c r="G378">
        <f>Weigt!N378</f>
        <v>48</v>
      </c>
      <c r="H378" t="str">
        <f t="shared" si="16"/>
        <v/>
      </c>
      <c r="I378">
        <f>'stuttgart-bkjck-rawbinary'!J378</f>
        <v>18</v>
      </c>
      <c r="J378">
        <f>Weigt!O378</f>
        <v>18</v>
      </c>
      <c r="K378" t="str">
        <f t="shared" si="17"/>
        <v/>
      </c>
    </row>
    <row r="379" spans="1:11" x14ac:dyDescent="0.35">
      <c r="A379" s="2">
        <f>'stuttgart-bkjck-rawbinary'!A379</f>
        <v>3257</v>
      </c>
      <c r="B379" t="str">
        <f ca="1">LOOKUP(A379,'stuttgart-bkjck-rawbinary'!$A$2:$A$449,'stuttgart-bkjck-rawbinary'!$H$2:$H826)</f>
        <v>m</v>
      </c>
      <c r="C379" t="str">
        <f>Weigt!C379</f>
        <v>3257</v>
      </c>
      <c r="D379" t="str">
        <f>Weigt!M379</f>
        <v>m</v>
      </c>
      <c r="E379" t="str">
        <f t="shared" ca="1" si="15"/>
        <v/>
      </c>
      <c r="F379">
        <f>'stuttgart-bkjck-rawbinary'!I379</f>
        <v>46</v>
      </c>
      <c r="G379">
        <f>Weigt!N379</f>
        <v>46</v>
      </c>
      <c r="H379" t="str">
        <f t="shared" si="16"/>
        <v/>
      </c>
      <c r="I379">
        <f>'stuttgart-bkjck-rawbinary'!J379</f>
        <v>25</v>
      </c>
      <c r="J379">
        <f>Weigt!O379</f>
        <v>25</v>
      </c>
      <c r="K379" t="str">
        <f t="shared" si="17"/>
        <v/>
      </c>
    </row>
    <row r="380" spans="1:11" x14ac:dyDescent="0.35">
      <c r="A380" s="2">
        <f>'stuttgart-bkjck-rawbinary'!A380</f>
        <v>3258</v>
      </c>
      <c r="B380" t="str">
        <f ca="1">LOOKUP(A380,'stuttgart-bkjck-rawbinary'!$A$2:$A$449,'stuttgart-bkjck-rawbinary'!$H$2:$H827)</f>
        <v>a</v>
      </c>
      <c r="C380" t="str">
        <f>Weigt!C380</f>
        <v>3258</v>
      </c>
      <c r="D380" t="str">
        <f>Weigt!M380</f>
        <v>a</v>
      </c>
      <c r="E380" t="str">
        <f t="shared" ca="1" si="15"/>
        <v/>
      </c>
      <c r="F380">
        <f>'stuttgart-bkjck-rawbinary'!I380</f>
        <v>48</v>
      </c>
      <c r="G380">
        <f>Weigt!N380</f>
        <v>48</v>
      </c>
      <c r="H380" t="str">
        <f t="shared" si="16"/>
        <v/>
      </c>
      <c r="I380">
        <f>'stuttgart-bkjck-rawbinary'!J380</f>
        <v>18</v>
      </c>
      <c r="J380">
        <f>Weigt!O380</f>
        <v>18</v>
      </c>
      <c r="K380" t="str">
        <f t="shared" si="17"/>
        <v/>
      </c>
    </row>
    <row r="381" spans="1:11" x14ac:dyDescent="0.35">
      <c r="A381" s="2">
        <f>'stuttgart-bkjck-rawbinary'!A381</f>
        <v>3259</v>
      </c>
      <c r="B381" t="str">
        <f ca="1">LOOKUP(A381,'stuttgart-bkjck-rawbinary'!$A$2:$A$449,'stuttgart-bkjck-rawbinary'!$H$2:$H828)</f>
        <v>h</v>
      </c>
      <c r="C381" t="str">
        <f>Weigt!C381</f>
        <v>3259</v>
      </c>
      <c r="D381" t="str">
        <f>Weigt!M381</f>
        <v>h</v>
      </c>
      <c r="E381" t="str">
        <f t="shared" ca="1" si="15"/>
        <v/>
      </c>
      <c r="F381">
        <f>'stuttgart-bkjck-rawbinary'!I381</f>
        <v>48</v>
      </c>
      <c r="G381">
        <f>Weigt!N381</f>
        <v>48</v>
      </c>
      <c r="H381" t="str">
        <f t="shared" si="16"/>
        <v/>
      </c>
      <c r="I381">
        <f>'stuttgart-bkjck-rawbinary'!J381</f>
        <v>18</v>
      </c>
      <c r="J381">
        <f>Weigt!O381</f>
        <v>18</v>
      </c>
      <c r="K381" t="str">
        <f t="shared" si="17"/>
        <v/>
      </c>
    </row>
    <row r="382" spans="1:11" x14ac:dyDescent="0.35">
      <c r="A382" s="2">
        <f>'stuttgart-bkjck-rawbinary'!A382</f>
        <v>3260</v>
      </c>
      <c r="B382" t="str">
        <f ca="1">LOOKUP(A382,'stuttgart-bkjck-rawbinary'!$A$2:$A$449,'stuttgart-bkjck-rawbinary'!$H$2:$H829)</f>
        <v>u</v>
      </c>
      <c r="C382" t="str">
        <f>Weigt!C382</f>
        <v>3260</v>
      </c>
      <c r="D382" t="str">
        <f>Weigt!M382</f>
        <v>u</v>
      </c>
      <c r="E382" t="str">
        <f t="shared" ca="1" si="15"/>
        <v/>
      </c>
      <c r="F382">
        <f>'stuttgart-bkjck-rawbinary'!I382</f>
        <v>45</v>
      </c>
      <c r="G382">
        <f>Weigt!N382</f>
        <v>45</v>
      </c>
      <c r="H382" t="str">
        <f t="shared" si="16"/>
        <v/>
      </c>
      <c r="I382">
        <f>'stuttgart-bkjck-rawbinary'!J382</f>
        <v>11</v>
      </c>
      <c r="J382">
        <f>Weigt!O382</f>
        <v>11</v>
      </c>
      <c r="K382" t="str">
        <f t="shared" si="17"/>
        <v/>
      </c>
    </row>
    <row r="383" spans="1:11" x14ac:dyDescent="0.35">
      <c r="A383" s="2">
        <f>'stuttgart-bkjck-rawbinary'!A383</f>
        <v>3261</v>
      </c>
      <c r="B383" t="str">
        <f ca="1">LOOKUP(A383,'stuttgart-bkjck-rawbinary'!$A$2:$A$449,'stuttgart-bkjck-rawbinary'!$H$2:$H830)</f>
        <v>z</v>
      </c>
      <c r="C383" t="str">
        <f>Weigt!C383</f>
        <v>3261</v>
      </c>
      <c r="D383" t="str">
        <f>Weigt!M383</f>
        <v>z</v>
      </c>
      <c r="E383" t="str">
        <f t="shared" ca="1" si="15"/>
        <v/>
      </c>
      <c r="F383">
        <f>'stuttgart-bkjck-rawbinary'!I383</f>
        <v>4</v>
      </c>
      <c r="G383">
        <f>Weigt!N383</f>
        <v>4</v>
      </c>
      <c r="H383" t="str">
        <f t="shared" si="16"/>
        <v/>
      </c>
      <c r="I383">
        <f>'stuttgart-bkjck-rawbinary'!J383</f>
        <v>0</v>
      </c>
      <c r="J383">
        <f>Weigt!O383</f>
        <v>0</v>
      </c>
      <c r="K383" t="str">
        <f t="shared" si="17"/>
        <v/>
      </c>
    </row>
    <row r="384" spans="1:11" x14ac:dyDescent="0.35">
      <c r="A384" s="2">
        <f>'stuttgart-bkjck-rawbinary'!A384</f>
        <v>3262</v>
      </c>
      <c r="B384" t="str">
        <f ca="1">LOOKUP(A384,'stuttgart-bkjck-rawbinary'!$A$2:$A$449,'stuttgart-bkjck-rawbinary'!$H$2:$H831)</f>
        <v>p</v>
      </c>
      <c r="C384" t="str">
        <f>Weigt!C384</f>
        <v>3262</v>
      </c>
      <c r="D384" t="str">
        <f>Weigt!M384</f>
        <v>p</v>
      </c>
      <c r="E384" t="str">
        <f t="shared" ca="1" si="15"/>
        <v/>
      </c>
      <c r="F384">
        <f>'stuttgart-bkjck-rawbinary'!I384</f>
        <v>16</v>
      </c>
      <c r="G384">
        <f>Weigt!N384</f>
        <v>16</v>
      </c>
      <c r="H384" t="str">
        <f t="shared" si="16"/>
        <v/>
      </c>
      <c r="I384">
        <f>'stuttgart-bkjck-rawbinary'!J384</f>
        <v>0</v>
      </c>
      <c r="J384">
        <f>Weigt!O384</f>
        <v>0</v>
      </c>
      <c r="K384" t="str">
        <f t="shared" si="17"/>
        <v/>
      </c>
    </row>
    <row r="385" spans="1:11" x14ac:dyDescent="0.35">
      <c r="A385" s="2">
        <f>'stuttgart-bkjck-rawbinary'!A385</f>
        <v>3263</v>
      </c>
      <c r="B385" t="str">
        <f ca="1">LOOKUP(A385,'stuttgart-bkjck-rawbinary'!$A$2:$A$449,'stuttgart-bkjck-rawbinary'!$H$2:$H832)</f>
        <v>u</v>
      </c>
      <c r="C385" t="str">
        <f>Weigt!C385</f>
        <v>3263</v>
      </c>
      <c r="D385" t="str">
        <f>Weigt!M385</f>
        <v>u</v>
      </c>
      <c r="E385" t="str">
        <f t="shared" ca="1" si="15"/>
        <v/>
      </c>
      <c r="F385">
        <f>'stuttgart-bkjck-rawbinary'!I385</f>
        <v>46</v>
      </c>
      <c r="G385">
        <f>Weigt!N385</f>
        <v>46</v>
      </c>
      <c r="H385" t="str">
        <f t="shared" si="16"/>
        <v/>
      </c>
      <c r="I385">
        <f>'stuttgart-bkjck-rawbinary'!J385</f>
        <v>30</v>
      </c>
      <c r="J385">
        <f>Weigt!O385</f>
        <v>30</v>
      </c>
      <c r="K385" t="str">
        <f t="shared" si="17"/>
        <v/>
      </c>
    </row>
    <row r="386" spans="1:11" x14ac:dyDescent="0.35">
      <c r="A386" s="2">
        <f>'stuttgart-bkjck-rawbinary'!A386</f>
        <v>3264</v>
      </c>
      <c r="B386" t="str">
        <f ca="1">LOOKUP(A386,'stuttgart-bkjck-rawbinary'!$A$2:$A$449,'stuttgart-bkjck-rawbinary'!$H$2:$H833)</f>
        <v>b</v>
      </c>
      <c r="C386" t="str">
        <f>Weigt!C386</f>
        <v>3264</v>
      </c>
      <c r="D386" t="str">
        <f>Weigt!M386</f>
        <v>b</v>
      </c>
      <c r="E386" t="str">
        <f t="shared" ca="1" si="15"/>
        <v/>
      </c>
      <c r="F386">
        <f>'stuttgart-bkjck-rawbinary'!I386</f>
        <v>49</v>
      </c>
      <c r="G386">
        <f>Weigt!N386</f>
        <v>49</v>
      </c>
      <c r="H386" t="str">
        <f t="shared" si="16"/>
        <v/>
      </c>
      <c r="I386">
        <f>'stuttgart-bkjck-rawbinary'!J386</f>
        <v>47</v>
      </c>
      <c r="J386">
        <f>Weigt!O386</f>
        <v>47</v>
      </c>
      <c r="K386" t="str">
        <f t="shared" si="17"/>
        <v/>
      </c>
    </row>
    <row r="387" spans="1:11" x14ac:dyDescent="0.35">
      <c r="A387" s="2">
        <f>'stuttgart-bkjck-rawbinary'!A387</f>
        <v>3265</v>
      </c>
      <c r="B387" t="str">
        <f ca="1">LOOKUP(A387,'stuttgart-bkjck-rawbinary'!$A$2:$A$449,'stuttgart-bkjck-rawbinary'!$H$2:$H834)</f>
        <v>e</v>
      </c>
      <c r="C387" t="str">
        <f>Weigt!C387</f>
        <v>3265</v>
      </c>
      <c r="D387" t="str">
        <f>Weigt!M387</f>
        <v>e</v>
      </c>
      <c r="E387" t="str">
        <f t="shared" ref="E387:E449" ca="1" si="18">IF(B387&lt;&gt;D387,"*","")</f>
        <v/>
      </c>
      <c r="F387">
        <f>'stuttgart-bkjck-rawbinary'!I387</f>
        <v>51</v>
      </c>
      <c r="G387">
        <f>Weigt!N387</f>
        <v>51</v>
      </c>
      <c r="H387" t="str">
        <f t="shared" ref="H387:H449" si="19">IF(F387&lt;&gt;G387,"*","")</f>
        <v/>
      </c>
      <c r="I387">
        <f>'stuttgart-bkjck-rawbinary'!J387</f>
        <v>44</v>
      </c>
      <c r="J387">
        <f>Weigt!O387</f>
        <v>44</v>
      </c>
      <c r="K387" t="str">
        <f t="shared" ref="K387:K449" si="20">IF(I387&lt;&gt;J387,"*","")</f>
        <v/>
      </c>
    </row>
    <row r="388" spans="1:11" x14ac:dyDescent="0.35">
      <c r="A388" s="2">
        <f>'stuttgart-bkjck-rawbinary'!A388</f>
        <v>3266</v>
      </c>
      <c r="B388" t="str">
        <f ca="1">LOOKUP(A388,'stuttgart-bkjck-rawbinary'!$A$2:$A$449,'stuttgart-bkjck-rawbinary'!$H$2:$H835)</f>
        <v>u</v>
      </c>
      <c r="C388" t="str">
        <f>Weigt!C388</f>
        <v>3266</v>
      </c>
      <c r="D388" t="str">
        <f>Weigt!M388</f>
        <v>u</v>
      </c>
      <c r="E388" t="str">
        <f t="shared" ca="1" si="18"/>
        <v/>
      </c>
      <c r="F388">
        <f>'stuttgart-bkjck-rawbinary'!I388</f>
        <v>51</v>
      </c>
      <c r="G388">
        <f>Weigt!N388</f>
        <v>51</v>
      </c>
      <c r="H388" t="str">
        <f t="shared" si="19"/>
        <v/>
      </c>
      <c r="I388">
        <f>'stuttgart-bkjck-rawbinary'!J388</f>
        <v>3</v>
      </c>
      <c r="J388">
        <f>Weigt!O388</f>
        <v>3</v>
      </c>
      <c r="K388" t="str">
        <f t="shared" si="20"/>
        <v/>
      </c>
    </row>
    <row r="389" spans="1:11" x14ac:dyDescent="0.35">
      <c r="A389" s="2">
        <f>'stuttgart-bkjck-rawbinary'!A389</f>
        <v>3267</v>
      </c>
      <c r="B389" t="str">
        <f ca="1">LOOKUP(A389,'stuttgart-bkjck-rawbinary'!$A$2:$A$449,'stuttgart-bkjck-rawbinary'!$H$2:$H836)</f>
        <v>s</v>
      </c>
      <c r="C389" t="str">
        <f>Weigt!C389</f>
        <v>3267</v>
      </c>
      <c r="D389" t="str">
        <f>Weigt!M389</f>
        <v>s</v>
      </c>
      <c r="E389" t="str">
        <f t="shared" ca="1" si="18"/>
        <v/>
      </c>
      <c r="F389">
        <f>'stuttgart-bkjck-rawbinary'!I389</f>
        <v>51</v>
      </c>
      <c r="G389">
        <f>Weigt!N389</f>
        <v>51</v>
      </c>
      <c r="H389" t="str">
        <f t="shared" si="19"/>
        <v/>
      </c>
      <c r="I389">
        <f>'stuttgart-bkjck-rawbinary'!J389</f>
        <v>39</v>
      </c>
      <c r="J389">
        <f>Weigt!O389</f>
        <v>39</v>
      </c>
      <c r="K389" t="str">
        <f t="shared" si="20"/>
        <v/>
      </c>
    </row>
    <row r="390" spans="1:11" x14ac:dyDescent="0.35">
      <c r="A390" s="2">
        <f>'stuttgart-bkjck-rawbinary'!A390</f>
        <v>3268</v>
      </c>
      <c r="B390" t="str">
        <f ca="1">LOOKUP(A390,'stuttgart-bkjck-rawbinary'!$A$2:$A$449,'stuttgart-bkjck-rawbinary'!$H$2:$H837)</f>
        <v>t</v>
      </c>
      <c r="C390" t="str">
        <f>Weigt!C390</f>
        <v>3268</v>
      </c>
      <c r="D390" t="str">
        <f>Weigt!M390</f>
        <v>t</v>
      </c>
      <c r="E390" t="str">
        <f t="shared" ca="1" si="18"/>
        <v/>
      </c>
      <c r="F390">
        <f>'stuttgart-bkjck-rawbinary'!I390</f>
        <v>51</v>
      </c>
      <c r="G390">
        <f>Weigt!N390</f>
        <v>51</v>
      </c>
      <c r="H390" t="str">
        <f t="shared" si="19"/>
        <v/>
      </c>
      <c r="I390">
        <f>'stuttgart-bkjck-rawbinary'!J390</f>
        <v>20</v>
      </c>
      <c r="J390">
        <f>Weigt!O390</f>
        <v>20</v>
      </c>
      <c r="K390" t="str">
        <f t="shared" si="20"/>
        <v/>
      </c>
    </row>
    <row r="391" spans="1:11" x14ac:dyDescent="0.35">
      <c r="A391" s="2">
        <f>'stuttgart-bkjck-rawbinary'!A391</f>
        <v>3269</v>
      </c>
      <c r="B391" t="str">
        <f ca="1">LOOKUP(A391,'stuttgart-bkjck-rawbinary'!$A$2:$A$449,'stuttgart-bkjck-rawbinary'!$H$2:$H838)</f>
        <v>u</v>
      </c>
      <c r="C391" t="str">
        <f>Weigt!C391</f>
        <v>3269</v>
      </c>
      <c r="D391" t="str">
        <f>Weigt!M391</f>
        <v>u</v>
      </c>
      <c r="E391" t="str">
        <f t="shared" ca="1" si="18"/>
        <v/>
      </c>
      <c r="F391">
        <f>'stuttgart-bkjck-rawbinary'!I391</f>
        <v>51</v>
      </c>
      <c r="G391">
        <f>Weigt!N391</f>
        <v>51</v>
      </c>
      <c r="H391" t="str">
        <f t="shared" si="19"/>
        <v/>
      </c>
      <c r="I391">
        <f>'stuttgart-bkjck-rawbinary'!J391</f>
        <v>17</v>
      </c>
      <c r="J391">
        <f>Weigt!O391</f>
        <v>17</v>
      </c>
      <c r="K391" t="str">
        <f t="shared" si="20"/>
        <v/>
      </c>
    </row>
    <row r="392" spans="1:11" x14ac:dyDescent="0.35">
      <c r="A392" s="2">
        <f>'stuttgart-bkjck-rawbinary'!A392</f>
        <v>3270</v>
      </c>
      <c r="B392" t="str">
        <f ca="1">LOOKUP(A392,'stuttgart-bkjck-rawbinary'!$A$2:$A$449,'stuttgart-bkjck-rawbinary'!$H$2:$H839)</f>
        <v>z</v>
      </c>
      <c r="C392" t="str">
        <f>Weigt!C392</f>
        <v>3270</v>
      </c>
      <c r="D392" t="str">
        <f>Weigt!M392</f>
        <v>z</v>
      </c>
      <c r="E392" t="str">
        <f t="shared" ca="1" si="18"/>
        <v/>
      </c>
      <c r="F392">
        <f>'stuttgart-bkjck-rawbinary'!I392</f>
        <v>0</v>
      </c>
      <c r="G392">
        <f>Weigt!N392</f>
        <v>0</v>
      </c>
      <c r="H392" t="str">
        <f t="shared" si="19"/>
        <v/>
      </c>
      <c r="I392">
        <f>'stuttgart-bkjck-rawbinary'!J392</f>
        <v>0</v>
      </c>
      <c r="J392">
        <f>Weigt!O392</f>
        <v>0</v>
      </c>
      <c r="K392" t="str">
        <f t="shared" si="20"/>
        <v/>
      </c>
    </row>
    <row r="393" spans="1:11" x14ac:dyDescent="0.35">
      <c r="A393" s="2">
        <f>'stuttgart-bkjck-rawbinary'!A393</f>
        <v>3271</v>
      </c>
      <c r="B393" t="str">
        <f ca="1">LOOKUP(A393,'stuttgart-bkjck-rawbinary'!$A$2:$A$449,'stuttgart-bkjck-rawbinary'!$H$2:$H840)</f>
        <v>a</v>
      </c>
      <c r="C393" t="str">
        <f>Weigt!C393</f>
        <v>3271</v>
      </c>
      <c r="D393" t="str">
        <f>Weigt!M393</f>
        <v>a</v>
      </c>
      <c r="E393" t="str">
        <f t="shared" ca="1" si="18"/>
        <v/>
      </c>
      <c r="F393">
        <f>'stuttgart-bkjck-rawbinary'!I393</f>
        <v>0</v>
      </c>
      <c r="G393">
        <f>Weigt!N393</f>
        <v>0</v>
      </c>
      <c r="H393" t="str">
        <f t="shared" si="19"/>
        <v/>
      </c>
      <c r="I393">
        <f>'stuttgart-bkjck-rawbinary'!J393</f>
        <v>0</v>
      </c>
      <c r="J393">
        <f>Weigt!O393</f>
        <v>0</v>
      </c>
      <c r="K393" t="str">
        <f t="shared" si="20"/>
        <v/>
      </c>
    </row>
    <row r="394" spans="1:11" x14ac:dyDescent="0.35">
      <c r="A394" s="2">
        <f>'stuttgart-bkjck-rawbinary'!A394</f>
        <v>3272</v>
      </c>
      <c r="B394" t="str">
        <f ca="1">LOOKUP(A394,'stuttgart-bkjck-rawbinary'!$A$2:$A$449,'stuttgart-bkjck-rawbinary'!$H$2:$H841)</f>
        <v>z</v>
      </c>
      <c r="C394" t="str">
        <f>Weigt!C394</f>
        <v>3272</v>
      </c>
      <c r="D394" t="str">
        <f>Weigt!M394</f>
        <v>z</v>
      </c>
      <c r="E394" t="str">
        <f t="shared" ca="1" si="18"/>
        <v/>
      </c>
      <c r="F394">
        <f>'stuttgart-bkjck-rawbinary'!I394</f>
        <v>0</v>
      </c>
      <c r="G394">
        <f>Weigt!N394</f>
        <v>0</v>
      </c>
      <c r="H394" t="str">
        <f t="shared" si="19"/>
        <v/>
      </c>
      <c r="I394">
        <f>'stuttgart-bkjck-rawbinary'!J394</f>
        <v>0</v>
      </c>
      <c r="J394">
        <f>Weigt!O394</f>
        <v>0</v>
      </c>
      <c r="K394" t="str">
        <f t="shared" si="20"/>
        <v/>
      </c>
    </row>
    <row r="395" spans="1:11" x14ac:dyDescent="0.35">
      <c r="A395" s="2">
        <f>'stuttgart-bkjck-rawbinary'!A395</f>
        <v>3273</v>
      </c>
      <c r="B395" t="str">
        <f ca="1">LOOKUP(A395,'stuttgart-bkjck-rawbinary'!$A$2:$A$449,'stuttgart-bkjck-rawbinary'!$H$2:$H842)</f>
        <v>z</v>
      </c>
      <c r="C395" t="str">
        <f>Weigt!C395</f>
        <v>3273</v>
      </c>
      <c r="D395" t="str">
        <f>Weigt!M395</f>
        <v>z</v>
      </c>
      <c r="E395" t="str">
        <f t="shared" ca="1" si="18"/>
        <v/>
      </c>
      <c r="F395">
        <f>'stuttgart-bkjck-rawbinary'!I395</f>
        <v>63</v>
      </c>
      <c r="G395">
        <f>Weigt!N395</f>
        <v>63</v>
      </c>
      <c r="H395" t="str">
        <f t="shared" si="19"/>
        <v/>
      </c>
      <c r="I395">
        <f>'stuttgart-bkjck-rawbinary'!J395</f>
        <v>0</v>
      </c>
      <c r="J395">
        <f>Weigt!O395</f>
        <v>0</v>
      </c>
      <c r="K395" t="str">
        <f t="shared" si="20"/>
        <v/>
      </c>
    </row>
    <row r="396" spans="1:11" x14ac:dyDescent="0.35">
      <c r="A396" s="2">
        <f>'stuttgart-bkjck-rawbinary'!A396</f>
        <v>3274</v>
      </c>
      <c r="B396" t="str">
        <f ca="1">LOOKUP(A396,'stuttgart-bkjck-rawbinary'!$A$2:$A$449,'stuttgart-bkjck-rawbinary'!$H$2:$H843)</f>
        <v>p</v>
      </c>
      <c r="C396" t="str">
        <f>Weigt!C396</f>
        <v>3274</v>
      </c>
      <c r="D396" t="str">
        <f>Weigt!M396</f>
        <v>p</v>
      </c>
      <c r="E396" t="str">
        <f t="shared" ca="1" si="18"/>
        <v/>
      </c>
      <c r="F396">
        <f>'stuttgart-bkjck-rawbinary'!I396</f>
        <v>0</v>
      </c>
      <c r="G396">
        <f>Weigt!N396</f>
        <v>0</v>
      </c>
      <c r="H396" t="str">
        <f t="shared" si="19"/>
        <v/>
      </c>
      <c r="I396">
        <f>'stuttgart-bkjck-rawbinary'!J396</f>
        <v>26</v>
      </c>
      <c r="J396">
        <f>Weigt!O396</f>
        <v>26</v>
      </c>
      <c r="K396" t="str">
        <f t="shared" si="20"/>
        <v/>
      </c>
    </row>
    <row r="397" spans="1:11" x14ac:dyDescent="0.35">
      <c r="A397" s="2">
        <f>'stuttgart-bkjck-rawbinary'!A397</f>
        <v>3275</v>
      </c>
      <c r="B397" t="str">
        <f ca="1">LOOKUP(A397,'stuttgart-bkjck-rawbinary'!$A$2:$A$449,'stuttgart-bkjck-rawbinary'!$H$2:$H844)</f>
        <v>z</v>
      </c>
      <c r="C397" t="str">
        <f>Weigt!C397</f>
        <v>3275</v>
      </c>
      <c r="D397" t="str">
        <f>Weigt!M397</f>
        <v>z</v>
      </c>
      <c r="E397" t="str">
        <f t="shared" ca="1" si="18"/>
        <v/>
      </c>
      <c r="F397">
        <f>'stuttgart-bkjck-rawbinary'!I397</f>
        <v>0</v>
      </c>
      <c r="G397">
        <f>Weigt!N397</f>
        <v>0</v>
      </c>
      <c r="H397" t="str">
        <f t="shared" si="19"/>
        <v/>
      </c>
      <c r="I397">
        <f>'stuttgart-bkjck-rawbinary'!J397</f>
        <v>3</v>
      </c>
      <c r="J397">
        <f>Weigt!O397</f>
        <v>3</v>
      </c>
      <c r="K397" t="str">
        <f t="shared" si="20"/>
        <v/>
      </c>
    </row>
    <row r="398" spans="1:11" x14ac:dyDescent="0.35">
      <c r="A398" s="2">
        <f>'stuttgart-bkjck-rawbinary'!A398</f>
        <v>3276</v>
      </c>
      <c r="B398" t="str">
        <f ca="1">LOOKUP(A398,'stuttgart-bkjck-rawbinary'!$A$2:$A$449,'stuttgart-bkjck-rawbinary'!$H$2:$H845)</f>
        <v>z</v>
      </c>
      <c r="C398" t="str">
        <f>Weigt!C398</f>
        <v>3276</v>
      </c>
      <c r="D398" t="str">
        <f>Weigt!M398</f>
        <v>z</v>
      </c>
      <c r="E398" t="str">
        <f t="shared" ca="1" si="18"/>
        <v/>
      </c>
      <c r="F398">
        <f>'stuttgart-bkjck-rawbinary'!I398</f>
        <v>0</v>
      </c>
      <c r="G398">
        <f>Weigt!N398</f>
        <v>0</v>
      </c>
      <c r="H398" t="str">
        <f t="shared" si="19"/>
        <v/>
      </c>
      <c r="I398">
        <f>'stuttgart-bkjck-rawbinary'!J398</f>
        <v>1</v>
      </c>
      <c r="J398">
        <f>Weigt!O398</f>
        <v>1</v>
      </c>
      <c r="K398" t="str">
        <f t="shared" si="20"/>
        <v/>
      </c>
    </row>
    <row r="399" spans="1:11" x14ac:dyDescent="0.35">
      <c r="A399" s="2">
        <f>'stuttgart-bkjck-rawbinary'!A399</f>
        <v>3277</v>
      </c>
      <c r="B399" t="str">
        <f ca="1">LOOKUP(A399,'stuttgart-bkjck-rawbinary'!$A$2:$A$449,'stuttgart-bkjck-rawbinary'!$H$2:$H846)</f>
        <v>z</v>
      </c>
      <c r="C399" t="str">
        <f>Weigt!C399</f>
        <v>3277</v>
      </c>
      <c r="D399" t="str">
        <f>Weigt!M399</f>
        <v>z</v>
      </c>
      <c r="E399" t="str">
        <f t="shared" ca="1" si="18"/>
        <v/>
      </c>
      <c r="F399">
        <f>'stuttgart-bkjck-rawbinary'!I399</f>
        <v>0</v>
      </c>
      <c r="G399">
        <f>Weigt!N399</f>
        <v>0</v>
      </c>
      <c r="H399" t="str">
        <f t="shared" si="19"/>
        <v/>
      </c>
      <c r="I399">
        <f>'stuttgart-bkjck-rawbinary'!J399</f>
        <v>1</v>
      </c>
      <c r="J399">
        <f>Weigt!O399</f>
        <v>1</v>
      </c>
      <c r="K399" t="str">
        <f t="shared" si="20"/>
        <v/>
      </c>
    </row>
    <row r="400" spans="1:11" x14ac:dyDescent="0.35">
      <c r="A400" s="2">
        <f>'stuttgart-bkjck-rawbinary'!A400</f>
        <v>3278</v>
      </c>
      <c r="B400" t="str">
        <f ca="1">LOOKUP(A400,'stuttgart-bkjck-rawbinary'!$A$2:$A$449,'stuttgart-bkjck-rawbinary'!$H$2:$H847)</f>
        <v>b</v>
      </c>
      <c r="C400" t="str">
        <f>Weigt!C400</f>
        <v>3278</v>
      </c>
      <c r="D400" t="str">
        <f>Weigt!M400</f>
        <v>b</v>
      </c>
      <c r="E400" t="str">
        <f t="shared" ca="1" si="18"/>
        <v/>
      </c>
      <c r="F400">
        <f>'stuttgart-bkjck-rawbinary'!I400</f>
        <v>51</v>
      </c>
      <c r="G400">
        <f>Weigt!N400</f>
        <v>51</v>
      </c>
      <c r="H400" t="str">
        <f t="shared" si="19"/>
        <v/>
      </c>
      <c r="I400">
        <f>'stuttgart-bkjck-rawbinary'!J400</f>
        <v>0</v>
      </c>
      <c r="J400">
        <f>Weigt!O400</f>
        <v>0</v>
      </c>
      <c r="K400" t="str">
        <f t="shared" si="20"/>
        <v/>
      </c>
    </row>
    <row r="401" spans="1:11" x14ac:dyDescent="0.35">
      <c r="A401" s="2">
        <f>'stuttgart-bkjck-rawbinary'!A401</f>
        <v>3279</v>
      </c>
      <c r="B401" t="str">
        <f ca="1">LOOKUP(A401,'stuttgart-bkjck-rawbinary'!$A$2:$A$449,'stuttgart-bkjck-rawbinary'!$H$2:$H848)</f>
        <v>a</v>
      </c>
      <c r="C401" t="str">
        <f>Weigt!C401</f>
        <v>3279</v>
      </c>
      <c r="D401" t="str">
        <f>Weigt!M401</f>
        <v>a</v>
      </c>
      <c r="E401" t="str">
        <f t="shared" ca="1" si="18"/>
        <v/>
      </c>
      <c r="F401">
        <f>'stuttgart-bkjck-rawbinary'!I401</f>
        <v>51</v>
      </c>
      <c r="G401">
        <f>Weigt!N401</f>
        <v>51</v>
      </c>
      <c r="H401" t="str">
        <f t="shared" si="19"/>
        <v/>
      </c>
      <c r="I401">
        <f>'stuttgart-bkjck-rawbinary'!J401</f>
        <v>51</v>
      </c>
      <c r="J401">
        <f>Weigt!O401</f>
        <v>51</v>
      </c>
      <c r="K401" t="str">
        <f t="shared" si="20"/>
        <v/>
      </c>
    </row>
    <row r="402" spans="1:11" x14ac:dyDescent="0.35">
      <c r="A402" s="2">
        <f>'stuttgart-bkjck-rawbinary'!A402</f>
        <v>3280</v>
      </c>
      <c r="B402" t="str">
        <f ca="1">LOOKUP(A402,'stuttgart-bkjck-rawbinary'!$A$2:$A$449,'stuttgart-bkjck-rawbinary'!$H$2:$H849)</f>
        <v>u</v>
      </c>
      <c r="C402" t="str">
        <f>Weigt!C402</f>
        <v>3280</v>
      </c>
      <c r="D402" t="str">
        <f>Weigt!M402</f>
        <v>u</v>
      </c>
      <c r="E402" t="str">
        <f t="shared" ca="1" si="18"/>
        <v/>
      </c>
      <c r="F402">
        <f>'stuttgart-bkjck-rawbinary'!I402</f>
        <v>51</v>
      </c>
      <c r="G402">
        <f>Weigt!N402</f>
        <v>51</v>
      </c>
      <c r="H402" t="str">
        <f t="shared" si="19"/>
        <v/>
      </c>
      <c r="I402">
        <f>'stuttgart-bkjck-rawbinary'!J402</f>
        <v>42</v>
      </c>
      <c r="J402">
        <f>Weigt!O402</f>
        <v>42</v>
      </c>
      <c r="K402" t="str">
        <f t="shared" si="20"/>
        <v/>
      </c>
    </row>
    <row r="403" spans="1:11" x14ac:dyDescent="0.35">
      <c r="A403" s="2">
        <f>'stuttgart-bkjck-rawbinary'!A403</f>
        <v>3281</v>
      </c>
      <c r="B403" t="str">
        <f ca="1">LOOKUP(A403,'stuttgart-bkjck-rawbinary'!$A$2:$A$449,'stuttgart-bkjck-rawbinary'!$H$2:$H850)</f>
        <v>b</v>
      </c>
      <c r="C403" t="str">
        <f>Weigt!C403</f>
        <v>3281</v>
      </c>
      <c r="D403" t="str">
        <f>Weigt!M403</f>
        <v>b</v>
      </c>
      <c r="E403" t="str">
        <f t="shared" ca="1" si="18"/>
        <v/>
      </c>
      <c r="F403">
        <f>'stuttgart-bkjck-rawbinary'!I403</f>
        <v>51</v>
      </c>
      <c r="G403">
        <f>Weigt!N403</f>
        <v>51</v>
      </c>
      <c r="H403" t="str">
        <f t="shared" si="19"/>
        <v/>
      </c>
      <c r="I403">
        <f>'stuttgart-bkjck-rawbinary'!J403</f>
        <v>51</v>
      </c>
      <c r="J403">
        <f>Weigt!O403</f>
        <v>51</v>
      </c>
      <c r="K403" t="str">
        <f t="shared" si="20"/>
        <v/>
      </c>
    </row>
    <row r="404" spans="1:11" x14ac:dyDescent="0.35">
      <c r="A404" s="2">
        <f>'stuttgart-bkjck-rawbinary'!A404</f>
        <v>3282</v>
      </c>
      <c r="B404" t="str">
        <f ca="1">LOOKUP(A404,'stuttgart-bkjck-rawbinary'!$A$2:$A$449,'stuttgart-bkjck-rawbinary'!$H$2:$H851)</f>
        <v>a</v>
      </c>
      <c r="C404" t="str">
        <f>Weigt!C404</f>
        <v>3282</v>
      </c>
      <c r="D404" t="str">
        <f>Weigt!M404</f>
        <v>a</v>
      </c>
      <c r="E404" t="str">
        <f t="shared" ca="1" si="18"/>
        <v/>
      </c>
      <c r="F404">
        <f>'stuttgart-bkjck-rawbinary'!I404</f>
        <v>51</v>
      </c>
      <c r="G404">
        <f>Weigt!N404</f>
        <v>51</v>
      </c>
      <c r="H404" t="str">
        <f t="shared" si="19"/>
        <v/>
      </c>
      <c r="I404">
        <f>'stuttgart-bkjck-rawbinary'!J404</f>
        <v>0</v>
      </c>
      <c r="J404">
        <f>Weigt!O404</f>
        <v>0</v>
      </c>
      <c r="K404" t="str">
        <f t="shared" si="20"/>
        <v/>
      </c>
    </row>
    <row r="405" spans="1:11" x14ac:dyDescent="0.35">
      <c r="A405" s="2">
        <f>'stuttgart-bkjck-rawbinary'!A405</f>
        <v>3283</v>
      </c>
      <c r="B405" t="str">
        <f ca="1">LOOKUP(A405,'stuttgart-bkjck-rawbinary'!$A$2:$A$449,'stuttgart-bkjck-rawbinary'!$H$2:$H852)</f>
        <v>u</v>
      </c>
      <c r="C405" t="str">
        <f>Weigt!C405</f>
        <v>3283</v>
      </c>
      <c r="D405" t="str">
        <f>Weigt!M405</f>
        <v>u</v>
      </c>
      <c r="E405" t="str">
        <f t="shared" ca="1" si="18"/>
        <v/>
      </c>
      <c r="F405">
        <f>'stuttgart-bkjck-rawbinary'!I405</f>
        <v>51</v>
      </c>
      <c r="G405">
        <f>Weigt!N405</f>
        <v>51</v>
      </c>
      <c r="H405" t="str">
        <f t="shared" si="19"/>
        <v/>
      </c>
      <c r="I405">
        <f>'stuttgart-bkjck-rawbinary'!J405</f>
        <v>56</v>
      </c>
      <c r="J405">
        <f>Weigt!O405</f>
        <v>56</v>
      </c>
      <c r="K405" t="str">
        <f t="shared" si="20"/>
        <v/>
      </c>
    </row>
    <row r="406" spans="1:11" x14ac:dyDescent="0.35">
      <c r="A406" s="2">
        <f>'stuttgart-bkjck-rawbinary'!A406</f>
        <v>3284</v>
      </c>
      <c r="B406" t="str">
        <f ca="1">LOOKUP(A406,'stuttgart-bkjck-rawbinary'!$A$2:$A$449,'stuttgart-bkjck-rawbinary'!$H$2:$H853)</f>
        <v>a</v>
      </c>
      <c r="C406" t="str">
        <f>Weigt!C406</f>
        <v>3284</v>
      </c>
      <c r="D406" t="str">
        <f>Weigt!M406</f>
        <v>a</v>
      </c>
      <c r="E406" t="str">
        <f t="shared" ca="1" si="18"/>
        <v/>
      </c>
      <c r="F406">
        <f>'stuttgart-bkjck-rawbinary'!I406</f>
        <v>51</v>
      </c>
      <c r="G406">
        <f>Weigt!N406</f>
        <v>51</v>
      </c>
      <c r="H406" t="str">
        <f t="shared" si="19"/>
        <v/>
      </c>
      <c r="I406">
        <f>'stuttgart-bkjck-rawbinary'!J406</f>
        <v>6</v>
      </c>
      <c r="J406">
        <f>Weigt!O406</f>
        <v>6</v>
      </c>
      <c r="K406" t="str">
        <f t="shared" si="20"/>
        <v/>
      </c>
    </row>
    <row r="407" spans="1:11" x14ac:dyDescent="0.35">
      <c r="A407" s="2">
        <f>'stuttgart-bkjck-rawbinary'!A407</f>
        <v>3285</v>
      </c>
      <c r="B407" t="str">
        <f ca="1">LOOKUP(A407,'stuttgart-bkjck-rawbinary'!$A$2:$A$449,'stuttgart-bkjck-rawbinary'!$H$2:$H854)</f>
        <v>h</v>
      </c>
      <c r="C407" t="str">
        <f>Weigt!C407</f>
        <v>3285</v>
      </c>
      <c r="D407" t="str">
        <f>Weigt!M407</f>
        <v>h</v>
      </c>
      <c r="E407" t="str">
        <f t="shared" ca="1" si="18"/>
        <v/>
      </c>
      <c r="F407">
        <f>'stuttgart-bkjck-rawbinary'!I407</f>
        <v>51</v>
      </c>
      <c r="G407">
        <f>Weigt!N407</f>
        <v>51</v>
      </c>
      <c r="H407" t="str">
        <f t="shared" si="19"/>
        <v/>
      </c>
      <c r="I407">
        <f>'stuttgart-bkjck-rawbinary'!J407</f>
        <v>7</v>
      </c>
      <c r="J407">
        <f>Weigt!O407</f>
        <v>7</v>
      </c>
      <c r="K407" t="str">
        <f t="shared" si="20"/>
        <v/>
      </c>
    </row>
    <row r="408" spans="1:11" x14ac:dyDescent="0.35">
      <c r="A408" s="2">
        <f>'stuttgart-bkjck-rawbinary'!A408</f>
        <v>3286</v>
      </c>
      <c r="B408" t="str">
        <f ca="1">LOOKUP(A408,'stuttgart-bkjck-rawbinary'!$A$2:$A$449,'stuttgart-bkjck-rawbinary'!$H$2:$H855)</f>
        <v>m</v>
      </c>
      <c r="C408" t="str">
        <f>Weigt!C408</f>
        <v>3286</v>
      </c>
      <c r="D408" t="str">
        <f>Weigt!M408</f>
        <v>m</v>
      </c>
      <c r="E408" t="str">
        <f t="shared" ca="1" si="18"/>
        <v/>
      </c>
      <c r="F408">
        <f>'stuttgart-bkjck-rawbinary'!I408</f>
        <v>51</v>
      </c>
      <c r="G408">
        <f>Weigt!N408</f>
        <v>51</v>
      </c>
      <c r="H408" t="str">
        <f t="shared" si="19"/>
        <v/>
      </c>
      <c r="I408">
        <f>'stuttgart-bkjck-rawbinary'!J408</f>
        <v>8</v>
      </c>
      <c r="J408">
        <f>Weigt!O408</f>
        <v>8</v>
      </c>
      <c r="K408" t="str">
        <f t="shared" si="20"/>
        <v/>
      </c>
    </row>
    <row r="409" spans="1:11" x14ac:dyDescent="0.35">
      <c r="A409" s="2">
        <f>'stuttgart-bkjck-rawbinary'!A409</f>
        <v>3287</v>
      </c>
      <c r="B409" t="str">
        <f ca="1">LOOKUP(A409,'stuttgart-bkjck-rawbinary'!$A$2:$A$449,'stuttgart-bkjck-rawbinary'!$H$2:$H856)</f>
        <v>e</v>
      </c>
      <c r="C409" t="str">
        <f>Weigt!C409</f>
        <v>3287</v>
      </c>
      <c r="D409" t="str">
        <f>Weigt!M409</f>
        <v>e</v>
      </c>
      <c r="E409" t="str">
        <f t="shared" ca="1" si="18"/>
        <v/>
      </c>
      <c r="F409">
        <f>'stuttgart-bkjck-rawbinary'!I409</f>
        <v>51</v>
      </c>
      <c r="G409">
        <f>Weigt!N409</f>
        <v>51</v>
      </c>
      <c r="H409" t="str">
        <f t="shared" si="19"/>
        <v/>
      </c>
      <c r="I409">
        <f>'stuttgart-bkjck-rawbinary'!J409</f>
        <v>9</v>
      </c>
      <c r="J409">
        <f>Weigt!O409</f>
        <v>9</v>
      </c>
      <c r="K409" t="str">
        <f t="shared" si="20"/>
        <v/>
      </c>
    </row>
    <row r="410" spans="1:11" x14ac:dyDescent="0.35">
      <c r="A410" s="2">
        <f>'stuttgart-bkjck-rawbinary'!A410</f>
        <v>3288</v>
      </c>
      <c r="B410" t="str">
        <f ca="1">LOOKUP(A410,'stuttgart-bkjck-rawbinary'!$A$2:$A$449,'stuttgart-bkjck-rawbinary'!$H$2:$H857)</f>
        <v>a</v>
      </c>
      <c r="C410" t="str">
        <f>Weigt!C410</f>
        <v>3288</v>
      </c>
      <c r="D410" t="str">
        <f>Weigt!M410</f>
        <v>a</v>
      </c>
      <c r="E410" t="str">
        <f t="shared" ca="1" si="18"/>
        <v/>
      </c>
      <c r="F410">
        <f>'stuttgart-bkjck-rawbinary'!I410</f>
        <v>51</v>
      </c>
      <c r="G410">
        <f>Weigt!N410</f>
        <v>51</v>
      </c>
      <c r="H410" t="str">
        <f t="shared" si="19"/>
        <v/>
      </c>
      <c r="I410">
        <f>'stuttgart-bkjck-rawbinary'!J410</f>
        <v>10</v>
      </c>
      <c r="J410">
        <f>Weigt!O410</f>
        <v>10</v>
      </c>
      <c r="K410" t="str">
        <f t="shared" si="20"/>
        <v/>
      </c>
    </row>
    <row r="411" spans="1:11" x14ac:dyDescent="0.35">
      <c r="A411" s="2">
        <f>'stuttgart-bkjck-rawbinary'!A411</f>
        <v>3289</v>
      </c>
      <c r="B411" t="str">
        <f ca="1">LOOKUP(A411,'stuttgart-bkjck-rawbinary'!$A$2:$A$449,'stuttgart-bkjck-rawbinary'!$H$2:$H858)</f>
        <v>c</v>
      </c>
      <c r="C411" t="str">
        <f>Weigt!C411</f>
        <v>3289</v>
      </c>
      <c r="D411" t="str">
        <f>Weigt!M411</f>
        <v>c</v>
      </c>
      <c r="E411" t="str">
        <f t="shared" ca="1" si="18"/>
        <v/>
      </c>
      <c r="F411">
        <f>'stuttgart-bkjck-rawbinary'!I411</f>
        <v>51</v>
      </c>
      <c r="G411">
        <f>Weigt!N411</f>
        <v>51</v>
      </c>
      <c r="H411" t="str">
        <f t="shared" si="19"/>
        <v/>
      </c>
      <c r="I411">
        <f>'stuttgart-bkjck-rawbinary'!J411</f>
        <v>47</v>
      </c>
      <c r="J411">
        <f>Weigt!O411</f>
        <v>47</v>
      </c>
      <c r="K411" t="str">
        <f t="shared" si="20"/>
        <v/>
      </c>
    </row>
    <row r="412" spans="1:11" x14ac:dyDescent="0.35">
      <c r="A412" s="2">
        <f>'stuttgart-bkjck-rawbinary'!A412</f>
        <v>3290</v>
      </c>
      <c r="B412" t="str">
        <f ca="1">LOOKUP(A412,'stuttgart-bkjck-rawbinary'!$A$2:$A$449,'stuttgart-bkjck-rawbinary'!$H$2:$H859)</f>
        <v>u</v>
      </c>
      <c r="C412" t="str">
        <f>Weigt!C412</f>
        <v>3290</v>
      </c>
      <c r="D412" t="str">
        <f>Weigt!M412</f>
        <v>u</v>
      </c>
      <c r="E412" t="str">
        <f t="shared" ca="1" si="18"/>
        <v/>
      </c>
      <c r="F412">
        <f>'stuttgart-bkjck-rawbinary'!I412</f>
        <v>51</v>
      </c>
      <c r="G412">
        <f>Weigt!N412</f>
        <v>51</v>
      </c>
      <c r="H412" t="str">
        <f t="shared" si="19"/>
        <v/>
      </c>
      <c r="I412">
        <f>'stuttgart-bkjck-rawbinary'!J412</f>
        <v>14</v>
      </c>
      <c r="J412">
        <f>Weigt!O412</f>
        <v>14</v>
      </c>
      <c r="K412" t="str">
        <f t="shared" si="20"/>
        <v/>
      </c>
    </row>
    <row r="413" spans="1:11" x14ac:dyDescent="0.35">
      <c r="A413" s="2">
        <f>'stuttgart-bkjck-rawbinary'!A413</f>
        <v>3291</v>
      </c>
      <c r="B413" t="str">
        <f ca="1">LOOKUP(A413,'stuttgart-bkjck-rawbinary'!$A$2:$A$449,'stuttgart-bkjck-rawbinary'!$H$2:$H860)</f>
        <v>a</v>
      </c>
      <c r="C413" t="str">
        <f>Weigt!C413</f>
        <v>3291</v>
      </c>
      <c r="D413" t="str">
        <f>Weigt!M413</f>
        <v>a</v>
      </c>
      <c r="E413" t="str">
        <f t="shared" ca="1" si="18"/>
        <v/>
      </c>
      <c r="F413">
        <f>'stuttgart-bkjck-rawbinary'!I413</f>
        <v>51</v>
      </c>
      <c r="G413">
        <f>Weigt!N413</f>
        <v>51</v>
      </c>
      <c r="H413" t="str">
        <f t="shared" si="19"/>
        <v/>
      </c>
      <c r="I413">
        <f>'stuttgart-bkjck-rawbinary'!J413</f>
        <v>6</v>
      </c>
      <c r="J413">
        <f>Weigt!O413</f>
        <v>6</v>
      </c>
      <c r="K413" t="str">
        <f t="shared" si="20"/>
        <v/>
      </c>
    </row>
    <row r="414" spans="1:11" x14ac:dyDescent="0.35">
      <c r="A414" s="2">
        <f>'stuttgart-bkjck-rawbinary'!A414</f>
        <v>3292</v>
      </c>
      <c r="B414" t="str">
        <f ca="1">LOOKUP(A414,'stuttgart-bkjck-rawbinary'!$A$2:$A$449,'stuttgart-bkjck-rawbinary'!$H$2:$H861)</f>
        <v>h</v>
      </c>
      <c r="C414" t="str">
        <f>Weigt!C414</f>
        <v>3292</v>
      </c>
      <c r="D414" t="str">
        <f>Weigt!M414</f>
        <v>h</v>
      </c>
      <c r="E414" t="str">
        <f t="shared" ca="1" si="18"/>
        <v/>
      </c>
      <c r="F414">
        <f>'stuttgart-bkjck-rawbinary'!I414</f>
        <v>51</v>
      </c>
      <c r="G414">
        <f>Weigt!N414</f>
        <v>51</v>
      </c>
      <c r="H414" t="str">
        <f t="shared" si="19"/>
        <v/>
      </c>
      <c r="I414">
        <f>'stuttgart-bkjck-rawbinary'!J414</f>
        <v>7</v>
      </c>
      <c r="J414">
        <f>Weigt!O414</f>
        <v>7</v>
      </c>
      <c r="K414" t="str">
        <f t="shared" si="20"/>
        <v/>
      </c>
    </row>
    <row r="415" spans="1:11" x14ac:dyDescent="0.35">
      <c r="A415" s="2">
        <f>'stuttgart-bkjck-rawbinary'!A415</f>
        <v>3293</v>
      </c>
      <c r="B415" t="str">
        <f ca="1">LOOKUP(A415,'stuttgart-bkjck-rawbinary'!$A$2:$A$449,'stuttgart-bkjck-rawbinary'!$H$2:$H862)</f>
        <v>m</v>
      </c>
      <c r="C415" t="str">
        <f>Weigt!C415</f>
        <v>3293</v>
      </c>
      <c r="D415" t="str">
        <f>Weigt!M415</f>
        <v>m</v>
      </c>
      <c r="E415" t="str">
        <f t="shared" ca="1" si="18"/>
        <v/>
      </c>
      <c r="F415">
        <f>'stuttgart-bkjck-rawbinary'!I415</f>
        <v>51</v>
      </c>
      <c r="G415">
        <f>Weigt!N415</f>
        <v>51</v>
      </c>
      <c r="H415" t="str">
        <f t="shared" si="19"/>
        <v/>
      </c>
      <c r="I415">
        <f>'stuttgart-bkjck-rawbinary'!J415</f>
        <v>8</v>
      </c>
      <c r="J415">
        <f>Weigt!O415</f>
        <v>8</v>
      </c>
      <c r="K415" t="str">
        <f t="shared" si="20"/>
        <v/>
      </c>
    </row>
    <row r="416" spans="1:11" x14ac:dyDescent="0.35">
      <c r="A416" s="2">
        <f>'stuttgart-bkjck-rawbinary'!A416</f>
        <v>3294</v>
      </c>
      <c r="B416" t="str">
        <f ca="1">LOOKUP(A416,'stuttgart-bkjck-rawbinary'!$A$2:$A$449,'stuttgart-bkjck-rawbinary'!$H$2:$H863)</f>
        <v>e</v>
      </c>
      <c r="C416" t="str">
        <f>Weigt!C416</f>
        <v>3294</v>
      </c>
      <c r="D416" t="str">
        <f>Weigt!M416</f>
        <v>e</v>
      </c>
      <c r="E416" t="str">
        <f t="shared" ca="1" si="18"/>
        <v/>
      </c>
      <c r="F416">
        <f>'stuttgart-bkjck-rawbinary'!I416</f>
        <v>51</v>
      </c>
      <c r="G416">
        <f>Weigt!N416</f>
        <v>51</v>
      </c>
      <c r="H416" t="str">
        <f t="shared" si="19"/>
        <v/>
      </c>
      <c r="I416">
        <f>'stuttgart-bkjck-rawbinary'!J416</f>
        <v>9</v>
      </c>
      <c r="J416">
        <f>Weigt!O416</f>
        <v>9</v>
      </c>
      <c r="K416" t="str">
        <f t="shared" si="20"/>
        <v/>
      </c>
    </row>
    <row r="417" spans="1:11" x14ac:dyDescent="0.35">
      <c r="A417" s="2">
        <f>'stuttgart-bkjck-rawbinary'!A417</f>
        <v>3295</v>
      </c>
      <c r="B417" t="str">
        <f ca="1">LOOKUP(A417,'stuttgart-bkjck-rawbinary'!$A$2:$A$449,'stuttgart-bkjck-rawbinary'!$H$2:$H864)</f>
        <v>a</v>
      </c>
      <c r="C417" t="str">
        <f>Weigt!C417</f>
        <v>3295</v>
      </c>
      <c r="D417" t="str">
        <f>Weigt!M417</f>
        <v>a</v>
      </c>
      <c r="E417" t="str">
        <f t="shared" ca="1" si="18"/>
        <v/>
      </c>
      <c r="F417">
        <f>'stuttgart-bkjck-rawbinary'!I417</f>
        <v>51</v>
      </c>
      <c r="G417">
        <f>Weigt!N417</f>
        <v>51</v>
      </c>
      <c r="H417" t="str">
        <f t="shared" si="19"/>
        <v/>
      </c>
      <c r="I417">
        <f>'stuttgart-bkjck-rawbinary'!J417</f>
        <v>10</v>
      </c>
      <c r="J417">
        <f>Weigt!O417</f>
        <v>10</v>
      </c>
      <c r="K417" t="str">
        <f t="shared" si="20"/>
        <v/>
      </c>
    </row>
    <row r="418" spans="1:11" x14ac:dyDescent="0.35">
      <c r="A418" s="2">
        <f>'stuttgart-bkjck-rawbinary'!A418</f>
        <v>3296</v>
      </c>
      <c r="B418" t="str">
        <f ca="1">LOOKUP(A418,'stuttgart-bkjck-rawbinary'!$A$2:$A$449,'stuttgart-bkjck-rawbinary'!$H$2:$H865)</f>
        <v>c</v>
      </c>
      <c r="C418" t="str">
        <f>Weigt!C418</f>
        <v>3296</v>
      </c>
      <c r="D418" t="str">
        <f>Weigt!M418</f>
        <v>c</v>
      </c>
      <c r="E418" t="str">
        <f t="shared" ca="1" si="18"/>
        <v/>
      </c>
      <c r="F418">
        <f>'stuttgart-bkjck-rawbinary'!I418</f>
        <v>51</v>
      </c>
      <c r="G418">
        <f>Weigt!N418</f>
        <v>51</v>
      </c>
      <c r="H418" t="str">
        <f t="shared" si="19"/>
        <v/>
      </c>
      <c r="I418">
        <f>'stuttgart-bkjck-rawbinary'!J418</f>
        <v>47</v>
      </c>
      <c r="J418">
        <f>Weigt!O418</f>
        <v>47</v>
      </c>
      <c r="K418" t="str">
        <f t="shared" si="20"/>
        <v/>
      </c>
    </row>
    <row r="419" spans="1:11" x14ac:dyDescent="0.35">
      <c r="A419" s="2">
        <f>'stuttgart-bkjck-rawbinary'!A419</f>
        <v>3297</v>
      </c>
      <c r="B419" t="str">
        <f ca="1">LOOKUP(A419,'stuttgart-bkjck-rawbinary'!$A$2:$A$449,'stuttgart-bkjck-rawbinary'!$H$2:$H866)</f>
        <v>s</v>
      </c>
      <c r="C419" t="str">
        <f>Weigt!C419</f>
        <v>3297</v>
      </c>
      <c r="D419" t="str">
        <f>Weigt!M419</f>
        <v>s</v>
      </c>
      <c r="E419" t="str">
        <f t="shared" ca="1" si="18"/>
        <v/>
      </c>
      <c r="F419">
        <f>'stuttgart-bkjck-rawbinary'!I419</f>
        <v>51</v>
      </c>
      <c r="G419">
        <f>Weigt!N419</f>
        <v>51</v>
      </c>
      <c r="H419" t="str">
        <f t="shared" si="19"/>
        <v/>
      </c>
      <c r="I419">
        <f>'stuttgart-bkjck-rawbinary'!J419</f>
        <v>12</v>
      </c>
      <c r="J419">
        <f>Weigt!O419</f>
        <v>12</v>
      </c>
      <c r="K419" t="str">
        <f t="shared" si="20"/>
        <v/>
      </c>
    </row>
    <row r="420" spans="1:11" x14ac:dyDescent="0.35">
      <c r="A420" s="2">
        <f>'stuttgart-bkjck-rawbinary'!A420</f>
        <v>3298</v>
      </c>
      <c r="B420" t="str">
        <f ca="1">LOOKUP(A420,'stuttgart-bkjck-rawbinary'!$A$2:$A$449,'stuttgart-bkjck-rawbinary'!$H$2:$H867)</f>
        <v>a</v>
      </c>
      <c r="C420" t="str">
        <f>Weigt!C420</f>
        <v>3298</v>
      </c>
      <c r="D420" t="str">
        <f>Weigt!M420</f>
        <v>a</v>
      </c>
      <c r="E420" t="str">
        <f t="shared" ca="1" si="18"/>
        <v/>
      </c>
      <c r="F420">
        <f>'stuttgart-bkjck-rawbinary'!I420</f>
        <v>51</v>
      </c>
      <c r="G420">
        <f>Weigt!N420</f>
        <v>51</v>
      </c>
      <c r="H420" t="str">
        <f t="shared" si="19"/>
        <v/>
      </c>
      <c r="I420">
        <f>'stuttgart-bkjck-rawbinary'!J420</f>
        <v>13</v>
      </c>
      <c r="J420">
        <f>Weigt!O420</f>
        <v>13</v>
      </c>
      <c r="K420" t="str">
        <f t="shared" si="20"/>
        <v/>
      </c>
    </row>
    <row r="421" spans="1:11" x14ac:dyDescent="0.35">
      <c r="A421" s="2">
        <f>'stuttgart-bkjck-rawbinary'!A421</f>
        <v>3299</v>
      </c>
      <c r="B421" t="str">
        <f ca="1">LOOKUP(A421,'stuttgart-bkjck-rawbinary'!$A$2:$A$449,'stuttgart-bkjck-rawbinary'!$H$2:$H868)</f>
        <v>z</v>
      </c>
      <c r="C421" t="str">
        <f>Weigt!C421</f>
        <v>3299</v>
      </c>
      <c r="D421" t="str">
        <f>Weigt!M421</f>
        <v>z</v>
      </c>
      <c r="E421" t="str">
        <f t="shared" ca="1" si="18"/>
        <v/>
      </c>
      <c r="F421">
        <f>'stuttgart-bkjck-rawbinary'!I421</f>
        <v>0</v>
      </c>
      <c r="G421">
        <f>Weigt!N421</f>
        <v>0</v>
      </c>
      <c r="H421" t="str">
        <f t="shared" si="19"/>
        <v/>
      </c>
      <c r="I421">
        <f>'stuttgart-bkjck-rawbinary'!J421</f>
        <v>0</v>
      </c>
      <c r="J421">
        <f>Weigt!O421</f>
        <v>0</v>
      </c>
      <c r="K421" t="str">
        <f t="shared" si="20"/>
        <v/>
      </c>
    </row>
    <row r="422" spans="1:11" x14ac:dyDescent="0.35">
      <c r="A422" s="2">
        <f>'stuttgart-bkjck-rawbinary'!A422</f>
        <v>3300</v>
      </c>
      <c r="B422" t="str">
        <f ca="1">LOOKUP(A422,'stuttgart-bkjck-rawbinary'!$A$2:$A$449,'stuttgart-bkjck-rawbinary'!$H$2:$H869)</f>
        <v>t</v>
      </c>
      <c r="C422" t="str">
        <f>Weigt!C422</f>
        <v>3300</v>
      </c>
      <c r="D422" t="str">
        <f>Weigt!M422</f>
        <v>t</v>
      </c>
      <c r="E422" t="str">
        <f t="shared" ca="1" si="18"/>
        <v/>
      </c>
      <c r="F422">
        <f>'stuttgart-bkjck-rawbinary'!I422</f>
        <v>51</v>
      </c>
      <c r="G422">
        <f>Weigt!N422</f>
        <v>51</v>
      </c>
      <c r="H422" t="str">
        <f t="shared" si="19"/>
        <v/>
      </c>
      <c r="I422">
        <f>'stuttgart-bkjck-rawbinary'!J422</f>
        <v>0</v>
      </c>
      <c r="J422">
        <f>Weigt!O422</f>
        <v>0</v>
      </c>
      <c r="K422" t="str">
        <f t="shared" si="20"/>
        <v/>
      </c>
    </row>
    <row r="423" spans="1:11" x14ac:dyDescent="0.35">
      <c r="A423" s="2">
        <f>'stuttgart-bkjck-rawbinary'!A423</f>
        <v>3301</v>
      </c>
      <c r="B423" t="str">
        <f ca="1">LOOKUP(A423,'stuttgart-bkjck-rawbinary'!$A$2:$A$449,'stuttgart-bkjck-rawbinary'!$H$2:$H870)</f>
        <v>u</v>
      </c>
      <c r="C423" t="str">
        <f>Weigt!C423</f>
        <v>3301</v>
      </c>
      <c r="D423" t="str">
        <f>Weigt!M423</f>
        <v>u</v>
      </c>
      <c r="E423" t="str">
        <f t="shared" ca="1" si="18"/>
        <v/>
      </c>
      <c r="F423">
        <f>'stuttgart-bkjck-rawbinary'!I423</f>
        <v>51</v>
      </c>
      <c r="G423">
        <f>Weigt!N423</f>
        <v>51</v>
      </c>
      <c r="H423" t="str">
        <f t="shared" si="19"/>
        <v/>
      </c>
      <c r="I423">
        <f>'stuttgart-bkjck-rawbinary'!J423</f>
        <v>47</v>
      </c>
      <c r="J423">
        <f>Weigt!O423</f>
        <v>47</v>
      </c>
      <c r="K423" t="str">
        <f t="shared" si="20"/>
        <v/>
      </c>
    </row>
    <row r="424" spans="1:11" x14ac:dyDescent="0.35">
      <c r="A424" s="2">
        <f>'stuttgart-bkjck-rawbinary'!A424</f>
        <v>3302</v>
      </c>
      <c r="B424" t="str">
        <f ca="1">LOOKUP(A424,'stuttgart-bkjck-rawbinary'!$A$2:$A$449,'stuttgart-bkjck-rawbinary'!$H$2:$H871)</f>
        <v>z</v>
      </c>
      <c r="C424" t="str">
        <f>Weigt!C424</f>
        <v>3302</v>
      </c>
      <c r="D424" t="str">
        <f>Weigt!M424</f>
        <v>z</v>
      </c>
      <c r="E424" t="str">
        <f t="shared" ca="1" si="18"/>
        <v/>
      </c>
      <c r="F424">
        <f>'stuttgart-bkjck-rawbinary'!I424</f>
        <v>1</v>
      </c>
      <c r="G424">
        <f>Weigt!N424</f>
        <v>1</v>
      </c>
      <c r="H424" t="str">
        <f t="shared" si="19"/>
        <v/>
      </c>
      <c r="I424">
        <f>'stuttgart-bkjck-rawbinary'!J424</f>
        <v>0</v>
      </c>
      <c r="J424">
        <f>Weigt!O424</f>
        <v>0</v>
      </c>
      <c r="K424" t="str">
        <f t="shared" si="20"/>
        <v/>
      </c>
    </row>
    <row r="425" spans="1:11" x14ac:dyDescent="0.35">
      <c r="A425" s="2">
        <f>'stuttgart-bkjck-rawbinary'!A425</f>
        <v>3303</v>
      </c>
      <c r="B425" t="str">
        <f ca="1">LOOKUP(A425,'stuttgart-bkjck-rawbinary'!$A$2:$A$449,'stuttgart-bkjck-rawbinary'!$H$2:$H872)</f>
        <v>z</v>
      </c>
      <c r="C425" t="str">
        <f>Weigt!C425</f>
        <v>3303</v>
      </c>
      <c r="D425" t="str">
        <f>Weigt!M425</f>
        <v>z</v>
      </c>
      <c r="E425" t="str">
        <f t="shared" ca="1" si="18"/>
        <v/>
      </c>
      <c r="F425">
        <f>'stuttgart-bkjck-rawbinary'!I425</f>
        <v>0</v>
      </c>
      <c r="G425">
        <f>Weigt!N425</f>
        <v>0</v>
      </c>
      <c r="H425" t="str">
        <f t="shared" si="19"/>
        <v/>
      </c>
      <c r="I425">
        <f>'stuttgart-bkjck-rawbinary'!J425</f>
        <v>0</v>
      </c>
      <c r="J425">
        <f>Weigt!O425</f>
        <v>0</v>
      </c>
      <c r="K425" t="str">
        <f t="shared" si="20"/>
        <v/>
      </c>
    </row>
    <row r="426" spans="1:11" x14ac:dyDescent="0.35">
      <c r="A426" s="2">
        <f>'stuttgart-bkjck-rawbinary'!A426</f>
        <v>3304</v>
      </c>
      <c r="B426" t="str">
        <f ca="1">LOOKUP(A426,'stuttgart-bkjck-rawbinary'!$A$2:$A$449,'stuttgart-bkjck-rawbinary'!$H$2:$H873)</f>
        <v>b</v>
      </c>
      <c r="C426" t="str">
        <f>Weigt!C426</f>
        <v>3304</v>
      </c>
      <c r="D426" t="str">
        <f>Weigt!M426</f>
        <v>b</v>
      </c>
      <c r="E426" t="str">
        <f t="shared" ca="1" si="18"/>
        <v/>
      </c>
      <c r="F426">
        <f>'stuttgart-bkjck-rawbinary'!I426</f>
        <v>51</v>
      </c>
      <c r="G426">
        <f>Weigt!N426</f>
        <v>51</v>
      </c>
      <c r="H426" t="str">
        <f t="shared" si="19"/>
        <v/>
      </c>
      <c r="I426">
        <f>'stuttgart-bkjck-rawbinary'!J426</f>
        <v>0</v>
      </c>
      <c r="J426">
        <f>Weigt!O426</f>
        <v>0</v>
      </c>
      <c r="K426" t="str">
        <f t="shared" si="20"/>
        <v/>
      </c>
    </row>
    <row r="427" spans="1:11" x14ac:dyDescent="0.35">
      <c r="A427" s="2">
        <f>'stuttgart-bkjck-rawbinary'!A427</f>
        <v>3305</v>
      </c>
      <c r="B427" t="str">
        <f ca="1">LOOKUP(A427,'stuttgart-bkjck-rawbinary'!$A$2:$A$449,'stuttgart-bkjck-rawbinary'!$H$2:$H874)</f>
        <v>u</v>
      </c>
      <c r="C427" t="str">
        <f>Weigt!C427</f>
        <v>3305</v>
      </c>
      <c r="D427" t="str">
        <f>Weigt!M427</f>
        <v>u</v>
      </c>
      <c r="E427" t="str">
        <f t="shared" ca="1" si="18"/>
        <v/>
      </c>
      <c r="F427">
        <f>'stuttgart-bkjck-rawbinary'!I427</f>
        <v>51</v>
      </c>
      <c r="G427">
        <f>Weigt!N427</f>
        <v>51</v>
      </c>
      <c r="H427" t="str">
        <f t="shared" si="19"/>
        <v/>
      </c>
      <c r="I427">
        <f>'stuttgart-bkjck-rawbinary'!J427</f>
        <v>56</v>
      </c>
      <c r="J427">
        <f>Weigt!O427</f>
        <v>56</v>
      </c>
      <c r="K427" t="str">
        <f t="shared" si="20"/>
        <v/>
      </c>
    </row>
    <row r="428" spans="1:11" x14ac:dyDescent="0.35">
      <c r="A428" s="2">
        <f>'stuttgart-bkjck-rawbinary'!A428</f>
        <v>3306</v>
      </c>
      <c r="B428" t="str">
        <f ca="1">LOOKUP(A428,'stuttgart-bkjck-rawbinary'!$A$2:$A$449,'stuttgart-bkjck-rawbinary'!$H$2:$H875)</f>
        <v>y</v>
      </c>
      <c r="C428" t="str">
        <f>Weigt!C428</f>
        <v>3306</v>
      </c>
      <c r="D428" t="str">
        <f>Weigt!M428</f>
        <v>y</v>
      </c>
      <c r="E428" t="str">
        <f t="shared" ca="1" si="18"/>
        <v/>
      </c>
      <c r="F428">
        <f>'stuttgart-bkjck-rawbinary'!I428</f>
        <v>51</v>
      </c>
      <c r="G428">
        <f>Weigt!N428</f>
        <v>51</v>
      </c>
      <c r="H428" t="str">
        <f t="shared" si="19"/>
        <v/>
      </c>
      <c r="I428">
        <f>'stuttgart-bkjck-rawbinary'!J428</f>
        <v>0</v>
      </c>
      <c r="J428">
        <f>Weigt!O428</f>
        <v>0</v>
      </c>
      <c r="K428" t="str">
        <f t="shared" si="20"/>
        <v/>
      </c>
    </row>
    <row r="429" spans="1:11" x14ac:dyDescent="0.35">
      <c r="A429" s="2">
        <f>'stuttgart-bkjck-rawbinary'!A429</f>
        <v>3307</v>
      </c>
      <c r="B429" t="str">
        <f ca="1">LOOKUP(A429,'stuttgart-bkjck-rawbinary'!$A$2:$A$449,'stuttgart-bkjck-rawbinary'!$H$2:$H876)</f>
        <v>u</v>
      </c>
      <c r="C429" t="str">
        <f>Weigt!C429</f>
        <v>3307</v>
      </c>
      <c r="D429" t="str">
        <f>Weigt!M429</f>
        <v>u</v>
      </c>
      <c r="E429" t="str">
        <f t="shared" ca="1" si="18"/>
        <v/>
      </c>
      <c r="F429">
        <f>'stuttgart-bkjck-rawbinary'!I429</f>
        <v>51</v>
      </c>
      <c r="G429">
        <f>Weigt!N429</f>
        <v>51</v>
      </c>
      <c r="H429" t="str">
        <f t="shared" si="19"/>
        <v/>
      </c>
      <c r="I429">
        <f>'stuttgart-bkjck-rawbinary'!J429</f>
        <v>46</v>
      </c>
      <c r="J429">
        <f>Weigt!O429</f>
        <v>46</v>
      </c>
      <c r="K429" t="str">
        <f t="shared" si="20"/>
        <v/>
      </c>
    </row>
    <row r="430" spans="1:11" x14ac:dyDescent="0.35">
      <c r="A430" s="2">
        <f>'stuttgart-bkjck-rawbinary'!A430</f>
        <v>3308</v>
      </c>
      <c r="B430" t="str">
        <f ca="1">LOOKUP(A430,'stuttgart-bkjck-rawbinary'!$A$2:$A$449,'stuttgart-bkjck-rawbinary'!$H$2:$H877)</f>
        <v>a</v>
      </c>
      <c r="C430" t="str">
        <f>Weigt!C430</f>
        <v>3308</v>
      </c>
      <c r="D430" t="str">
        <f>Weigt!M430</f>
        <v>a</v>
      </c>
      <c r="E430" t="str">
        <f t="shared" ca="1" si="18"/>
        <v/>
      </c>
      <c r="F430">
        <f>'stuttgart-bkjck-rawbinary'!I430</f>
        <v>62</v>
      </c>
      <c r="G430">
        <f>Weigt!N430</f>
        <v>62</v>
      </c>
      <c r="H430" t="str">
        <f t="shared" si="19"/>
        <v/>
      </c>
      <c r="I430">
        <f>'stuttgart-bkjck-rawbinary'!J430</f>
        <v>31</v>
      </c>
      <c r="J430">
        <f>Weigt!O430</f>
        <v>31</v>
      </c>
      <c r="K430" t="str">
        <f t="shared" si="20"/>
        <v/>
      </c>
    </row>
    <row r="431" spans="1:11" x14ac:dyDescent="0.35">
      <c r="A431" s="2">
        <f>'stuttgart-bkjck-rawbinary'!A431</f>
        <v>3309</v>
      </c>
      <c r="B431" t="str">
        <f ca="1">LOOKUP(A431,'stuttgart-bkjck-rawbinary'!$A$2:$A$449,'stuttgart-bkjck-rawbinary'!$H$2:$H878)</f>
        <v>z</v>
      </c>
      <c r="C431" t="str">
        <f>Weigt!C431</f>
        <v>3309</v>
      </c>
      <c r="D431" t="str">
        <f>Weigt!M431</f>
        <v>z</v>
      </c>
      <c r="E431" t="str">
        <f t="shared" ca="1" si="18"/>
        <v/>
      </c>
      <c r="F431">
        <f>'stuttgart-bkjck-rawbinary'!I431</f>
        <v>0</v>
      </c>
      <c r="G431">
        <f>Weigt!N431</f>
        <v>0</v>
      </c>
      <c r="H431" t="str">
        <f t="shared" si="19"/>
        <v/>
      </c>
      <c r="I431">
        <f>'stuttgart-bkjck-rawbinary'!J431</f>
        <v>19</v>
      </c>
      <c r="J431">
        <f>Weigt!O431</f>
        <v>19</v>
      </c>
      <c r="K431" t="str">
        <f t="shared" si="20"/>
        <v/>
      </c>
    </row>
    <row r="432" spans="1:11" x14ac:dyDescent="0.35">
      <c r="A432" s="2">
        <f>'stuttgart-bkjck-rawbinary'!A432</f>
        <v>3310</v>
      </c>
      <c r="B432" t="str">
        <f ca="1">LOOKUP(A432,'stuttgart-bkjck-rawbinary'!$A$2:$A$449,'stuttgart-bkjck-rawbinary'!$H$2:$H879)</f>
        <v>b</v>
      </c>
      <c r="C432" t="str">
        <f>Weigt!C432</f>
        <v>3310</v>
      </c>
      <c r="D432" t="str">
        <f>Weigt!M432</f>
        <v>b</v>
      </c>
      <c r="E432" t="str">
        <f t="shared" ca="1" si="18"/>
        <v/>
      </c>
      <c r="F432">
        <f>'stuttgart-bkjck-rawbinary'!I432</f>
        <v>51</v>
      </c>
      <c r="G432">
        <f>Weigt!N432</f>
        <v>51</v>
      </c>
      <c r="H432" t="str">
        <f t="shared" si="19"/>
        <v/>
      </c>
      <c r="I432">
        <f>'stuttgart-bkjck-rawbinary'!J432</f>
        <v>11</v>
      </c>
      <c r="J432">
        <f>Weigt!O432</f>
        <v>11</v>
      </c>
      <c r="K432" t="str">
        <f t="shared" si="20"/>
        <v/>
      </c>
    </row>
    <row r="433" spans="1:11" x14ac:dyDescent="0.35">
      <c r="A433" s="2">
        <f>'stuttgart-bkjck-rawbinary'!A433</f>
        <v>3311</v>
      </c>
      <c r="B433" t="str">
        <f ca="1">LOOKUP(A433,'stuttgart-bkjck-rawbinary'!$A$2:$A$449,'stuttgart-bkjck-rawbinary'!$H$2:$H880)</f>
        <v>p</v>
      </c>
      <c r="C433" t="str">
        <f>Weigt!C433</f>
        <v>3311</v>
      </c>
      <c r="D433" t="str">
        <f>Weigt!M433</f>
        <v>p</v>
      </c>
      <c r="E433" t="str">
        <f t="shared" ca="1" si="18"/>
        <v/>
      </c>
      <c r="F433">
        <f>'stuttgart-bkjck-rawbinary'!I433</f>
        <v>2</v>
      </c>
      <c r="G433">
        <f>Weigt!N433</f>
        <v>2</v>
      </c>
      <c r="H433" t="str">
        <f t="shared" si="19"/>
        <v/>
      </c>
      <c r="I433">
        <f>'stuttgart-bkjck-rawbinary'!J433</f>
        <v>26</v>
      </c>
      <c r="J433">
        <f>Weigt!O433</f>
        <v>26</v>
      </c>
      <c r="K433" t="str">
        <f t="shared" si="20"/>
        <v/>
      </c>
    </row>
    <row r="434" spans="1:11" x14ac:dyDescent="0.35">
      <c r="A434" s="2">
        <f>'stuttgart-bkjck-rawbinary'!A434</f>
        <v>3312</v>
      </c>
      <c r="B434" t="str">
        <f ca="1">LOOKUP(A434,'stuttgart-bkjck-rawbinary'!$A$2:$A$449,'stuttgart-bkjck-rawbinary'!$H$2:$H881)</f>
        <v>h</v>
      </c>
      <c r="C434" t="str">
        <f>Weigt!C434</f>
        <v>3312</v>
      </c>
      <c r="D434" t="str">
        <f>Weigt!M434</f>
        <v>h</v>
      </c>
      <c r="E434" t="str">
        <f t="shared" ca="1" si="18"/>
        <v/>
      </c>
      <c r="F434">
        <f>'stuttgart-bkjck-rawbinary'!I434</f>
        <v>51</v>
      </c>
      <c r="G434">
        <f>Weigt!N434</f>
        <v>51</v>
      </c>
      <c r="H434" t="str">
        <f t="shared" si="19"/>
        <v/>
      </c>
      <c r="I434">
        <f>'stuttgart-bkjck-rawbinary'!J434</f>
        <v>13</v>
      </c>
      <c r="J434">
        <f>Weigt!O434</f>
        <v>13</v>
      </c>
      <c r="K434" t="str">
        <f t="shared" si="20"/>
        <v/>
      </c>
    </row>
    <row r="435" spans="1:11" x14ac:dyDescent="0.35">
      <c r="A435" s="2">
        <f>'stuttgart-bkjck-rawbinary'!A435</f>
        <v>3313</v>
      </c>
      <c r="B435" t="str">
        <f ca="1">LOOKUP(A435,'stuttgart-bkjck-rawbinary'!$A$2:$A$449,'stuttgart-bkjck-rawbinary'!$H$2:$H882)</f>
        <v>b</v>
      </c>
      <c r="C435" t="str">
        <f>Weigt!C435</f>
        <v>3313</v>
      </c>
      <c r="D435" t="str">
        <f>Weigt!M435</f>
        <v>b</v>
      </c>
      <c r="E435" t="str">
        <f t="shared" ca="1" si="18"/>
        <v/>
      </c>
      <c r="F435">
        <f>'stuttgart-bkjck-rawbinary'!I435</f>
        <v>51</v>
      </c>
      <c r="G435">
        <f>Weigt!N435</f>
        <v>51</v>
      </c>
      <c r="H435" t="str">
        <f t="shared" si="19"/>
        <v/>
      </c>
      <c r="I435">
        <f>'stuttgart-bkjck-rawbinary'!J435</f>
        <v>7</v>
      </c>
      <c r="J435">
        <f>Weigt!O435</f>
        <v>7</v>
      </c>
      <c r="K435" t="str">
        <f t="shared" si="20"/>
        <v/>
      </c>
    </row>
    <row r="436" spans="1:11" x14ac:dyDescent="0.35">
      <c r="A436" s="2">
        <f>'stuttgart-bkjck-rawbinary'!A436</f>
        <v>3314</v>
      </c>
      <c r="B436" t="str">
        <f ca="1">LOOKUP(A436,'stuttgart-bkjck-rawbinary'!$A$2:$A$449,'stuttgart-bkjck-rawbinary'!$H$2:$H883)</f>
        <v>u</v>
      </c>
      <c r="C436" t="str">
        <f>Weigt!C436</f>
        <v>3314</v>
      </c>
      <c r="D436" t="str">
        <f>Weigt!M436</f>
        <v>u</v>
      </c>
      <c r="E436" t="str">
        <f t="shared" ca="1" si="18"/>
        <v/>
      </c>
      <c r="F436">
        <f>'stuttgart-bkjck-rawbinary'!I436</f>
        <v>51</v>
      </c>
      <c r="G436">
        <f>Weigt!N436</f>
        <v>51</v>
      </c>
      <c r="H436" t="str">
        <f t="shared" si="19"/>
        <v/>
      </c>
      <c r="I436">
        <f>'stuttgart-bkjck-rawbinary'!J436</f>
        <v>52</v>
      </c>
      <c r="J436">
        <f>Weigt!O436</f>
        <v>52</v>
      </c>
      <c r="K436" t="str">
        <f t="shared" si="20"/>
        <v/>
      </c>
    </row>
    <row r="437" spans="1:11" x14ac:dyDescent="0.35">
      <c r="A437" s="2">
        <f>'stuttgart-bkjck-rawbinary'!A437</f>
        <v>3315</v>
      </c>
      <c r="B437" t="str">
        <f ca="1">LOOKUP(A437,'stuttgart-bkjck-rawbinary'!$A$2:$A$449,'stuttgart-bkjck-rawbinary'!$H$2:$H884)</f>
        <v>z</v>
      </c>
      <c r="C437" t="str">
        <f>Weigt!C437</f>
        <v>3315</v>
      </c>
      <c r="D437" t="str">
        <f>Weigt!M437</f>
        <v>z</v>
      </c>
      <c r="E437" t="str">
        <f t="shared" ca="1" si="18"/>
        <v/>
      </c>
      <c r="F437">
        <f>'stuttgart-bkjck-rawbinary'!I437</f>
        <v>0</v>
      </c>
      <c r="G437">
        <f>Weigt!N437</f>
        <v>0</v>
      </c>
      <c r="H437" t="str">
        <f t="shared" si="19"/>
        <v/>
      </c>
      <c r="I437">
        <f>'stuttgart-bkjck-rawbinary'!J437</f>
        <v>1</v>
      </c>
      <c r="J437">
        <f>Weigt!O437</f>
        <v>1</v>
      </c>
      <c r="K437" t="str">
        <f t="shared" si="20"/>
        <v/>
      </c>
    </row>
    <row r="438" spans="1:11" x14ac:dyDescent="0.35">
      <c r="A438" s="2">
        <f>'stuttgart-bkjck-rawbinary'!A438</f>
        <v>3316</v>
      </c>
      <c r="B438" t="str">
        <f ca="1">LOOKUP(A438,'stuttgart-bkjck-rawbinary'!$A$2:$A$449,'stuttgart-bkjck-rawbinary'!$H$2:$H885)</f>
        <v>n</v>
      </c>
      <c r="C438" t="str">
        <f>Weigt!C438</f>
        <v>3316</v>
      </c>
      <c r="D438" t="str">
        <f>Weigt!M438</f>
        <v>n</v>
      </c>
      <c r="E438" t="str">
        <f t="shared" ca="1" si="18"/>
        <v/>
      </c>
      <c r="F438">
        <f>'stuttgart-bkjck-rawbinary'!I438</f>
        <v>51</v>
      </c>
      <c r="G438">
        <f>Weigt!N438</f>
        <v>51</v>
      </c>
      <c r="H438" t="str">
        <f t="shared" si="19"/>
        <v/>
      </c>
      <c r="I438">
        <f>'stuttgart-bkjck-rawbinary'!J438</f>
        <v>38</v>
      </c>
      <c r="J438">
        <f>Weigt!O438</f>
        <v>38</v>
      </c>
      <c r="K438" t="str">
        <f t="shared" si="20"/>
        <v/>
      </c>
    </row>
    <row r="439" spans="1:11" x14ac:dyDescent="0.35">
      <c r="A439" s="2">
        <f>'stuttgart-bkjck-rawbinary'!A439</f>
        <v>3317</v>
      </c>
      <c r="B439" t="str">
        <f ca="1">LOOKUP(A439,'stuttgart-bkjck-rawbinary'!$A$2:$A$449,'stuttgart-bkjck-rawbinary'!$H$2:$H886)</f>
        <v>s</v>
      </c>
      <c r="C439" t="str">
        <f>Weigt!C439</f>
        <v>3317</v>
      </c>
      <c r="D439" t="str">
        <f>Weigt!M439</f>
        <v>s</v>
      </c>
      <c r="E439" t="str">
        <f t="shared" ca="1" si="18"/>
        <v/>
      </c>
      <c r="F439">
        <f>'stuttgart-bkjck-rawbinary'!I439</f>
        <v>51</v>
      </c>
      <c r="G439">
        <f>Weigt!N439</f>
        <v>51</v>
      </c>
      <c r="H439" t="str">
        <f t="shared" si="19"/>
        <v/>
      </c>
      <c r="I439">
        <f>'stuttgart-bkjck-rawbinary'!J439</f>
        <v>39</v>
      </c>
      <c r="J439">
        <f>Weigt!O439</f>
        <v>39</v>
      </c>
      <c r="K439" t="str">
        <f t="shared" si="20"/>
        <v/>
      </c>
    </row>
    <row r="440" spans="1:11" x14ac:dyDescent="0.35">
      <c r="A440" s="2">
        <f>'stuttgart-bkjck-rawbinary'!A440</f>
        <v>3318</v>
      </c>
      <c r="B440" t="str">
        <f ca="1">LOOKUP(A440,'stuttgart-bkjck-rawbinary'!$A$2:$A$449,'stuttgart-bkjck-rawbinary'!$H$2:$H887)</f>
        <v>t</v>
      </c>
      <c r="C440" t="str">
        <f>Weigt!C440</f>
        <v>3318</v>
      </c>
      <c r="D440" t="str">
        <f>Weigt!M440</f>
        <v>t</v>
      </c>
      <c r="E440" t="str">
        <f t="shared" ca="1" si="18"/>
        <v/>
      </c>
      <c r="F440">
        <f>'stuttgart-bkjck-rawbinary'!I440</f>
        <v>51</v>
      </c>
      <c r="G440">
        <f>Weigt!N440</f>
        <v>51</v>
      </c>
      <c r="H440" t="str">
        <f t="shared" si="19"/>
        <v/>
      </c>
      <c r="I440">
        <f>'stuttgart-bkjck-rawbinary'!J440</f>
        <v>27</v>
      </c>
      <c r="J440">
        <f>Weigt!O440</f>
        <v>27</v>
      </c>
      <c r="K440" t="str">
        <f t="shared" si="20"/>
        <v/>
      </c>
    </row>
    <row r="441" spans="1:11" x14ac:dyDescent="0.35">
      <c r="A441" s="2">
        <f>'stuttgart-bkjck-rawbinary'!A441</f>
        <v>3319</v>
      </c>
      <c r="B441" t="str">
        <f ca="1">LOOKUP(A441,'stuttgart-bkjck-rawbinary'!$A$2:$A$449,'stuttgart-bkjck-rawbinary'!$H$2:$H888)</f>
        <v>u</v>
      </c>
      <c r="C441" t="str">
        <f>Weigt!C441</f>
        <v>3319</v>
      </c>
      <c r="D441" t="str">
        <f>Weigt!M441</f>
        <v>u</v>
      </c>
      <c r="E441" t="str">
        <f t="shared" ca="1" si="18"/>
        <v/>
      </c>
      <c r="F441">
        <f>'stuttgart-bkjck-rawbinary'!I441</f>
        <v>51</v>
      </c>
      <c r="G441">
        <f>Weigt!N441</f>
        <v>51</v>
      </c>
      <c r="H441" t="str">
        <f t="shared" si="19"/>
        <v/>
      </c>
      <c r="I441">
        <f>'stuttgart-bkjck-rawbinary'!J441</f>
        <v>39</v>
      </c>
      <c r="J441">
        <f>Weigt!O441</f>
        <v>39</v>
      </c>
      <c r="K441" t="str">
        <f t="shared" si="20"/>
        <v/>
      </c>
    </row>
    <row r="442" spans="1:11" x14ac:dyDescent="0.35">
      <c r="A442" s="2">
        <f>'stuttgart-bkjck-rawbinary'!A442</f>
        <v>3320</v>
      </c>
      <c r="B442" t="str">
        <f ca="1">LOOKUP(A442,'stuttgart-bkjck-rawbinary'!$A$2:$A$449,'stuttgart-bkjck-rawbinary'!$H$2:$H889)</f>
        <v>y</v>
      </c>
      <c r="C442" t="str">
        <f>Weigt!C442</f>
        <v>3320</v>
      </c>
      <c r="D442" t="str">
        <f>Weigt!M442</f>
        <v>y</v>
      </c>
      <c r="E442" t="str">
        <f t="shared" ca="1" si="18"/>
        <v/>
      </c>
      <c r="F442">
        <f>'stuttgart-bkjck-rawbinary'!I442</f>
        <v>51</v>
      </c>
      <c r="G442">
        <f>Weigt!N442</f>
        <v>51</v>
      </c>
      <c r="H442" t="str">
        <f t="shared" si="19"/>
        <v/>
      </c>
      <c r="I442">
        <f>'stuttgart-bkjck-rawbinary'!J442</f>
        <v>57</v>
      </c>
      <c r="J442">
        <f>Weigt!O442</f>
        <v>57</v>
      </c>
      <c r="K442" t="str">
        <f t="shared" si="20"/>
        <v/>
      </c>
    </row>
    <row r="443" spans="1:11" x14ac:dyDescent="0.35">
      <c r="A443" s="2">
        <f>'stuttgart-bkjck-rawbinary'!A443</f>
        <v>3321</v>
      </c>
      <c r="B443" t="str">
        <f ca="1">LOOKUP(A443,'stuttgart-bkjck-rawbinary'!$A$2:$A$449,'stuttgart-bkjck-rawbinary'!$H$2:$H890)</f>
        <v>u</v>
      </c>
      <c r="C443" t="str">
        <f>Weigt!C443</f>
        <v>3321</v>
      </c>
      <c r="D443" t="str">
        <f>Weigt!M443</f>
        <v>u</v>
      </c>
      <c r="E443" t="str">
        <f t="shared" ca="1" si="18"/>
        <v/>
      </c>
      <c r="F443">
        <f>'stuttgart-bkjck-rawbinary'!I443</f>
        <v>49</v>
      </c>
      <c r="G443">
        <f>Weigt!N443</f>
        <v>49</v>
      </c>
      <c r="H443" t="str">
        <f t="shared" si="19"/>
        <v/>
      </c>
      <c r="I443">
        <f>'stuttgart-bkjck-rawbinary'!J443</f>
        <v>47</v>
      </c>
      <c r="J443">
        <f>Weigt!O443</f>
        <v>47</v>
      </c>
      <c r="K443" t="str">
        <f t="shared" si="20"/>
        <v/>
      </c>
    </row>
    <row r="444" spans="1:11" x14ac:dyDescent="0.35">
      <c r="A444" s="2">
        <f>'stuttgart-bkjck-rawbinary'!A444</f>
        <v>3322</v>
      </c>
      <c r="B444" t="str">
        <f ca="1">LOOKUP(A444,'stuttgart-bkjck-rawbinary'!$A$2:$A$449,'stuttgart-bkjck-rawbinary'!$H$2:$H891)</f>
        <v>b</v>
      </c>
      <c r="C444" t="str">
        <f>Weigt!C444</f>
        <v>3322</v>
      </c>
      <c r="D444" t="str">
        <f>Weigt!M444</f>
        <v>b</v>
      </c>
      <c r="E444" t="str">
        <f t="shared" ca="1" si="18"/>
        <v/>
      </c>
      <c r="F444">
        <f>'stuttgart-bkjck-rawbinary'!I444</f>
        <v>50</v>
      </c>
      <c r="G444">
        <f>Weigt!N444</f>
        <v>50</v>
      </c>
      <c r="H444" t="str">
        <f t="shared" si="19"/>
        <v/>
      </c>
      <c r="I444">
        <f>'stuttgart-bkjck-rawbinary'!J444</f>
        <v>30</v>
      </c>
      <c r="J444">
        <f>Weigt!O444</f>
        <v>30</v>
      </c>
      <c r="K444" t="str">
        <f t="shared" si="20"/>
        <v/>
      </c>
    </row>
    <row r="445" spans="1:11" x14ac:dyDescent="0.35">
      <c r="A445" s="2">
        <f>'stuttgart-bkjck-rawbinary'!A445</f>
        <v>3323</v>
      </c>
      <c r="B445" t="str">
        <f ca="1">LOOKUP(A445,'stuttgart-bkjck-rawbinary'!$A$2:$A$449,'stuttgart-bkjck-rawbinary'!$H$2:$H892)</f>
        <v>s</v>
      </c>
      <c r="C445" t="str">
        <f>Weigt!C445</f>
        <v>3323</v>
      </c>
      <c r="D445" t="str">
        <f>Weigt!M445</f>
        <v>s</v>
      </c>
      <c r="E445" t="str">
        <f t="shared" ca="1" si="18"/>
        <v/>
      </c>
      <c r="F445">
        <f>'stuttgart-bkjck-rawbinary'!I445</f>
        <v>46</v>
      </c>
      <c r="G445">
        <f>Weigt!N445</f>
        <v>46</v>
      </c>
      <c r="H445" t="str">
        <f t="shared" si="19"/>
        <v/>
      </c>
      <c r="I445">
        <f>'stuttgart-bkjck-rawbinary'!J445</f>
        <v>35</v>
      </c>
      <c r="J445">
        <f>Weigt!O445</f>
        <v>35</v>
      </c>
      <c r="K445" t="str">
        <f t="shared" si="20"/>
        <v/>
      </c>
    </row>
    <row r="446" spans="1:11" x14ac:dyDescent="0.35">
      <c r="A446" s="2">
        <f>'stuttgart-bkjck-rawbinary'!A446</f>
        <v>3324</v>
      </c>
      <c r="B446" t="str">
        <f ca="1">LOOKUP(A446,'stuttgart-bkjck-rawbinary'!$A$2:$A$449,'stuttgart-bkjck-rawbinary'!$H$2:$H893)</f>
        <v>c</v>
      </c>
      <c r="C446" t="str">
        <f>Weigt!C446</f>
        <v>3324</v>
      </c>
      <c r="D446" t="str">
        <f>Weigt!M446</f>
        <v>c</v>
      </c>
      <c r="E446" t="str">
        <f t="shared" ca="1" si="18"/>
        <v/>
      </c>
      <c r="F446">
        <f>'stuttgart-bkjck-rawbinary'!I446</f>
        <v>50</v>
      </c>
      <c r="G446">
        <f>Weigt!N446</f>
        <v>50</v>
      </c>
      <c r="H446" t="str">
        <f t="shared" si="19"/>
        <v/>
      </c>
      <c r="I446">
        <f>'stuttgart-bkjck-rawbinary'!J446</f>
        <v>30</v>
      </c>
      <c r="J446">
        <f>Weigt!O446</f>
        <v>30</v>
      </c>
      <c r="K446" t="str">
        <f t="shared" si="20"/>
        <v/>
      </c>
    </row>
    <row r="447" spans="1:11" x14ac:dyDescent="0.35">
      <c r="A447" s="2">
        <f>'stuttgart-bkjck-rawbinary'!A447</f>
        <v>3325</v>
      </c>
      <c r="B447" t="str">
        <f ca="1">LOOKUP(A447,'stuttgart-bkjck-rawbinary'!$A$2:$A$449,'stuttgart-bkjck-rawbinary'!$H$2:$H894)</f>
        <v>b</v>
      </c>
      <c r="C447" t="str">
        <f>Weigt!C447</f>
        <v>3325</v>
      </c>
      <c r="D447" t="str">
        <f>Weigt!M447</f>
        <v>b</v>
      </c>
      <c r="E447" t="str">
        <f t="shared" ca="1" si="18"/>
        <v/>
      </c>
      <c r="F447">
        <f>'stuttgart-bkjck-rawbinary'!I447</f>
        <v>46</v>
      </c>
      <c r="G447">
        <f>Weigt!N447</f>
        <v>46</v>
      </c>
      <c r="H447" t="str">
        <f t="shared" si="19"/>
        <v/>
      </c>
      <c r="I447">
        <f>'stuttgart-bkjck-rawbinary'!J447</f>
        <v>30</v>
      </c>
      <c r="J447">
        <f>Weigt!O447</f>
        <v>30</v>
      </c>
      <c r="K447" t="str">
        <f t="shared" si="20"/>
        <v/>
      </c>
    </row>
    <row r="448" spans="1:11" x14ac:dyDescent="0.35">
      <c r="A448" s="2">
        <f>'stuttgart-bkjck-rawbinary'!A448</f>
        <v>3326</v>
      </c>
      <c r="B448" t="str">
        <f ca="1">LOOKUP(A448,'stuttgart-bkjck-rawbinary'!$A$2:$A$449,'stuttgart-bkjck-rawbinary'!$H$2:$H895)</f>
        <v>c</v>
      </c>
      <c r="C448" t="str">
        <f>Weigt!C448</f>
        <v>3326</v>
      </c>
      <c r="D448" t="str">
        <f>Weigt!M448</f>
        <v>c</v>
      </c>
      <c r="E448" t="str">
        <f t="shared" ca="1" si="18"/>
        <v/>
      </c>
      <c r="F448">
        <f>'stuttgart-bkjck-rawbinary'!I448</f>
        <v>47</v>
      </c>
      <c r="G448">
        <f>Weigt!N448</f>
        <v>47</v>
      </c>
      <c r="H448" t="str">
        <f t="shared" si="19"/>
        <v/>
      </c>
      <c r="I448">
        <f>'stuttgart-bkjck-rawbinary'!J448</f>
        <v>35</v>
      </c>
      <c r="J448">
        <f>Weigt!O448</f>
        <v>35</v>
      </c>
      <c r="K448" t="str">
        <f t="shared" si="20"/>
        <v/>
      </c>
    </row>
    <row r="449" spans="1:11" x14ac:dyDescent="0.35">
      <c r="A449" s="2">
        <f>'stuttgart-bkjck-rawbinary'!A449</f>
        <v>3327</v>
      </c>
      <c r="B449" t="str">
        <f ca="1">LOOKUP(A449,'stuttgart-bkjck-rawbinary'!$A$2:$A$449,'stuttgart-bkjck-rawbinary'!$H$2:$H896)</f>
        <v>u</v>
      </c>
      <c r="C449" t="str">
        <f>Weigt!C449</f>
        <v>3327</v>
      </c>
      <c r="D449" t="str">
        <f>Weigt!M449</f>
        <v>u</v>
      </c>
      <c r="E449" t="str">
        <f t="shared" ca="1" si="18"/>
        <v/>
      </c>
      <c r="F449">
        <f>'stuttgart-bkjck-rawbinary'!I449</f>
        <v>49</v>
      </c>
      <c r="G449">
        <f>Weigt!N449</f>
        <v>49</v>
      </c>
      <c r="H449" t="str">
        <f t="shared" si="19"/>
        <v/>
      </c>
      <c r="I449">
        <f>'stuttgart-bkjck-rawbinary'!J449</f>
        <v>27</v>
      </c>
      <c r="J449">
        <f>Weigt!O449</f>
        <v>27</v>
      </c>
      <c r="K449" t="str">
        <f t="shared" si="20"/>
        <v/>
      </c>
    </row>
    <row r="450" spans="1:11" x14ac:dyDescent="0.35">
      <c r="A450" s="2"/>
    </row>
    <row r="451" spans="1:11" x14ac:dyDescent="0.35">
      <c r="A451" s="2"/>
    </row>
    <row r="452" spans="1:11" x14ac:dyDescent="0.35">
      <c r="A452" s="2"/>
    </row>
    <row r="453" spans="1:11" x14ac:dyDescent="0.35">
      <c r="A45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796F-1AB3-478C-9F9F-BAB53D40B961}">
  <dimension ref="A1:C42"/>
  <sheetViews>
    <sheetView workbookViewId="0"/>
  </sheetViews>
  <sheetFormatPr defaultRowHeight="14.5" x14ac:dyDescent="0.35"/>
  <cols>
    <col min="1" max="2" width="8.7265625" style="1"/>
    <col min="3" max="3" width="8.7265625" style="2"/>
  </cols>
  <sheetData>
    <row r="1" spans="1:2" x14ac:dyDescent="0.35">
      <c r="A1" s="1" t="s">
        <v>273</v>
      </c>
      <c r="B1" s="5" t="s">
        <v>288</v>
      </c>
    </row>
    <row r="2" spans="1:2" x14ac:dyDescent="0.35">
      <c r="A2" s="1" t="s">
        <v>274</v>
      </c>
      <c r="B2" s="5" t="s">
        <v>289</v>
      </c>
    </row>
    <row r="3" spans="1:2" x14ac:dyDescent="0.35">
      <c r="A3" s="1" t="s">
        <v>782</v>
      </c>
      <c r="B3" s="5" t="s">
        <v>290</v>
      </c>
    </row>
    <row r="4" spans="1:2" x14ac:dyDescent="0.35">
      <c r="A4" s="1" t="s">
        <v>276</v>
      </c>
      <c r="B4" s="5" t="s">
        <v>291</v>
      </c>
    </row>
    <row r="5" spans="1:2" x14ac:dyDescent="0.35">
      <c r="A5" s="1" t="s">
        <v>277</v>
      </c>
      <c r="B5" s="5" t="s">
        <v>292</v>
      </c>
    </row>
    <row r="6" spans="1:2" x14ac:dyDescent="0.35">
      <c r="A6" s="1" t="s">
        <v>278</v>
      </c>
      <c r="B6" s="5" t="s">
        <v>293</v>
      </c>
    </row>
    <row r="7" spans="1:2" x14ac:dyDescent="0.35">
      <c r="A7" s="1" t="s">
        <v>279</v>
      </c>
      <c r="B7" s="5" t="s">
        <v>294</v>
      </c>
    </row>
    <row r="8" spans="1:2" x14ac:dyDescent="0.35">
      <c r="A8" s="1" t="s">
        <v>280</v>
      </c>
      <c r="B8" s="5" t="s">
        <v>295</v>
      </c>
    </row>
    <row r="9" spans="1:2" x14ac:dyDescent="0.35">
      <c r="A9" s="1" t="s">
        <v>281</v>
      </c>
      <c r="B9" s="5" t="s">
        <v>296</v>
      </c>
    </row>
    <row r="10" spans="1:2" x14ac:dyDescent="0.35">
      <c r="A10" s="1" t="s">
        <v>282</v>
      </c>
      <c r="B10" s="5" t="s">
        <v>297</v>
      </c>
    </row>
    <row r="11" spans="1:2" x14ac:dyDescent="0.35">
      <c r="A11" s="1" t="s">
        <v>283</v>
      </c>
      <c r="B11" s="5" t="s">
        <v>298</v>
      </c>
    </row>
    <row r="12" spans="1:2" x14ac:dyDescent="0.35">
      <c r="A12" s="1" t="s">
        <v>284</v>
      </c>
      <c r="B12" s="5" t="s">
        <v>299</v>
      </c>
    </row>
    <row r="13" spans="1:2" x14ac:dyDescent="0.35">
      <c r="A13" s="1" t="s">
        <v>285</v>
      </c>
      <c r="B13" s="5" t="s">
        <v>300</v>
      </c>
    </row>
    <row r="14" spans="1:2" x14ac:dyDescent="0.35">
      <c r="A14" s="1" t="s">
        <v>275</v>
      </c>
      <c r="B14" s="5" t="s">
        <v>301</v>
      </c>
    </row>
    <row r="15" spans="1:2" x14ac:dyDescent="0.35">
      <c r="A15" s="1" t="s">
        <v>286</v>
      </c>
      <c r="B15" s="5" t="s">
        <v>302</v>
      </c>
    </row>
    <row r="16" spans="1:2" x14ac:dyDescent="0.35">
      <c r="A16" s="1" t="s">
        <v>287</v>
      </c>
      <c r="B16" s="5" t="s">
        <v>303</v>
      </c>
    </row>
    <row r="18" spans="1:3" x14ac:dyDescent="0.35">
      <c r="A18" s="1" t="s">
        <v>309</v>
      </c>
      <c r="C18" s="2">
        <v>0</v>
      </c>
    </row>
    <row r="19" spans="1:3" x14ac:dyDescent="0.35">
      <c r="A19" s="1" t="s">
        <v>310</v>
      </c>
      <c r="C19" s="2">
        <v>1</v>
      </c>
    </row>
    <row r="20" spans="1:3" x14ac:dyDescent="0.35">
      <c r="A20" s="1" t="s">
        <v>311</v>
      </c>
      <c r="C20" s="2">
        <v>2</v>
      </c>
    </row>
    <row r="21" spans="1:3" x14ac:dyDescent="0.35">
      <c r="A21" s="1" t="s">
        <v>312</v>
      </c>
      <c r="C21" s="2">
        <v>3</v>
      </c>
    </row>
    <row r="22" spans="1:3" x14ac:dyDescent="0.35">
      <c r="A22" s="1" t="s">
        <v>313</v>
      </c>
      <c r="C22" s="2">
        <v>4</v>
      </c>
    </row>
    <row r="23" spans="1:3" x14ac:dyDescent="0.35">
      <c r="A23" s="1" t="s">
        <v>314</v>
      </c>
      <c r="C23" s="2">
        <v>5</v>
      </c>
    </row>
    <row r="24" spans="1:3" x14ac:dyDescent="0.35">
      <c r="A24" s="1" t="s">
        <v>315</v>
      </c>
      <c r="C24" s="2">
        <v>6</v>
      </c>
    </row>
    <row r="25" spans="1:3" x14ac:dyDescent="0.35">
      <c r="A25" s="1" t="s">
        <v>316</v>
      </c>
      <c r="C25" s="2">
        <v>7</v>
      </c>
    </row>
    <row r="27" spans="1:3" x14ac:dyDescent="0.35">
      <c r="A27" s="4" t="s">
        <v>770</v>
      </c>
      <c r="B27" s="3" t="s">
        <v>288</v>
      </c>
    </row>
    <row r="28" spans="1:3" x14ac:dyDescent="0.35">
      <c r="A28" s="4" t="s">
        <v>771</v>
      </c>
      <c r="B28" s="3" t="s">
        <v>289</v>
      </c>
    </row>
    <row r="29" spans="1:3" x14ac:dyDescent="0.35">
      <c r="A29" s="4" t="s">
        <v>772</v>
      </c>
      <c r="B29" s="3" t="s">
        <v>290</v>
      </c>
    </row>
    <row r="30" spans="1:3" x14ac:dyDescent="0.35">
      <c r="A30" s="4" t="s">
        <v>773</v>
      </c>
      <c r="B30" s="3" t="s">
        <v>291</v>
      </c>
    </row>
    <row r="31" spans="1:3" x14ac:dyDescent="0.35">
      <c r="A31" s="4" t="s">
        <v>774</v>
      </c>
      <c r="B31" s="3" t="s">
        <v>292</v>
      </c>
    </row>
    <row r="32" spans="1:3" x14ac:dyDescent="0.35">
      <c r="A32" s="4" t="s">
        <v>775</v>
      </c>
      <c r="B32" s="3" t="s">
        <v>293</v>
      </c>
    </row>
    <row r="33" spans="1:2" x14ac:dyDescent="0.35">
      <c r="A33" s="4" t="s">
        <v>776</v>
      </c>
      <c r="B33" s="3" t="s">
        <v>294</v>
      </c>
    </row>
    <row r="34" spans="1:2" x14ac:dyDescent="0.35">
      <c r="A34" s="4" t="s">
        <v>777</v>
      </c>
      <c r="B34" s="3" t="s">
        <v>295</v>
      </c>
    </row>
    <row r="35" spans="1:2" x14ac:dyDescent="0.35">
      <c r="A35" s="4" t="s">
        <v>778</v>
      </c>
      <c r="B35" s="3" t="s">
        <v>296</v>
      </c>
    </row>
    <row r="36" spans="1:2" x14ac:dyDescent="0.35">
      <c r="A36" s="4" t="s">
        <v>779</v>
      </c>
      <c r="B36" s="3" t="s">
        <v>297</v>
      </c>
    </row>
    <row r="37" spans="1:2" x14ac:dyDescent="0.35">
      <c r="A37" s="1" t="s">
        <v>302</v>
      </c>
      <c r="B37" s="3" t="s">
        <v>298</v>
      </c>
    </row>
    <row r="38" spans="1:2" x14ac:dyDescent="0.35">
      <c r="A38" s="1" t="s">
        <v>289</v>
      </c>
      <c r="B38" s="3" t="s">
        <v>299</v>
      </c>
    </row>
    <row r="39" spans="1:2" x14ac:dyDescent="0.35">
      <c r="A39" s="1" t="s">
        <v>301</v>
      </c>
      <c r="B39" s="3" t="s">
        <v>300</v>
      </c>
    </row>
    <row r="40" spans="1:2" x14ac:dyDescent="0.35">
      <c r="A40" s="1" t="s">
        <v>293</v>
      </c>
      <c r="B40" s="3" t="s">
        <v>301</v>
      </c>
    </row>
    <row r="41" spans="1:2" x14ac:dyDescent="0.35">
      <c r="A41" s="1" t="s">
        <v>297</v>
      </c>
      <c r="B41" s="3" t="s">
        <v>302</v>
      </c>
    </row>
    <row r="42" spans="1:2" x14ac:dyDescent="0.35">
      <c r="A42" s="1" t="s">
        <v>780</v>
      </c>
      <c r="B42" s="3" t="s">
        <v>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8B0A-A2D8-44AB-A310-6C39E72CB212}">
  <dimension ref="A1"/>
  <sheetViews>
    <sheetView workbookViewId="0">
      <selection activeCell="C12" sqref="C12"/>
    </sheetView>
  </sheetViews>
  <sheetFormatPr defaultRowHeight="14.5" x14ac:dyDescent="0.35"/>
  <sheetData>
    <row r="1" spans="1:1" x14ac:dyDescent="0.35">
      <c r="A1" t="s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stuttgart-bkjck-rawbinary</vt:lpstr>
      <vt:lpstr>Weigt</vt:lpstr>
      <vt:lpstr>Tubetime</vt:lpstr>
      <vt:lpstr>Trace</vt:lpstr>
      <vt:lpstr>WeigtVsStuttgart</vt:lpstr>
      <vt:lpstr>Lookups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Higgins</dc:creator>
  <cp:lastModifiedBy>Neil Higgins</cp:lastModifiedBy>
  <dcterms:created xsi:type="dcterms:W3CDTF">2026-08-17T12:15:38Z</dcterms:created>
  <dcterms:modified xsi:type="dcterms:W3CDTF">2026-08-20T10:22:24Z</dcterms:modified>
</cp:coreProperties>
</file>